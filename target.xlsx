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백업폴더\딱따구리\AI\강북도매 영업관리 포털\"/>
    </mc:Choice>
  </mc:AlternateContent>
  <xr:revisionPtr revIDLastSave="0" documentId="13_ncr:1_{1FD212F7-D6A5-49EF-9534-4F8957490012}" xr6:coauthVersionLast="47" xr6:coauthVersionMax="47" xr10:uidLastSave="{00000000-0000-0000-0000-000000000000}"/>
  <bookViews>
    <workbookView xWindow="38280" yWindow="-120" windowWidth="29040" windowHeight="15720" tabRatio="856" firstSheet="10" activeTab="10" xr2:uid="{00000000-000D-0000-FFFF-FFFF00000000}"/>
  </bookViews>
  <sheets>
    <sheet name="전사 목표건수" sheetId="2" state="hidden" r:id="rId1"/>
    <sheet name="21년 채널별 운영 목표" sheetId="7" state="hidden" r:id="rId2"/>
    <sheet name="Sheet1" sheetId="38" state="hidden" r:id="rId3"/>
    <sheet name="3월)개인별 목표" sheetId="34" state="hidden" r:id="rId4"/>
    <sheet name="1월 인력" sheetId="35" state="hidden" r:id="rId5"/>
    <sheet name="1월)목표 (2)" sheetId="25" state="hidden" r:id="rId6"/>
    <sheet name="1월 인력상세" sheetId="36" state="hidden" r:id="rId7"/>
    <sheet name="S26목표" sheetId="42" state="hidden" r:id="rId8"/>
    <sheet name="Sheet2" sheetId="40" state="hidden" r:id="rId9"/>
    <sheet name="5G" sheetId="27" state="hidden" r:id="rId10"/>
    <sheet name="무선목표" sheetId="26" r:id="rId11"/>
    <sheet name="유선_합계" sheetId="32" state="hidden" r:id="rId12"/>
    <sheet name="유선목표" sheetId="29" r:id="rId13"/>
    <sheet name="유선_약갱" sheetId="30" state="hidden" r:id="rId14"/>
    <sheet name="이익목표" sheetId="33" state="hidden" r:id="rId15"/>
    <sheet name="유선_합계(수식)" sheetId="31" state="hidden" r:id="rId16"/>
    <sheet name="일반후불(중고포함)" sheetId="16" state="hidden" r:id="rId17"/>
    <sheet name="운영후불(중고제외)" sheetId="13" state="hidden" r:id="rId18"/>
    <sheet name="운영5G" sheetId="14" state="hidden" r:id="rId19"/>
    <sheet name="운영무선신규" sheetId="15" state="hidden" r:id="rId20"/>
    <sheet name="유선순신규" sheetId="9" state="hidden" r:id="rId21"/>
    <sheet name="약정갱신" sheetId="11" state="hidden" r:id="rId22"/>
    <sheet name="동시판매" sheetId="12" state="hidden" r:id="rId23"/>
    <sheet name="실적점" sheetId="18" state="hidden" r:id="rId24"/>
    <sheet name="유효점" sheetId="19" state="hidden" r:id="rId25"/>
    <sheet name="신규점" sheetId="20" state="hidden" r:id="rId26"/>
    <sheet name="유선점" sheetId="21" state="hidden" r:id="rId27"/>
    <sheet name="MIT점" sheetId="22" state="hidden" r:id="rId28"/>
    <sheet name="21년 중점지표" sheetId="6" state="hidden" r:id="rId29"/>
  </sheets>
  <definedNames>
    <definedName name="_xlnm._FilterDatabase" localSheetId="6" hidden="1">'1월 인력상세'!$A$1:$H$6</definedName>
    <definedName name="_xlnm._FilterDatabase" localSheetId="3" hidden="1">'3월)개인별 목표'!$B$6:$H$6</definedName>
    <definedName name="_xlnm._FilterDatabase" localSheetId="10" hidden="1">무선목표!$A$2:$AE$10</definedName>
    <definedName name="_xlnm._FilterDatabase" localSheetId="11" hidden="1">유선_합계!$A$3:$AM$45</definedName>
    <definedName name="_xlnm.Print_Area" localSheetId="5">'1월)목표 (2)'!$B$2:$H$18</definedName>
    <definedName name="_xlnm.Print_Area" localSheetId="28">'21년 중점지표'!$A$1:$X$111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4" i="35" l="1"/>
  <c r="G44" i="35"/>
  <c r="F44" i="35"/>
  <c r="E44" i="35"/>
  <c r="D44" i="35"/>
  <c r="H43" i="35"/>
  <c r="G43" i="35"/>
  <c r="F43" i="35"/>
  <c r="E43" i="35"/>
  <c r="D43" i="35"/>
  <c r="H42" i="35"/>
  <c r="G42" i="35"/>
  <c r="F42" i="35"/>
  <c r="E42" i="35"/>
  <c r="D42" i="35"/>
  <c r="H41" i="35"/>
  <c r="G41" i="35"/>
  <c r="F41" i="35"/>
  <c r="E41" i="35"/>
  <c r="D41" i="35"/>
  <c r="H40" i="35"/>
  <c r="G40" i="35"/>
  <c r="F40" i="35"/>
  <c r="E40" i="35"/>
  <c r="D40" i="35"/>
  <c r="H39" i="35"/>
  <c r="G39" i="35"/>
  <c r="F39" i="35"/>
  <c r="E39" i="35"/>
  <c r="D39" i="35"/>
  <c r="H38" i="35"/>
  <c r="G38" i="35"/>
  <c r="F38" i="35"/>
  <c r="E38" i="35"/>
  <c r="D38" i="35"/>
  <c r="H37" i="35"/>
  <c r="G37" i="35"/>
  <c r="F37" i="35"/>
  <c r="E37" i="35"/>
  <c r="D37" i="35"/>
  <c r="H36" i="35"/>
  <c r="G36" i="35"/>
  <c r="F36" i="35"/>
  <c r="E36" i="35"/>
  <c r="D36" i="35"/>
  <c r="H35" i="35"/>
  <c r="G35" i="35"/>
  <c r="F35" i="35"/>
  <c r="E35" i="35"/>
  <c r="D35" i="35"/>
  <c r="H34" i="35"/>
  <c r="G34" i="35"/>
  <c r="F34" i="35"/>
  <c r="E34" i="35"/>
  <c r="D34" i="35"/>
  <c r="H33" i="35"/>
  <c r="G33" i="35"/>
  <c r="F33" i="35"/>
  <c r="E33" i="35"/>
  <c r="D33" i="35"/>
  <c r="H32" i="35"/>
  <c r="G32" i="35"/>
  <c r="F32" i="35"/>
  <c r="E32" i="35"/>
  <c r="D32" i="35"/>
  <c r="H31" i="35"/>
  <c r="G31" i="35"/>
  <c r="F31" i="35"/>
  <c r="E31" i="35"/>
  <c r="D31" i="35"/>
  <c r="H30" i="35"/>
  <c r="G30" i="35"/>
  <c r="F30" i="35"/>
  <c r="E30" i="35"/>
  <c r="D30" i="35"/>
  <c r="H29" i="35"/>
  <c r="G29" i="35"/>
  <c r="F29" i="35"/>
  <c r="E29" i="35"/>
  <c r="D29" i="35"/>
  <c r="H28" i="35"/>
  <c r="G28" i="35"/>
  <c r="F28" i="35"/>
  <c r="E28" i="35"/>
  <c r="D28" i="35"/>
  <c r="H27" i="35"/>
  <c r="G27" i="35"/>
  <c r="F27" i="35"/>
  <c r="E27" i="35"/>
  <c r="D27" i="35"/>
  <c r="H26" i="35"/>
  <c r="G26" i="35"/>
  <c r="F26" i="35"/>
  <c r="E26" i="35"/>
  <c r="D26" i="35"/>
  <c r="H25" i="35"/>
  <c r="G25" i="35"/>
  <c r="F25" i="35"/>
  <c r="E25" i="35"/>
  <c r="D25" i="35"/>
  <c r="H24" i="35"/>
  <c r="G24" i="35"/>
  <c r="F24" i="35"/>
  <c r="E24" i="35"/>
  <c r="D24" i="35"/>
  <c r="H23" i="35"/>
  <c r="G23" i="35"/>
  <c r="F23" i="35"/>
  <c r="E23" i="35"/>
  <c r="D23" i="35"/>
  <c r="H22" i="35"/>
  <c r="G22" i="35"/>
  <c r="F22" i="35"/>
  <c r="E22" i="35"/>
  <c r="D22" i="35"/>
  <c r="H21" i="35"/>
  <c r="G21" i="35"/>
  <c r="F21" i="35"/>
  <c r="E21" i="35"/>
  <c r="D21" i="35"/>
  <c r="H20" i="35"/>
  <c r="G20" i="35"/>
  <c r="F20" i="35"/>
  <c r="E20" i="35"/>
  <c r="D20" i="35"/>
  <c r="H19" i="35"/>
  <c r="G19" i="35"/>
  <c r="F19" i="35"/>
  <c r="E19" i="35"/>
  <c r="D19" i="35"/>
  <c r="H18" i="35"/>
  <c r="G18" i="35"/>
  <c r="F18" i="35"/>
  <c r="E18" i="35"/>
  <c r="D18" i="35"/>
  <c r="H17" i="35"/>
  <c r="G17" i="35"/>
  <c r="F17" i="35"/>
  <c r="E17" i="35"/>
  <c r="D17" i="35"/>
  <c r="H16" i="35"/>
  <c r="G16" i="35"/>
  <c r="F16" i="35"/>
  <c r="E16" i="35"/>
  <c r="D16" i="35"/>
  <c r="H15" i="35"/>
  <c r="G15" i="35"/>
  <c r="F15" i="35"/>
  <c r="E15" i="35"/>
  <c r="D15" i="35"/>
  <c r="H14" i="35"/>
  <c r="G14" i="35"/>
  <c r="F14" i="35"/>
  <c r="E14" i="35"/>
  <c r="D14" i="35"/>
  <c r="H13" i="35"/>
  <c r="G13" i="35"/>
  <c r="F13" i="35"/>
  <c r="E13" i="35"/>
  <c r="D13" i="35"/>
  <c r="H12" i="35"/>
  <c r="G12" i="35"/>
  <c r="F12" i="35"/>
  <c r="E12" i="35"/>
  <c r="D12" i="35"/>
  <c r="H11" i="35"/>
  <c r="G11" i="35"/>
  <c r="F11" i="35"/>
  <c r="E11" i="35"/>
  <c r="D11" i="35"/>
  <c r="H10" i="35"/>
  <c r="G10" i="35"/>
  <c r="F10" i="35"/>
  <c r="E10" i="35"/>
  <c r="D10" i="35"/>
  <c r="H9" i="35"/>
  <c r="G9" i="35"/>
  <c r="F9" i="35"/>
  <c r="E9" i="35"/>
  <c r="D9" i="35"/>
  <c r="H8" i="35"/>
  <c r="G8" i="35"/>
  <c r="F8" i="35"/>
  <c r="E8" i="35"/>
  <c r="D8" i="35"/>
  <c r="H7" i="35"/>
  <c r="G7" i="35"/>
  <c r="F7" i="35"/>
  <c r="E7" i="35"/>
  <c r="D7" i="35"/>
  <c r="H6" i="35"/>
  <c r="G6" i="35"/>
  <c r="F6" i="35"/>
  <c r="E6" i="35"/>
  <c r="D6" i="35"/>
  <c r="H5" i="35"/>
  <c r="G5" i="35"/>
  <c r="F5" i="35"/>
  <c r="E5" i="35"/>
  <c r="D5" i="35"/>
  <c r="H4" i="35"/>
  <c r="G4" i="35"/>
  <c r="F4" i="35"/>
  <c r="E4" i="35"/>
  <c r="D4" i="35"/>
  <c r="H3" i="35"/>
  <c r="G3" i="35"/>
  <c r="F3" i="35"/>
  <c r="E3" i="35"/>
  <c r="D3" i="35"/>
  <c r="C45" i="32" l="1"/>
  <c r="C44" i="32"/>
  <c r="C43" i="32"/>
  <c r="C42" i="32"/>
  <c r="C41" i="32"/>
  <c r="C40" i="32"/>
  <c r="C39" i="32"/>
  <c r="C38" i="32"/>
  <c r="C37" i="32"/>
  <c r="C36" i="32"/>
  <c r="C35" i="32"/>
  <c r="C34" i="32"/>
  <c r="C33" i="32"/>
  <c r="C32" i="32"/>
  <c r="C31" i="32"/>
  <c r="C30" i="32"/>
  <c r="C29" i="32"/>
  <c r="C28" i="32"/>
  <c r="C27" i="32"/>
  <c r="C26" i="32"/>
  <c r="C25" i="32"/>
  <c r="C24" i="32"/>
  <c r="C23" i="32"/>
  <c r="C22" i="32"/>
  <c r="C21" i="32"/>
  <c r="C20" i="32"/>
  <c r="C19" i="32"/>
  <c r="C18" i="32"/>
  <c r="C17" i="32"/>
  <c r="C16" i="32"/>
  <c r="C15" i="32"/>
  <c r="C14" i="32"/>
  <c r="C13" i="32"/>
  <c r="C12" i="32"/>
  <c r="C11" i="32"/>
  <c r="C10" i="32"/>
  <c r="C9" i="32"/>
  <c r="C8" i="32"/>
  <c r="C7" i="32"/>
  <c r="C6" i="32"/>
  <c r="C5" i="32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2"/>
  <c r="F45" i="30"/>
  <c r="F44" i="30"/>
  <c r="F43" i="30"/>
  <c r="F42" i="30"/>
  <c r="F41" i="30"/>
  <c r="F40" i="30"/>
  <c r="F39" i="30"/>
  <c r="F38" i="30"/>
  <c r="F37" i="30"/>
  <c r="F36" i="30"/>
  <c r="F35" i="30"/>
  <c r="F34" i="30"/>
  <c r="F33" i="30"/>
  <c r="F32" i="30"/>
  <c r="F31" i="30"/>
  <c r="F30" i="30"/>
  <c r="F29" i="30"/>
  <c r="F28" i="30"/>
  <c r="F27" i="30"/>
  <c r="F26" i="30"/>
  <c r="F25" i="30"/>
  <c r="F24" i="30"/>
  <c r="F23" i="30"/>
  <c r="F22" i="30"/>
  <c r="F21" i="30"/>
  <c r="F20" i="30"/>
  <c r="F19" i="30"/>
  <c r="F18" i="30"/>
  <c r="F17" i="30"/>
  <c r="F16" i="30"/>
  <c r="F15" i="30"/>
  <c r="F14" i="30"/>
  <c r="F13" i="30"/>
  <c r="F12" i="30"/>
  <c r="F11" i="30"/>
  <c r="F10" i="30"/>
  <c r="F9" i="30"/>
  <c r="F8" i="30"/>
  <c r="F7" i="30"/>
  <c r="F6" i="30"/>
  <c r="F5" i="30"/>
  <c r="F4" i="30"/>
  <c r="C4" i="30" l="1"/>
  <c r="G16" i="40"/>
  <c r="F14" i="40"/>
  <c r="F16" i="40" s="1"/>
  <c r="E14" i="40"/>
  <c r="E16" i="40" s="1"/>
  <c r="D14" i="40"/>
  <c r="D16" i="40" s="1"/>
  <c r="C14" i="40"/>
  <c r="C16" i="40" s="1"/>
  <c r="B14" i="40"/>
  <c r="B16" i="40" s="1"/>
  <c r="A15" i="40"/>
  <c r="A13" i="40"/>
  <c r="Z5" i="40" l="1"/>
  <c r="Z6" i="40" s="1"/>
  <c r="Z7" i="40" s="1"/>
  <c r="Z8" i="40" s="1"/>
  <c r="Z9" i="40" s="1"/>
  <c r="Z10" i="40" s="1"/>
  <c r="Z11" i="40" s="1"/>
  <c r="Y5" i="40"/>
  <c r="Y6" i="40" s="1"/>
  <c r="Y7" i="40" s="1"/>
  <c r="Y8" i="40" s="1"/>
  <c r="Y9" i="40" s="1"/>
  <c r="Y10" i="40" s="1"/>
  <c r="Y11" i="40" s="1"/>
  <c r="X5" i="40"/>
  <c r="X6" i="40" s="1"/>
  <c r="X7" i="40" s="1"/>
  <c r="X8" i="40" s="1"/>
  <c r="X9" i="40" s="1"/>
  <c r="X10" i="40" s="1"/>
  <c r="X11" i="40" s="1"/>
  <c r="W5" i="40"/>
  <c r="W6" i="40" s="1"/>
  <c r="W7" i="40" s="1"/>
  <c r="W8" i="40" s="1"/>
  <c r="W9" i="40" s="1"/>
  <c r="W10" i="40" s="1"/>
  <c r="W11" i="40" s="1"/>
  <c r="V5" i="40"/>
  <c r="U5" i="40"/>
  <c r="U6" i="40" s="1"/>
  <c r="U7" i="40" s="1"/>
  <c r="U8" i="40" s="1"/>
  <c r="U9" i="40" s="1"/>
  <c r="U10" i="40" s="1"/>
  <c r="U11" i="40" s="1"/>
  <c r="T5" i="40"/>
  <c r="T6" i="40" s="1"/>
  <c r="T7" i="40" s="1"/>
  <c r="T8" i="40" s="1"/>
  <c r="T9" i="40" s="1"/>
  <c r="T10" i="40" s="1"/>
  <c r="T11" i="40" s="1"/>
  <c r="S5" i="40"/>
  <c r="S6" i="40" s="1"/>
  <c r="S7" i="40" s="1"/>
  <c r="S8" i="40" s="1"/>
  <c r="S9" i="40" s="1"/>
  <c r="S10" i="40" s="1"/>
  <c r="S11" i="40" s="1"/>
  <c r="R5" i="40"/>
  <c r="R6" i="40" s="1"/>
  <c r="R7" i="40" s="1"/>
  <c r="R8" i="40" s="1"/>
  <c r="R9" i="40" s="1"/>
  <c r="R10" i="40" s="1"/>
  <c r="R11" i="40" s="1"/>
  <c r="Q5" i="40"/>
  <c r="Q6" i="40" s="1"/>
  <c r="Q7" i="40" s="1"/>
  <c r="Q8" i="40" s="1"/>
  <c r="Q9" i="40" s="1"/>
  <c r="Q10" i="40" s="1"/>
  <c r="Q11" i="40" s="1"/>
  <c r="P5" i="40"/>
  <c r="P6" i="40" s="1"/>
  <c r="P7" i="40" s="1"/>
  <c r="P8" i="40" s="1"/>
  <c r="P9" i="40" s="1"/>
  <c r="P10" i="40" s="1"/>
  <c r="P11" i="40" s="1"/>
  <c r="O5" i="40"/>
  <c r="N5" i="40"/>
  <c r="N6" i="40" s="1"/>
  <c r="N7" i="40" s="1"/>
  <c r="N8" i="40" s="1"/>
  <c r="N9" i="40" s="1"/>
  <c r="M5" i="40"/>
  <c r="M6" i="40" s="1"/>
  <c r="M7" i="40" s="1"/>
  <c r="M8" i="40" s="1"/>
  <c r="M9" i="40" s="1"/>
  <c r="L5" i="40"/>
  <c r="L6" i="40" s="1"/>
  <c r="L7" i="40" s="1"/>
  <c r="L8" i="40" s="1"/>
  <c r="L9" i="40" s="1"/>
  <c r="K5" i="40"/>
  <c r="K6" i="40" s="1"/>
  <c r="K7" i="40" s="1"/>
  <c r="K8" i="40" s="1"/>
  <c r="K9" i="40" s="1"/>
  <c r="J5" i="40"/>
  <c r="J6" i="40" s="1"/>
  <c r="J7" i="40" s="1"/>
  <c r="J8" i="40" s="1"/>
  <c r="J9" i="40" s="1"/>
  <c r="I5" i="40"/>
  <c r="I6" i="40" s="1"/>
  <c r="I7" i="40" s="1"/>
  <c r="I8" i="40" s="1"/>
  <c r="I9" i="40" s="1"/>
  <c r="H5" i="40"/>
  <c r="G5" i="40"/>
  <c r="G6" i="40" s="1"/>
  <c r="G7" i="40" s="1"/>
  <c r="G8" i="40" s="1"/>
  <c r="G9" i="40" s="1"/>
  <c r="F5" i="40"/>
  <c r="F6" i="40" s="1"/>
  <c r="F7" i="40" s="1"/>
  <c r="F8" i="40" s="1"/>
  <c r="F9" i="40" s="1"/>
  <c r="E5" i="40"/>
  <c r="E6" i="40" s="1"/>
  <c r="E7" i="40" s="1"/>
  <c r="E8" i="40" s="1"/>
  <c r="E9" i="40" s="1"/>
  <c r="D5" i="40"/>
  <c r="D6" i="40" s="1"/>
  <c r="D7" i="40" s="1"/>
  <c r="D8" i="40" s="1"/>
  <c r="D9" i="40" s="1"/>
  <c r="C5" i="40"/>
  <c r="C6" i="40" s="1"/>
  <c r="C7" i="40" s="1"/>
  <c r="C8" i="40" s="1"/>
  <c r="C9" i="40" s="1"/>
  <c r="B5" i="40"/>
  <c r="A20" i="40"/>
  <c r="B19" i="40" s="1"/>
  <c r="A11" i="40" l="1"/>
  <c r="B18" i="40"/>
  <c r="S63" i="34" l="1"/>
  <c r="S62" i="34"/>
  <c r="S61" i="34"/>
  <c r="S60" i="34"/>
  <c r="S59" i="34"/>
  <c r="S58" i="34"/>
  <c r="S57" i="34"/>
  <c r="S56" i="34"/>
  <c r="S55" i="34"/>
  <c r="S54" i="34"/>
  <c r="S53" i="34"/>
  <c r="S52" i="34"/>
  <c r="S51" i="34"/>
  <c r="S50" i="34"/>
  <c r="S49" i="34"/>
  <c r="S48" i="34"/>
  <c r="S47" i="34"/>
  <c r="S46" i="34"/>
  <c r="S45" i="34"/>
  <c r="S44" i="34"/>
  <c r="S43" i="34"/>
  <c r="S42" i="34"/>
  <c r="S41" i="34"/>
  <c r="S40" i="34"/>
  <c r="S39" i="34"/>
  <c r="S38" i="34"/>
  <c r="S37" i="34"/>
  <c r="S36" i="34"/>
  <c r="S35" i="34"/>
  <c r="S34" i="34"/>
  <c r="S33" i="34"/>
  <c r="S32" i="34"/>
  <c r="S31" i="34"/>
  <c r="S30" i="34"/>
  <c r="S29" i="34"/>
  <c r="S28" i="34"/>
  <c r="S27" i="34"/>
  <c r="S26" i="34"/>
  <c r="S25" i="34"/>
  <c r="S24" i="34"/>
  <c r="S23" i="34"/>
  <c r="V63" i="34"/>
  <c r="V62" i="34"/>
  <c r="V61" i="34"/>
  <c r="V60" i="34"/>
  <c r="V59" i="34"/>
  <c r="V58" i="34"/>
  <c r="V57" i="34"/>
  <c r="V56" i="34"/>
  <c r="V55" i="34"/>
  <c r="V54" i="34"/>
  <c r="V53" i="34"/>
  <c r="V52" i="34"/>
  <c r="V51" i="34"/>
  <c r="V50" i="34"/>
  <c r="V49" i="34"/>
  <c r="V48" i="34"/>
  <c r="V47" i="34"/>
  <c r="V46" i="34"/>
  <c r="V45" i="34"/>
  <c r="V44" i="34"/>
  <c r="V43" i="34"/>
  <c r="V42" i="34"/>
  <c r="V41" i="34"/>
  <c r="V40" i="34"/>
  <c r="V39" i="34"/>
  <c r="V38" i="34"/>
  <c r="V37" i="34"/>
  <c r="V36" i="34"/>
  <c r="V35" i="34"/>
  <c r="V34" i="34"/>
  <c r="V33" i="34"/>
  <c r="V32" i="34"/>
  <c r="V31" i="34"/>
  <c r="V30" i="34"/>
  <c r="V29" i="34"/>
  <c r="V28" i="34"/>
  <c r="V27" i="34"/>
  <c r="V26" i="34"/>
  <c r="V25" i="34"/>
  <c r="V24" i="34"/>
  <c r="V23" i="34"/>
  <c r="Y63" i="34"/>
  <c r="Y62" i="34"/>
  <c r="Y61" i="34"/>
  <c r="Y60" i="34"/>
  <c r="Y59" i="34"/>
  <c r="Y58" i="34"/>
  <c r="Y57" i="34"/>
  <c r="Y56" i="34"/>
  <c r="Y55" i="34"/>
  <c r="Y54" i="34"/>
  <c r="Y53" i="34"/>
  <c r="Y52" i="34"/>
  <c r="Y51" i="34"/>
  <c r="Y50" i="34"/>
  <c r="Y49" i="34"/>
  <c r="Y48" i="34"/>
  <c r="Y47" i="34"/>
  <c r="Y46" i="34"/>
  <c r="Y45" i="34"/>
  <c r="Y44" i="34"/>
  <c r="Y43" i="34"/>
  <c r="Y42" i="34"/>
  <c r="Y41" i="34"/>
  <c r="Y40" i="34"/>
  <c r="Y39" i="34"/>
  <c r="Y38" i="34"/>
  <c r="Y37" i="34"/>
  <c r="Y36" i="34"/>
  <c r="Y35" i="34"/>
  <c r="Y34" i="34"/>
  <c r="Y33" i="34"/>
  <c r="Y32" i="34"/>
  <c r="Y31" i="34"/>
  <c r="Y30" i="34"/>
  <c r="Y29" i="34"/>
  <c r="Y28" i="34"/>
  <c r="Y27" i="34"/>
  <c r="Y26" i="34"/>
  <c r="Y25" i="34"/>
  <c r="Y24" i="34"/>
  <c r="Y23" i="34"/>
  <c r="AB63" i="34"/>
  <c r="AB62" i="34"/>
  <c r="AB61" i="34"/>
  <c r="AB60" i="34"/>
  <c r="AB59" i="34"/>
  <c r="AB58" i="34"/>
  <c r="AB57" i="34"/>
  <c r="AB56" i="34"/>
  <c r="AB55" i="34"/>
  <c r="AB54" i="34"/>
  <c r="AB53" i="34"/>
  <c r="AB52" i="34"/>
  <c r="AB51" i="34"/>
  <c r="AB50" i="34"/>
  <c r="AB49" i="34"/>
  <c r="AB48" i="34"/>
  <c r="AB47" i="34"/>
  <c r="AB46" i="34"/>
  <c r="AB45" i="34"/>
  <c r="AB44" i="34"/>
  <c r="AB43" i="34"/>
  <c r="AB42" i="34"/>
  <c r="AB41" i="34"/>
  <c r="AB40" i="34"/>
  <c r="AB39" i="34"/>
  <c r="AB38" i="34"/>
  <c r="AB37" i="34"/>
  <c r="AB36" i="34"/>
  <c r="AB35" i="34"/>
  <c r="AB34" i="34"/>
  <c r="AB33" i="34"/>
  <c r="AB32" i="34"/>
  <c r="AB31" i="34"/>
  <c r="AB30" i="34"/>
  <c r="AB29" i="34"/>
  <c r="AB28" i="34"/>
  <c r="AB27" i="34"/>
  <c r="AB26" i="34"/>
  <c r="AB25" i="34"/>
  <c r="AB24" i="34"/>
  <c r="AB23" i="34"/>
  <c r="AE63" i="34"/>
  <c r="AE62" i="34"/>
  <c r="AE61" i="34"/>
  <c r="AE60" i="34"/>
  <c r="AE59" i="34"/>
  <c r="AE58" i="34"/>
  <c r="AE57" i="34"/>
  <c r="AE56" i="34"/>
  <c r="AE55" i="34"/>
  <c r="AE54" i="34"/>
  <c r="AE53" i="34"/>
  <c r="AE52" i="34"/>
  <c r="AE51" i="34"/>
  <c r="AE50" i="34"/>
  <c r="AE49" i="34"/>
  <c r="AE48" i="34"/>
  <c r="AE47" i="34"/>
  <c r="AE46" i="34"/>
  <c r="AE45" i="34"/>
  <c r="AE44" i="34"/>
  <c r="AE43" i="34"/>
  <c r="AE42" i="34"/>
  <c r="AE41" i="34"/>
  <c r="AE40" i="34"/>
  <c r="AE39" i="34"/>
  <c r="AE38" i="34"/>
  <c r="AE37" i="34"/>
  <c r="AE36" i="34"/>
  <c r="AE35" i="34"/>
  <c r="AE34" i="34"/>
  <c r="AE33" i="34"/>
  <c r="AE32" i="34"/>
  <c r="AE31" i="34"/>
  <c r="AE30" i="34"/>
  <c r="AE29" i="34"/>
  <c r="AE28" i="34"/>
  <c r="AE27" i="34"/>
  <c r="AE26" i="34"/>
  <c r="AE25" i="34"/>
  <c r="AE24" i="34"/>
  <c r="AE23" i="34"/>
  <c r="AH63" i="34"/>
  <c r="AH62" i="34"/>
  <c r="AH61" i="34"/>
  <c r="AH60" i="34"/>
  <c r="AH59" i="34"/>
  <c r="AH58" i="34"/>
  <c r="AH57" i="34"/>
  <c r="AH56" i="34"/>
  <c r="AH55" i="34"/>
  <c r="AH54" i="34"/>
  <c r="AH53" i="34"/>
  <c r="AH52" i="34"/>
  <c r="AH51" i="34"/>
  <c r="AH50" i="34"/>
  <c r="AH49" i="34"/>
  <c r="AH48" i="34"/>
  <c r="AH47" i="34"/>
  <c r="AH46" i="34"/>
  <c r="AH45" i="34"/>
  <c r="AH44" i="34"/>
  <c r="AH43" i="34"/>
  <c r="AH42" i="34"/>
  <c r="AH41" i="34"/>
  <c r="AH40" i="34"/>
  <c r="AH39" i="34"/>
  <c r="AH38" i="34"/>
  <c r="AH37" i="34"/>
  <c r="AH36" i="34"/>
  <c r="AH35" i="34"/>
  <c r="AH34" i="34"/>
  <c r="AH33" i="34"/>
  <c r="AH32" i="34"/>
  <c r="AH31" i="34"/>
  <c r="AH30" i="34"/>
  <c r="AH29" i="34"/>
  <c r="AH28" i="34"/>
  <c r="AH27" i="34"/>
  <c r="AH26" i="34"/>
  <c r="AH25" i="34"/>
  <c r="AH24" i="34"/>
  <c r="AH23" i="34"/>
  <c r="AH22" i="34"/>
  <c r="AE22" i="34"/>
  <c r="AB22" i="34"/>
  <c r="Y22" i="34"/>
  <c r="V22" i="34"/>
  <c r="S22" i="34"/>
  <c r="Y15" i="34" l="1"/>
  <c r="V10" i="34"/>
  <c r="V13" i="34"/>
  <c r="V16" i="34"/>
  <c r="AE10" i="34"/>
  <c r="Y10" i="34"/>
  <c r="Y16" i="34"/>
  <c r="AE12" i="34"/>
  <c r="AB13" i="34"/>
  <c r="AB16" i="34"/>
  <c r="AH16" i="34"/>
  <c r="Y13" i="34"/>
  <c r="AH13" i="34"/>
  <c r="AE16" i="34"/>
  <c r="AE11" i="34"/>
  <c r="AE14" i="34"/>
  <c r="AE13" i="34"/>
  <c r="AH10" i="34"/>
  <c r="AH11" i="34"/>
  <c r="AH12" i="34"/>
  <c r="AE15" i="34"/>
  <c r="AB11" i="34"/>
  <c r="AB14" i="34"/>
  <c r="AB12" i="34"/>
  <c r="AB15" i="34"/>
  <c r="Y11" i="34"/>
  <c r="Y12" i="34"/>
  <c r="V11" i="34"/>
  <c r="V14" i="34"/>
  <c r="V12" i="34"/>
  <c r="V15" i="34"/>
  <c r="V9" i="34"/>
  <c r="Y14" i="34"/>
  <c r="Y9" i="34"/>
  <c r="AB10" i="34"/>
  <c r="AB21" i="34"/>
  <c r="AE21" i="34"/>
  <c r="AH14" i="34"/>
  <c r="AH15" i="34"/>
  <c r="AH21" i="34"/>
  <c r="AH9" i="34"/>
  <c r="AE9" i="34"/>
  <c r="AB9" i="34"/>
  <c r="Y21" i="34"/>
  <c r="V21" i="34"/>
  <c r="AE8" i="34" l="1"/>
  <c r="V8" i="34"/>
  <c r="AH8" i="34"/>
  <c r="Y8" i="34"/>
  <c r="AB8" i="34"/>
  <c r="I14" i="38" l="1"/>
  <c r="XFD8" i="38"/>
  <c r="E15" i="38"/>
  <c r="E14" i="38"/>
  <c r="E13" i="38"/>
  <c r="E12" i="38"/>
  <c r="E11" i="38"/>
  <c r="E10" i="38"/>
  <c r="E9" i="38"/>
  <c r="E8" i="38"/>
  <c r="I40" i="35" l="1"/>
  <c r="I27" i="35" l="1"/>
  <c r="I43" i="35"/>
  <c r="I24" i="35"/>
  <c r="I32" i="35"/>
  <c r="I35" i="35"/>
  <c r="I7" i="35"/>
  <c r="I11" i="35"/>
  <c r="I19" i="35"/>
  <c r="I5" i="35"/>
  <c r="I13" i="35"/>
  <c r="I21" i="35"/>
  <c r="I29" i="35"/>
  <c r="I37" i="35"/>
  <c r="I10" i="35"/>
  <c r="I18" i="35"/>
  <c r="I26" i="35"/>
  <c r="I34" i="35"/>
  <c r="I42" i="35"/>
  <c r="I15" i="35"/>
  <c r="I23" i="35"/>
  <c r="I31" i="35"/>
  <c r="I39" i="35"/>
  <c r="I4" i="35"/>
  <c r="I12" i="35"/>
  <c r="I20" i="35"/>
  <c r="I28" i="35"/>
  <c r="I36" i="35"/>
  <c r="I44" i="35"/>
  <c r="I9" i="35"/>
  <c r="I17" i="35"/>
  <c r="I25" i="35"/>
  <c r="I33" i="35"/>
  <c r="I41" i="35"/>
  <c r="I6" i="35"/>
  <c r="I14" i="35"/>
  <c r="I22" i="35"/>
  <c r="I30" i="35"/>
  <c r="I38" i="35"/>
  <c r="I8" i="35"/>
  <c r="I16" i="35"/>
  <c r="H1" i="35" l="1"/>
  <c r="G1" i="35"/>
  <c r="F1" i="35"/>
  <c r="E1" i="35"/>
  <c r="D1" i="35"/>
  <c r="K44" i="35" l="1"/>
  <c r="K43" i="35"/>
  <c r="K42" i="35"/>
  <c r="K41" i="35"/>
  <c r="K40" i="35"/>
  <c r="K39" i="35"/>
  <c r="K38" i="35"/>
  <c r="K37" i="35"/>
  <c r="K36" i="35"/>
  <c r="K35" i="35"/>
  <c r="K34" i="35"/>
  <c r="K33" i="35"/>
  <c r="K32" i="35"/>
  <c r="K31" i="35"/>
  <c r="K30" i="35"/>
  <c r="K29" i="35"/>
  <c r="K28" i="35"/>
  <c r="K27" i="35"/>
  <c r="K26" i="35"/>
  <c r="K25" i="35"/>
  <c r="K24" i="35"/>
  <c r="K23" i="35"/>
  <c r="K22" i="35"/>
  <c r="K21" i="35"/>
  <c r="K20" i="35"/>
  <c r="K19" i="35"/>
  <c r="K18" i="35"/>
  <c r="K17" i="35"/>
  <c r="K16" i="35"/>
  <c r="K15" i="35"/>
  <c r="K14" i="35"/>
  <c r="K13" i="35"/>
  <c r="K12" i="35"/>
  <c r="K11" i="35"/>
  <c r="K10" i="35"/>
  <c r="K9" i="35"/>
  <c r="K8" i="35"/>
  <c r="K7" i="35"/>
  <c r="K6" i="35"/>
  <c r="K5" i="35"/>
  <c r="K4" i="35"/>
  <c r="F4" i="32" l="1"/>
  <c r="I3" i="35" l="1"/>
  <c r="I1" i="35" l="1"/>
  <c r="K3" i="35" l="1"/>
  <c r="AK2" i="30" l="1"/>
  <c r="AG2" i="32"/>
  <c r="AF2" i="32"/>
  <c r="AC2" i="30"/>
  <c r="AB2" i="30"/>
  <c r="Y2" i="32"/>
  <c r="X2" i="32"/>
  <c r="U2" i="30"/>
  <c r="T2" i="30"/>
  <c r="Q2" i="32"/>
  <c r="P2" i="32"/>
  <c r="M2" i="30"/>
  <c r="L2" i="30"/>
  <c r="I2" i="32"/>
  <c r="H2" i="32"/>
  <c r="K2" i="32" l="1"/>
  <c r="S2" i="32"/>
  <c r="AA2" i="32"/>
  <c r="AI2" i="30"/>
  <c r="AK2" i="32"/>
  <c r="AJ2" i="30"/>
  <c r="AJ2" i="32"/>
  <c r="AI2" i="32"/>
  <c r="W2" i="30"/>
  <c r="J2" i="32"/>
  <c r="R2" i="32"/>
  <c r="Z2" i="32"/>
  <c r="AH2" i="32"/>
  <c r="N2" i="30"/>
  <c r="V2" i="30"/>
  <c r="AD2" i="30"/>
  <c r="L2" i="32"/>
  <c r="T2" i="32"/>
  <c r="AB2" i="32"/>
  <c r="H2" i="30"/>
  <c r="P2" i="30"/>
  <c r="X2" i="30"/>
  <c r="AF2" i="30"/>
  <c r="O2" i="30"/>
  <c r="M2" i="32"/>
  <c r="U2" i="32"/>
  <c r="AC2" i="32"/>
  <c r="I2" i="30"/>
  <c r="Q2" i="30"/>
  <c r="Y2" i="30"/>
  <c r="AG2" i="30"/>
  <c r="AE2" i="30"/>
  <c r="N2" i="32"/>
  <c r="V2" i="32"/>
  <c r="AD2" i="32"/>
  <c r="J2" i="30"/>
  <c r="R2" i="30"/>
  <c r="Z2" i="30"/>
  <c r="AH2" i="30"/>
  <c r="O2" i="32"/>
  <c r="W2" i="32"/>
  <c r="AE2" i="32"/>
  <c r="K2" i="30"/>
  <c r="S2" i="30"/>
  <c r="AA2" i="30"/>
  <c r="S16" i="34" l="1"/>
  <c r="S21" i="34"/>
  <c r="S14" i="34"/>
  <c r="S13" i="34"/>
  <c r="S15" i="34"/>
  <c r="S12" i="34"/>
  <c r="S10" i="34"/>
  <c r="S11" i="34"/>
  <c r="S9" i="34"/>
  <c r="S8" i="34" l="1"/>
  <c r="R47" i="34" l="1"/>
  <c r="R44" i="34"/>
  <c r="R23" i="34"/>
  <c r="R25" i="34"/>
  <c r="R26" i="34"/>
  <c r="R24" i="34"/>
  <c r="R29" i="34"/>
  <c r="R51" i="34"/>
  <c r="R34" i="34"/>
  <c r="R32" i="34"/>
  <c r="R33" i="34"/>
  <c r="R56" i="34"/>
  <c r="R55" i="34"/>
  <c r="R57" i="34"/>
  <c r="R46" i="34"/>
  <c r="R52" i="34" l="1"/>
  <c r="R37" i="34"/>
  <c r="R22" i="34"/>
  <c r="D28" i="33"/>
  <c r="D25" i="33"/>
  <c r="D53" i="33"/>
  <c r="D49" i="33"/>
  <c r="D43" i="33"/>
  <c r="D26" i="33"/>
  <c r="U33" i="34"/>
  <c r="W33" i="34" s="1"/>
  <c r="D44" i="33"/>
  <c r="D27" i="33"/>
  <c r="D45" i="33"/>
  <c r="D41" i="33"/>
  <c r="D35" i="33"/>
  <c r="D39" i="33"/>
  <c r="D31" i="33"/>
  <c r="D36" i="33"/>
  <c r="U45" i="34"/>
  <c r="W45" i="34" s="1"/>
  <c r="U43" i="34"/>
  <c r="D32" i="33"/>
  <c r="D38" i="33"/>
  <c r="D29" i="33"/>
  <c r="D37" i="33"/>
  <c r="U57" i="34"/>
  <c r="W57" i="34" s="1"/>
  <c r="U55" i="34"/>
  <c r="W55" i="34" s="1"/>
  <c r="U56" i="34"/>
  <c r="W56" i="34" s="1"/>
  <c r="U54" i="34"/>
  <c r="D33" i="33"/>
  <c r="D30" i="33"/>
  <c r="D23" i="33"/>
  <c r="U24" i="34"/>
  <c r="W24" i="34" s="1"/>
  <c r="U25" i="34"/>
  <c r="W25" i="34" s="1"/>
  <c r="U22" i="34"/>
  <c r="U40" i="34"/>
  <c r="W40" i="34" s="1"/>
  <c r="U37" i="34"/>
  <c r="D22" i="33"/>
  <c r="D52" i="33"/>
  <c r="D48" i="33"/>
  <c r="D20" i="33"/>
  <c r="D50" i="33"/>
  <c r="D24" i="33"/>
  <c r="D42" i="33"/>
  <c r="D54" i="33"/>
  <c r="U51" i="34"/>
  <c r="W51" i="34" s="1"/>
  <c r="U49" i="34"/>
  <c r="U52" i="34"/>
  <c r="W52" i="34" s="1"/>
  <c r="D55" i="33"/>
  <c r="D47" i="33"/>
  <c r="D21" i="33"/>
  <c r="R43" i="34"/>
  <c r="R49" i="34"/>
  <c r="R50" i="34"/>
  <c r="R35" i="34"/>
  <c r="U29" i="34"/>
  <c r="W29" i="34" s="1"/>
  <c r="U35" i="34"/>
  <c r="W35" i="34" s="1"/>
  <c r="U34" i="34"/>
  <c r="W34" i="34" s="1"/>
  <c r="U44" i="34"/>
  <c r="W44" i="34" s="1"/>
  <c r="R45" i="34"/>
  <c r="R28" i="34"/>
  <c r="R54" i="34"/>
  <c r="R40" i="34"/>
  <c r="R31" i="34"/>
  <c r="R38" i="34"/>
  <c r="R39" i="34"/>
  <c r="R41" i="34"/>
  <c r="M1" i="27"/>
  <c r="N1" i="27"/>
  <c r="O1" i="27"/>
  <c r="P1" i="27"/>
  <c r="Q1" i="27"/>
  <c r="R1" i="27"/>
  <c r="S1" i="27"/>
  <c r="T1" i="27"/>
  <c r="U1" i="27"/>
  <c r="V1" i="27"/>
  <c r="W1" i="27"/>
  <c r="X1" i="27"/>
  <c r="Y1" i="27"/>
  <c r="Z1" i="27"/>
  <c r="AA1" i="27"/>
  <c r="AB1" i="27"/>
  <c r="AC1" i="27"/>
  <c r="AD1" i="27"/>
  <c r="AE1" i="27"/>
  <c r="AF1" i="27"/>
  <c r="AG1" i="27"/>
  <c r="AH1" i="27"/>
  <c r="AI1" i="27"/>
  <c r="AJ1" i="27"/>
  <c r="AK1" i="27"/>
  <c r="AL1" i="27"/>
  <c r="AM1" i="27"/>
  <c r="AN1" i="27"/>
  <c r="AO1" i="27"/>
  <c r="AP1" i="27"/>
  <c r="L1" i="27"/>
  <c r="H3" i="30"/>
  <c r="K3" i="32"/>
  <c r="L3" i="32"/>
  <c r="M3" i="32"/>
  <c r="O3" i="32"/>
  <c r="P3" i="30"/>
  <c r="S3" i="32"/>
  <c r="T3" i="32"/>
  <c r="W3" i="32"/>
  <c r="X3" i="30"/>
  <c r="AF2" i="27"/>
  <c r="AB3" i="32"/>
  <c r="AC3" i="32"/>
  <c r="AE3" i="32"/>
  <c r="AF3" i="30"/>
  <c r="AG3" i="30"/>
  <c r="R63" i="34" l="1"/>
  <c r="R36" i="34"/>
  <c r="R30" i="34"/>
  <c r="D40" i="33"/>
  <c r="D12" i="33" s="1"/>
  <c r="D5" i="33" s="1"/>
  <c r="D34" i="33"/>
  <c r="D11" i="33" s="1"/>
  <c r="D4" i="33" s="1"/>
  <c r="U26" i="34"/>
  <c r="W26" i="34" s="1"/>
  <c r="D10" i="33"/>
  <c r="U50" i="34"/>
  <c r="W50" i="34" s="1"/>
  <c r="D60" i="33"/>
  <c r="D51" i="33"/>
  <c r="D14" i="33" s="1"/>
  <c r="D56" i="33"/>
  <c r="D15" i="33" s="1"/>
  <c r="D46" i="33"/>
  <c r="D13" i="33" s="1"/>
  <c r="D9" i="33"/>
  <c r="D59" i="33"/>
  <c r="D58" i="33"/>
  <c r="D57" i="33"/>
  <c r="U23" i="34"/>
  <c r="W23" i="34" s="1"/>
  <c r="U42" i="34"/>
  <c r="W42" i="34" s="1"/>
  <c r="U58" i="34"/>
  <c r="W58" i="34" s="1"/>
  <c r="U32" i="34"/>
  <c r="W32" i="34" s="1"/>
  <c r="R48" i="34"/>
  <c r="U48" i="34"/>
  <c r="W48" i="34" s="1"/>
  <c r="U27" i="34"/>
  <c r="U39" i="34"/>
  <c r="W39" i="34" s="1"/>
  <c r="U46" i="34"/>
  <c r="W46" i="34" s="1"/>
  <c r="R58" i="34"/>
  <c r="R42" i="34"/>
  <c r="R27" i="34"/>
  <c r="U47" i="34"/>
  <c r="W47" i="34" s="1"/>
  <c r="U31" i="34"/>
  <c r="W31" i="34" s="1"/>
  <c r="R53" i="34"/>
  <c r="U28" i="34"/>
  <c r="W28" i="34" s="1"/>
  <c r="W49" i="34"/>
  <c r="U38" i="34"/>
  <c r="W38" i="34" s="1"/>
  <c r="R62" i="34"/>
  <c r="R59" i="34"/>
  <c r="R60" i="34"/>
  <c r="R61" i="34"/>
  <c r="W37" i="34"/>
  <c r="W43" i="34"/>
  <c r="U41" i="34"/>
  <c r="W41" i="34" s="1"/>
  <c r="W22" i="34"/>
  <c r="W54" i="34"/>
  <c r="G2" i="30"/>
  <c r="G3" i="30" s="1"/>
  <c r="AE3" i="30"/>
  <c r="W3" i="30"/>
  <c r="O3" i="30"/>
  <c r="AJ2" i="27"/>
  <c r="AB2" i="27"/>
  <c r="T2" i="27"/>
  <c r="AL2" i="27"/>
  <c r="AD2" i="27"/>
  <c r="V2" i="27"/>
  <c r="N2" i="27"/>
  <c r="AA3" i="32"/>
  <c r="AK2" i="27"/>
  <c r="AC2" i="27"/>
  <c r="U2" i="27"/>
  <c r="M2" i="27"/>
  <c r="AD3" i="30"/>
  <c r="V3" i="30"/>
  <c r="N3" i="30"/>
  <c r="AH3" i="32"/>
  <c r="Z3" i="32"/>
  <c r="R3" i="32"/>
  <c r="J3" i="32"/>
  <c r="U3" i="30"/>
  <c r="Q3" i="32"/>
  <c r="AI2" i="27"/>
  <c r="AA2" i="27"/>
  <c r="S2" i="27"/>
  <c r="AB3" i="30"/>
  <c r="T3" i="30"/>
  <c r="L3" i="30"/>
  <c r="AF3" i="32"/>
  <c r="X3" i="32"/>
  <c r="P3" i="32"/>
  <c r="H3" i="32"/>
  <c r="AC3" i="30"/>
  <c r="AG3" i="32"/>
  <c r="I3" i="32"/>
  <c r="AH2" i="27"/>
  <c r="Z2" i="27"/>
  <c r="R2" i="27"/>
  <c r="AA3" i="30"/>
  <c r="S3" i="30"/>
  <c r="K3" i="30"/>
  <c r="M3" i="30"/>
  <c r="Y3" i="32"/>
  <c r="AG2" i="27"/>
  <c r="Y2" i="27"/>
  <c r="Q2" i="27"/>
  <c r="AH3" i="30"/>
  <c r="Z3" i="30"/>
  <c r="R3" i="30"/>
  <c r="J3" i="30"/>
  <c r="AD3" i="32"/>
  <c r="V3" i="32"/>
  <c r="N3" i="32"/>
  <c r="P2" i="27"/>
  <c r="Y3" i="30"/>
  <c r="U3" i="32"/>
  <c r="X2" i="27"/>
  <c r="Q3" i="30"/>
  <c r="I3" i="30"/>
  <c r="AM2" i="27"/>
  <c r="AE2" i="27"/>
  <c r="W2" i="27"/>
  <c r="O2" i="27"/>
  <c r="G2" i="32"/>
  <c r="G3" i="32" s="1"/>
  <c r="L2" i="27"/>
  <c r="D6" i="33" l="1"/>
  <c r="D61" i="33"/>
  <c r="D16" i="33" s="1"/>
  <c r="D8" i="33" s="1"/>
  <c r="U63" i="34"/>
  <c r="W63" i="34" s="1"/>
  <c r="D3" i="33"/>
  <c r="X29" i="34"/>
  <c r="Z29" i="34" s="1"/>
  <c r="X41" i="34"/>
  <c r="Z41" i="34" s="1"/>
  <c r="U53" i="34"/>
  <c r="W53" i="34" s="1"/>
  <c r="W14" i="34" s="1"/>
  <c r="X54" i="34"/>
  <c r="Z54" i="34" s="1"/>
  <c r="X51" i="34"/>
  <c r="Z51" i="34" s="1"/>
  <c r="X56" i="34"/>
  <c r="Z56" i="34" s="1"/>
  <c r="U36" i="34"/>
  <c r="W36" i="34" s="1"/>
  <c r="W11" i="34" s="1"/>
  <c r="X57" i="34"/>
  <c r="Z57" i="34" s="1"/>
  <c r="X38" i="34"/>
  <c r="Z38" i="34" s="1"/>
  <c r="X24" i="34"/>
  <c r="Z24" i="34" s="1"/>
  <c r="X40" i="34"/>
  <c r="Z40" i="34" s="1"/>
  <c r="X32" i="34"/>
  <c r="Z32" i="34" s="1"/>
  <c r="X52" i="34"/>
  <c r="Z52" i="34" s="1"/>
  <c r="X23" i="34"/>
  <c r="Z23" i="34" s="1"/>
  <c r="X26" i="34"/>
  <c r="Z26" i="34" s="1"/>
  <c r="W27" i="34"/>
  <c r="W9" i="34" s="1"/>
  <c r="U9" i="34"/>
  <c r="U13" i="34"/>
  <c r="X39" i="34"/>
  <c r="Z39" i="34" s="1"/>
  <c r="U15" i="34"/>
  <c r="W15" i="34"/>
  <c r="X50" i="34"/>
  <c r="Z50" i="34" s="1"/>
  <c r="X35" i="34"/>
  <c r="Z35" i="34" s="1"/>
  <c r="U30" i="34"/>
  <c r="X25" i="34"/>
  <c r="Z25" i="34" s="1"/>
  <c r="X37" i="34"/>
  <c r="X55" i="34"/>
  <c r="Z55" i="34" s="1"/>
  <c r="X43" i="34"/>
  <c r="Z43" i="34" s="1"/>
  <c r="X22" i="34"/>
  <c r="Z22" i="34" s="1"/>
  <c r="X31" i="34"/>
  <c r="Z31" i="34" s="1"/>
  <c r="U12" i="34"/>
  <c r="W12" i="34"/>
  <c r="U60" i="34"/>
  <c r="W60" i="34" s="1"/>
  <c r="U61" i="34"/>
  <c r="W61" i="34" s="1"/>
  <c r="X45" i="34"/>
  <c r="Z45" i="34" s="1"/>
  <c r="X47" i="34"/>
  <c r="Z47" i="34" s="1"/>
  <c r="X46" i="34"/>
  <c r="Z46" i="34" s="1"/>
  <c r="X34" i="34"/>
  <c r="Z34" i="34" s="1"/>
  <c r="X49" i="34"/>
  <c r="U62" i="34"/>
  <c r="W62" i="34" s="1"/>
  <c r="W13" i="34"/>
  <c r="X33" i="34"/>
  <c r="Z33" i="34" s="1"/>
  <c r="X44" i="34"/>
  <c r="U59" i="34"/>
  <c r="X28" i="34"/>
  <c r="D7" i="33" l="1"/>
  <c r="X27" i="34"/>
  <c r="Z27" i="34" s="1"/>
  <c r="Z9" i="34" s="1"/>
  <c r="U14" i="34"/>
  <c r="X36" i="34"/>
  <c r="Z36" i="34" s="1"/>
  <c r="Z11" i="34" s="1"/>
  <c r="U11" i="34"/>
  <c r="X30" i="34"/>
  <c r="Z30" i="34" s="1"/>
  <c r="X48" i="34"/>
  <c r="Z48" i="34" s="1"/>
  <c r="X53" i="34"/>
  <c r="Z53" i="34" s="1"/>
  <c r="X58" i="34"/>
  <c r="Z58" i="34" s="1"/>
  <c r="Z15" i="34" s="1"/>
  <c r="X42" i="34"/>
  <c r="Z42" i="34" s="1"/>
  <c r="W30" i="34"/>
  <c r="W10" i="34" s="1"/>
  <c r="U10" i="34"/>
  <c r="Z37" i="34"/>
  <c r="X60" i="34"/>
  <c r="Z60" i="34" s="1"/>
  <c r="W59" i="34"/>
  <c r="U16" i="34"/>
  <c r="U21" i="34"/>
  <c r="X61" i="34"/>
  <c r="Z61" i="34" s="1"/>
  <c r="Z28" i="34"/>
  <c r="Z44" i="34"/>
  <c r="X62" i="34"/>
  <c r="Z62" i="34" s="1"/>
  <c r="Z49" i="34"/>
  <c r="X59" i="34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X9" i="34" l="1"/>
  <c r="X11" i="34"/>
  <c r="Z13" i="34"/>
  <c r="X13" i="34"/>
  <c r="X10" i="34"/>
  <c r="Z10" i="34"/>
  <c r="X63" i="34"/>
  <c r="Z63" i="34" s="1"/>
  <c r="X14" i="34"/>
  <c r="Z14" i="34"/>
  <c r="X15" i="34"/>
  <c r="U8" i="34"/>
  <c r="Z12" i="34"/>
  <c r="X12" i="34"/>
  <c r="W16" i="34"/>
  <c r="W8" i="34" s="1"/>
  <c r="W21" i="34"/>
  <c r="Z59" i="34"/>
  <c r="Z16" i="34" l="1"/>
  <c r="Z8" i="34" s="1"/>
  <c r="X16" i="34"/>
  <c r="X8" i="34" s="1"/>
  <c r="X21" i="34"/>
  <c r="Z21" i="34"/>
  <c r="AJ59" i="31" l="1"/>
  <c r="AI59" i="31"/>
  <c r="AH59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AJ58" i="31"/>
  <c r="AI58" i="31"/>
  <c r="AH58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AJ57" i="31"/>
  <c r="AI57" i="31"/>
  <c r="AH57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AJ48" i="31"/>
  <c r="AI48" i="31"/>
  <c r="AH48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AJ47" i="31"/>
  <c r="AI47" i="31"/>
  <c r="AH47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AJ46" i="31"/>
  <c r="AI46" i="31"/>
  <c r="AH46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AJ37" i="31"/>
  <c r="AI37" i="31"/>
  <c r="AH37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AJ36" i="31"/>
  <c r="AI36" i="31"/>
  <c r="AH36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AJ35" i="31"/>
  <c r="AI35" i="31"/>
  <c r="AH35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AJ26" i="31"/>
  <c r="AI26" i="31"/>
  <c r="AH26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AJ25" i="31"/>
  <c r="AI25" i="31"/>
  <c r="AH25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AJ24" i="31"/>
  <c r="AI24" i="31"/>
  <c r="AH24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AJ15" i="31"/>
  <c r="AI15" i="31"/>
  <c r="AH15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AJ14" i="31"/>
  <c r="AI14" i="31"/>
  <c r="AH14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AJ13" i="31"/>
  <c r="AI13" i="31"/>
  <c r="AH13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AJ12" i="31"/>
  <c r="AI12" i="31"/>
  <c r="AH12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AJ11" i="31"/>
  <c r="AI11" i="31"/>
  <c r="AH11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AJ10" i="31"/>
  <c r="AI10" i="31"/>
  <c r="AH10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AJ9" i="31"/>
  <c r="AI9" i="31"/>
  <c r="AH9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AJ8" i="31"/>
  <c r="AI8" i="31"/>
  <c r="AH8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AJ7" i="31"/>
  <c r="AI7" i="31"/>
  <c r="AH7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AJ6" i="31"/>
  <c r="AI6" i="31"/>
  <c r="AH6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AJ5" i="31"/>
  <c r="AI5" i="31"/>
  <c r="AH5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AJ4" i="31"/>
  <c r="AI4" i="31"/>
  <c r="AH4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E59" i="31" l="1"/>
  <c r="E11" i="31"/>
  <c r="E26" i="31"/>
  <c r="E34" i="31"/>
  <c r="E42" i="31"/>
  <c r="E50" i="31"/>
  <c r="E10" i="31"/>
  <c r="E15" i="31"/>
  <c r="E5" i="31"/>
  <c r="E4" i="31"/>
  <c r="E12" i="31"/>
  <c r="E20" i="31"/>
  <c r="E28" i="31"/>
  <c r="E36" i="31"/>
  <c r="E44" i="31"/>
  <c r="E52" i="31"/>
  <c r="E19" i="31"/>
  <c r="E27" i="31"/>
  <c r="E35" i="31"/>
  <c r="E43" i="31"/>
  <c r="E51" i="31"/>
  <c r="E18" i="31"/>
  <c r="E58" i="31"/>
  <c r="E9" i="31"/>
  <c r="E17" i="31"/>
  <c r="E25" i="31"/>
  <c r="E33" i="31"/>
  <c r="E41" i="31"/>
  <c r="E49" i="31"/>
  <c r="E57" i="31"/>
  <c r="E8" i="31"/>
  <c r="E16" i="31"/>
  <c r="E24" i="31"/>
  <c r="E32" i="31"/>
  <c r="E40" i="31"/>
  <c r="E48" i="31"/>
  <c r="E56" i="31"/>
  <c r="E7" i="31"/>
  <c r="E23" i="31"/>
  <c r="E31" i="31"/>
  <c r="E39" i="31"/>
  <c r="E47" i="31"/>
  <c r="E55" i="31"/>
  <c r="E14" i="31"/>
  <c r="E22" i="31"/>
  <c r="E30" i="31"/>
  <c r="E38" i="31"/>
  <c r="E46" i="31"/>
  <c r="E54" i="31"/>
  <c r="E6" i="31"/>
  <c r="E13" i="31"/>
  <c r="E21" i="31"/>
  <c r="E29" i="31"/>
  <c r="E37" i="31"/>
  <c r="E45" i="31"/>
  <c r="E53" i="31"/>
  <c r="G32" i="14" l="1"/>
  <c r="E17" i="25" l="1"/>
  <c r="G17" i="25" s="1"/>
  <c r="H17" i="25" l="1"/>
  <c r="F17" i="25"/>
  <c r="F18" i="25" l="1"/>
  <c r="H18" i="25"/>
  <c r="G18" i="25"/>
  <c r="T56" i="34" l="1"/>
  <c r="T52" i="34"/>
  <c r="T27" i="34"/>
  <c r="T40" i="34"/>
  <c r="T23" i="34"/>
  <c r="T35" i="34"/>
  <c r="T24" i="34"/>
  <c r="T62" i="34"/>
  <c r="T53" i="34"/>
  <c r="T41" i="34"/>
  <c r="T63" i="34"/>
  <c r="T57" i="34"/>
  <c r="T60" i="34"/>
  <c r="T45" i="34"/>
  <c r="T32" i="34"/>
  <c r="T58" i="34"/>
  <c r="T38" i="34"/>
  <c r="T36" i="34"/>
  <c r="T29" i="34"/>
  <c r="T50" i="34"/>
  <c r="T25" i="34"/>
  <c r="T39" i="34"/>
  <c r="T61" i="34"/>
  <c r="T46" i="34"/>
  <c r="T33" i="34"/>
  <c r="T43" i="34"/>
  <c r="T55" i="34"/>
  <c r="T51" i="34"/>
  <c r="T26" i="34"/>
  <c r="T49" i="34"/>
  <c r="T30" i="34"/>
  <c r="T47" i="34"/>
  <c r="T34" i="34"/>
  <c r="T44" i="34"/>
  <c r="J86" i="22"/>
  <c r="I86" i="22"/>
  <c r="H86" i="22"/>
  <c r="G86" i="22"/>
  <c r="J85" i="22"/>
  <c r="I85" i="22"/>
  <c r="H85" i="22"/>
  <c r="G85" i="22"/>
  <c r="J84" i="22"/>
  <c r="I84" i="22"/>
  <c r="H84" i="22"/>
  <c r="G84" i="22"/>
  <c r="J83" i="22"/>
  <c r="I83" i="22"/>
  <c r="H83" i="22"/>
  <c r="G83" i="22"/>
  <c r="J82" i="22"/>
  <c r="I82" i="22"/>
  <c r="H82" i="22"/>
  <c r="G82" i="22"/>
  <c r="J81" i="22"/>
  <c r="I81" i="22"/>
  <c r="H81" i="22"/>
  <c r="G81" i="22"/>
  <c r="J80" i="22"/>
  <c r="I80" i="22"/>
  <c r="H80" i="22"/>
  <c r="G80" i="22"/>
  <c r="J79" i="22"/>
  <c r="I79" i="22"/>
  <c r="H79" i="22"/>
  <c r="G79" i="22"/>
  <c r="J78" i="22"/>
  <c r="I78" i="22"/>
  <c r="H78" i="22"/>
  <c r="G78" i="22"/>
  <c r="J77" i="22"/>
  <c r="I77" i="22"/>
  <c r="H77" i="22"/>
  <c r="G77" i="22"/>
  <c r="J76" i="22"/>
  <c r="I76" i="22"/>
  <c r="H76" i="22"/>
  <c r="G76" i="22"/>
  <c r="J75" i="22"/>
  <c r="I75" i="22"/>
  <c r="H75" i="22"/>
  <c r="G75" i="22"/>
  <c r="J74" i="22"/>
  <c r="I74" i="22"/>
  <c r="H74" i="22"/>
  <c r="G74" i="22"/>
  <c r="J73" i="22"/>
  <c r="I73" i="22"/>
  <c r="H73" i="22"/>
  <c r="G73" i="22"/>
  <c r="J72" i="22"/>
  <c r="I72" i="22"/>
  <c r="H72" i="22"/>
  <c r="G72" i="22"/>
  <c r="J71" i="22"/>
  <c r="I71" i="22"/>
  <c r="H71" i="22"/>
  <c r="G71" i="22"/>
  <c r="J70" i="22"/>
  <c r="I70" i="22"/>
  <c r="H70" i="22"/>
  <c r="G70" i="22"/>
  <c r="J69" i="22"/>
  <c r="I69" i="22"/>
  <c r="H69" i="22"/>
  <c r="G69" i="22"/>
  <c r="J68" i="22"/>
  <c r="I68" i="22"/>
  <c r="H68" i="22"/>
  <c r="G68" i="22"/>
  <c r="J67" i="22"/>
  <c r="I67" i="22"/>
  <c r="H67" i="22"/>
  <c r="G67" i="22"/>
  <c r="J66" i="22"/>
  <c r="I66" i="22"/>
  <c r="H66" i="22"/>
  <c r="G66" i="22"/>
  <c r="J65" i="22"/>
  <c r="I65" i="22"/>
  <c r="H65" i="22"/>
  <c r="G65" i="22"/>
  <c r="J64" i="22"/>
  <c r="I64" i="22"/>
  <c r="H64" i="22"/>
  <c r="G64" i="22"/>
  <c r="J63" i="22"/>
  <c r="I63" i="22"/>
  <c r="H63" i="22"/>
  <c r="G63" i="22"/>
  <c r="J62" i="22"/>
  <c r="I62" i="22"/>
  <c r="H62" i="22"/>
  <c r="G62" i="22"/>
  <c r="J61" i="22"/>
  <c r="I61" i="22"/>
  <c r="H61" i="22"/>
  <c r="G61" i="22"/>
  <c r="J60" i="22"/>
  <c r="I60" i="22"/>
  <c r="H60" i="22"/>
  <c r="G60" i="22"/>
  <c r="J59" i="22"/>
  <c r="I59" i="22"/>
  <c r="H59" i="22"/>
  <c r="G59" i="22"/>
  <c r="J58" i="22"/>
  <c r="I58" i="22"/>
  <c r="H58" i="22"/>
  <c r="G58" i="22"/>
  <c r="J57" i="22"/>
  <c r="I57" i="22"/>
  <c r="H57" i="22"/>
  <c r="G57" i="22"/>
  <c r="J56" i="22"/>
  <c r="I56" i="22"/>
  <c r="H56" i="22"/>
  <c r="G56" i="22"/>
  <c r="J55" i="22"/>
  <c r="I55" i="22"/>
  <c r="H55" i="22"/>
  <c r="G55" i="22"/>
  <c r="J54" i="22"/>
  <c r="I54" i="22"/>
  <c r="H54" i="22"/>
  <c r="G54" i="22"/>
  <c r="J53" i="22"/>
  <c r="I53" i="22"/>
  <c r="H53" i="22"/>
  <c r="G53" i="22"/>
  <c r="J52" i="22"/>
  <c r="I52" i="22"/>
  <c r="H52" i="22"/>
  <c r="G52" i="22"/>
  <c r="J51" i="22"/>
  <c r="I51" i="22"/>
  <c r="H51" i="22"/>
  <c r="G51" i="22"/>
  <c r="J50" i="22"/>
  <c r="I50" i="22"/>
  <c r="H50" i="22"/>
  <c r="G50" i="22"/>
  <c r="J49" i="22"/>
  <c r="I49" i="22"/>
  <c r="H49" i="22"/>
  <c r="G49" i="22"/>
  <c r="J48" i="22"/>
  <c r="I48" i="22"/>
  <c r="H48" i="22"/>
  <c r="G48" i="22"/>
  <c r="J47" i="22"/>
  <c r="I47" i="22"/>
  <c r="H47" i="22"/>
  <c r="G47" i="22"/>
  <c r="J46" i="22"/>
  <c r="I46" i="22"/>
  <c r="H46" i="22"/>
  <c r="G46" i="22"/>
  <c r="J45" i="22"/>
  <c r="I45" i="22"/>
  <c r="H45" i="22"/>
  <c r="G45" i="22"/>
  <c r="J44" i="22"/>
  <c r="I44" i="22"/>
  <c r="H44" i="22"/>
  <c r="G44" i="22"/>
  <c r="J43" i="22"/>
  <c r="I43" i="22"/>
  <c r="H43" i="22"/>
  <c r="G43" i="22"/>
  <c r="J42" i="22"/>
  <c r="I42" i="22"/>
  <c r="H42" i="22"/>
  <c r="G42" i="22"/>
  <c r="J41" i="22"/>
  <c r="I41" i="22"/>
  <c r="H41" i="22"/>
  <c r="G41" i="22"/>
  <c r="J40" i="22"/>
  <c r="I40" i="22"/>
  <c r="H40" i="22"/>
  <c r="G40" i="22"/>
  <c r="J39" i="22"/>
  <c r="I39" i="22"/>
  <c r="H39" i="22"/>
  <c r="G39" i="22"/>
  <c r="J38" i="22"/>
  <c r="I38" i="22"/>
  <c r="H38" i="22"/>
  <c r="G38" i="22"/>
  <c r="J37" i="22"/>
  <c r="I37" i="22"/>
  <c r="H37" i="22"/>
  <c r="G37" i="22"/>
  <c r="J36" i="22"/>
  <c r="I36" i="22"/>
  <c r="H36" i="22"/>
  <c r="G36" i="22"/>
  <c r="J35" i="22"/>
  <c r="I35" i="22"/>
  <c r="H35" i="22"/>
  <c r="G35" i="22"/>
  <c r="J34" i="22"/>
  <c r="I34" i="22"/>
  <c r="H34" i="22"/>
  <c r="G34" i="22"/>
  <c r="J33" i="22"/>
  <c r="I33" i="22"/>
  <c r="H33" i="22"/>
  <c r="G33" i="22"/>
  <c r="J32" i="22"/>
  <c r="I32" i="22"/>
  <c r="H32" i="22"/>
  <c r="G32" i="22"/>
  <c r="J31" i="22"/>
  <c r="I31" i="22"/>
  <c r="H31" i="22"/>
  <c r="G31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AH17" i="22"/>
  <c r="AH8" i="22"/>
  <c r="J86" i="21"/>
  <c r="I86" i="21"/>
  <c r="H86" i="21"/>
  <c r="G86" i="21"/>
  <c r="J85" i="21"/>
  <c r="I85" i="21"/>
  <c r="H85" i="21"/>
  <c r="G85" i="21"/>
  <c r="J84" i="21"/>
  <c r="I84" i="21"/>
  <c r="H84" i="21"/>
  <c r="G84" i="21"/>
  <c r="J83" i="21"/>
  <c r="I83" i="21"/>
  <c r="H83" i="21"/>
  <c r="G83" i="21"/>
  <c r="J82" i="21"/>
  <c r="I82" i="21"/>
  <c r="H82" i="21"/>
  <c r="G82" i="21"/>
  <c r="J81" i="21"/>
  <c r="I81" i="21"/>
  <c r="H81" i="21"/>
  <c r="G81" i="21"/>
  <c r="J80" i="21"/>
  <c r="I80" i="21"/>
  <c r="H80" i="21"/>
  <c r="G80" i="21"/>
  <c r="J79" i="21"/>
  <c r="I79" i="21"/>
  <c r="H79" i="21"/>
  <c r="G79" i="21"/>
  <c r="J78" i="21"/>
  <c r="I78" i="21"/>
  <c r="H78" i="21"/>
  <c r="G78" i="21"/>
  <c r="J77" i="21"/>
  <c r="I77" i="21"/>
  <c r="H77" i="21"/>
  <c r="G77" i="21"/>
  <c r="J76" i="21"/>
  <c r="I76" i="21"/>
  <c r="H76" i="21"/>
  <c r="G76" i="21"/>
  <c r="J75" i="21"/>
  <c r="I75" i="21"/>
  <c r="H75" i="21"/>
  <c r="G75" i="21"/>
  <c r="J74" i="21"/>
  <c r="I74" i="21"/>
  <c r="H74" i="21"/>
  <c r="G74" i="21"/>
  <c r="J73" i="21"/>
  <c r="I73" i="21"/>
  <c r="H73" i="21"/>
  <c r="G73" i="21"/>
  <c r="J72" i="21"/>
  <c r="I72" i="21"/>
  <c r="H72" i="21"/>
  <c r="G72" i="21"/>
  <c r="J71" i="21"/>
  <c r="I71" i="21"/>
  <c r="H71" i="21"/>
  <c r="G71" i="21"/>
  <c r="J70" i="21"/>
  <c r="I70" i="21"/>
  <c r="H70" i="21"/>
  <c r="G70" i="21"/>
  <c r="J69" i="21"/>
  <c r="I69" i="21"/>
  <c r="H69" i="21"/>
  <c r="G69" i="21"/>
  <c r="J68" i="21"/>
  <c r="I68" i="21"/>
  <c r="H68" i="21"/>
  <c r="G68" i="21"/>
  <c r="J67" i="21"/>
  <c r="I67" i="21"/>
  <c r="H67" i="21"/>
  <c r="G67" i="21"/>
  <c r="J66" i="21"/>
  <c r="I66" i="21"/>
  <c r="H66" i="21"/>
  <c r="G66" i="21"/>
  <c r="J65" i="21"/>
  <c r="I65" i="21"/>
  <c r="H65" i="21"/>
  <c r="G65" i="21"/>
  <c r="J64" i="21"/>
  <c r="I64" i="21"/>
  <c r="H64" i="21"/>
  <c r="G64" i="21"/>
  <c r="J63" i="21"/>
  <c r="I63" i="21"/>
  <c r="H63" i="21"/>
  <c r="G63" i="21"/>
  <c r="J62" i="21"/>
  <c r="I62" i="21"/>
  <c r="H62" i="21"/>
  <c r="G62" i="21"/>
  <c r="J61" i="21"/>
  <c r="I61" i="21"/>
  <c r="H61" i="21"/>
  <c r="G61" i="21"/>
  <c r="J60" i="21"/>
  <c r="I60" i="21"/>
  <c r="H60" i="21"/>
  <c r="G60" i="21"/>
  <c r="J59" i="21"/>
  <c r="I59" i="21"/>
  <c r="H59" i="21"/>
  <c r="G59" i="21"/>
  <c r="J58" i="21"/>
  <c r="I58" i="21"/>
  <c r="H58" i="21"/>
  <c r="G58" i="21"/>
  <c r="J57" i="21"/>
  <c r="I57" i="21"/>
  <c r="H57" i="21"/>
  <c r="G57" i="21"/>
  <c r="J56" i="21"/>
  <c r="I56" i="21"/>
  <c r="H56" i="21"/>
  <c r="G56" i="21"/>
  <c r="J55" i="21"/>
  <c r="I55" i="21"/>
  <c r="H55" i="21"/>
  <c r="G55" i="21"/>
  <c r="J54" i="21"/>
  <c r="I54" i="21"/>
  <c r="H54" i="21"/>
  <c r="G54" i="21"/>
  <c r="J53" i="21"/>
  <c r="I53" i="21"/>
  <c r="H53" i="21"/>
  <c r="G53" i="21"/>
  <c r="J52" i="21"/>
  <c r="I52" i="21"/>
  <c r="H52" i="21"/>
  <c r="G52" i="21"/>
  <c r="J51" i="21"/>
  <c r="I51" i="21"/>
  <c r="H51" i="21"/>
  <c r="G51" i="21"/>
  <c r="J50" i="21"/>
  <c r="I50" i="21"/>
  <c r="H50" i="21"/>
  <c r="G50" i="21"/>
  <c r="J49" i="21"/>
  <c r="I49" i="21"/>
  <c r="H49" i="21"/>
  <c r="G49" i="21"/>
  <c r="J48" i="21"/>
  <c r="I48" i="21"/>
  <c r="H48" i="21"/>
  <c r="G48" i="21"/>
  <c r="J47" i="21"/>
  <c r="I47" i="21"/>
  <c r="H47" i="21"/>
  <c r="G47" i="21"/>
  <c r="J46" i="21"/>
  <c r="I46" i="21"/>
  <c r="H46" i="21"/>
  <c r="G46" i="21"/>
  <c r="J45" i="21"/>
  <c r="I45" i="21"/>
  <c r="H45" i="21"/>
  <c r="G45" i="21"/>
  <c r="J44" i="21"/>
  <c r="I44" i="21"/>
  <c r="H44" i="21"/>
  <c r="G44" i="21"/>
  <c r="J43" i="21"/>
  <c r="I43" i="21"/>
  <c r="H43" i="21"/>
  <c r="G43" i="21"/>
  <c r="J42" i="21"/>
  <c r="I42" i="21"/>
  <c r="H42" i="21"/>
  <c r="G42" i="21"/>
  <c r="J41" i="21"/>
  <c r="I41" i="21"/>
  <c r="H41" i="21"/>
  <c r="G41" i="21"/>
  <c r="J40" i="21"/>
  <c r="I40" i="21"/>
  <c r="H40" i="21"/>
  <c r="G40" i="21"/>
  <c r="J39" i="21"/>
  <c r="I39" i="21"/>
  <c r="H39" i="21"/>
  <c r="G39" i="21"/>
  <c r="J38" i="21"/>
  <c r="I38" i="21"/>
  <c r="H38" i="21"/>
  <c r="G38" i="21"/>
  <c r="J37" i="21"/>
  <c r="I37" i="21"/>
  <c r="H37" i="21"/>
  <c r="G37" i="21"/>
  <c r="J36" i="21"/>
  <c r="I36" i="21"/>
  <c r="H36" i="21"/>
  <c r="G36" i="21"/>
  <c r="J35" i="21"/>
  <c r="I35" i="21"/>
  <c r="H35" i="21"/>
  <c r="G35" i="21"/>
  <c r="J34" i="21"/>
  <c r="I34" i="21"/>
  <c r="H34" i="21"/>
  <c r="G34" i="21"/>
  <c r="J33" i="21"/>
  <c r="I33" i="21"/>
  <c r="H33" i="21"/>
  <c r="G33" i="21"/>
  <c r="J32" i="21"/>
  <c r="I32" i="21"/>
  <c r="H32" i="21"/>
  <c r="G32" i="21"/>
  <c r="J31" i="21"/>
  <c r="I31" i="21"/>
  <c r="H31" i="21"/>
  <c r="G31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AG25" i="21"/>
  <c r="AF25" i="21"/>
  <c r="AE25" i="21"/>
  <c r="AD25" i="21"/>
  <c r="AC25" i="21"/>
  <c r="AB25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K25" i="21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R24" i="21"/>
  <c r="Q24" i="21"/>
  <c r="P24" i="21"/>
  <c r="O24" i="21"/>
  <c r="N24" i="21"/>
  <c r="M24" i="21"/>
  <c r="L24" i="21"/>
  <c r="K24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AH17" i="21"/>
  <c r="AH8" i="21"/>
  <c r="J86" i="20"/>
  <c r="I86" i="20"/>
  <c r="H86" i="20"/>
  <c r="G86" i="20"/>
  <c r="J85" i="20"/>
  <c r="I85" i="20"/>
  <c r="H85" i="20"/>
  <c r="G85" i="20"/>
  <c r="J84" i="20"/>
  <c r="I84" i="20"/>
  <c r="H84" i="20"/>
  <c r="G84" i="20"/>
  <c r="J83" i="20"/>
  <c r="I83" i="20"/>
  <c r="H83" i="20"/>
  <c r="G83" i="20"/>
  <c r="J82" i="20"/>
  <c r="I82" i="20"/>
  <c r="H82" i="20"/>
  <c r="G82" i="20"/>
  <c r="J81" i="20"/>
  <c r="I81" i="20"/>
  <c r="H81" i="20"/>
  <c r="G81" i="20"/>
  <c r="J80" i="20"/>
  <c r="I80" i="20"/>
  <c r="H80" i="20"/>
  <c r="G80" i="20"/>
  <c r="J79" i="20"/>
  <c r="I79" i="20"/>
  <c r="H79" i="20"/>
  <c r="G79" i="20"/>
  <c r="J78" i="20"/>
  <c r="I78" i="20"/>
  <c r="H78" i="20"/>
  <c r="G78" i="20"/>
  <c r="J77" i="20"/>
  <c r="I77" i="20"/>
  <c r="H77" i="20"/>
  <c r="G77" i="20"/>
  <c r="J76" i="20"/>
  <c r="I76" i="20"/>
  <c r="H76" i="20"/>
  <c r="G76" i="20"/>
  <c r="J75" i="20"/>
  <c r="I75" i="20"/>
  <c r="H75" i="20"/>
  <c r="G75" i="20"/>
  <c r="J74" i="20"/>
  <c r="I74" i="20"/>
  <c r="H74" i="20"/>
  <c r="G74" i="20"/>
  <c r="J73" i="20"/>
  <c r="I73" i="20"/>
  <c r="H73" i="20"/>
  <c r="G73" i="20"/>
  <c r="J72" i="20"/>
  <c r="I72" i="20"/>
  <c r="H72" i="20"/>
  <c r="G72" i="20"/>
  <c r="J71" i="20"/>
  <c r="I71" i="20"/>
  <c r="H71" i="20"/>
  <c r="G71" i="20"/>
  <c r="J70" i="20"/>
  <c r="I70" i="20"/>
  <c r="H70" i="20"/>
  <c r="G70" i="20"/>
  <c r="J69" i="20"/>
  <c r="I69" i="20"/>
  <c r="H69" i="20"/>
  <c r="G69" i="20"/>
  <c r="J68" i="20"/>
  <c r="I68" i="20"/>
  <c r="H68" i="20"/>
  <c r="G68" i="20"/>
  <c r="J67" i="20"/>
  <c r="I67" i="20"/>
  <c r="H67" i="20"/>
  <c r="G67" i="20"/>
  <c r="J66" i="20"/>
  <c r="I66" i="20"/>
  <c r="H66" i="20"/>
  <c r="G66" i="20"/>
  <c r="J65" i="20"/>
  <c r="I65" i="20"/>
  <c r="H65" i="20"/>
  <c r="G65" i="20"/>
  <c r="J64" i="20"/>
  <c r="I64" i="20"/>
  <c r="H64" i="20"/>
  <c r="G64" i="20"/>
  <c r="J63" i="20"/>
  <c r="I63" i="20"/>
  <c r="H63" i="20"/>
  <c r="G63" i="20"/>
  <c r="J62" i="20"/>
  <c r="I62" i="20"/>
  <c r="H62" i="20"/>
  <c r="G62" i="20"/>
  <c r="J61" i="20"/>
  <c r="I61" i="20"/>
  <c r="H61" i="20"/>
  <c r="G61" i="20"/>
  <c r="J60" i="20"/>
  <c r="I60" i="20"/>
  <c r="H60" i="20"/>
  <c r="G60" i="20"/>
  <c r="J59" i="20"/>
  <c r="I59" i="20"/>
  <c r="H59" i="20"/>
  <c r="G59" i="20"/>
  <c r="J58" i="20"/>
  <c r="I58" i="20"/>
  <c r="H58" i="20"/>
  <c r="G58" i="20"/>
  <c r="J57" i="20"/>
  <c r="I57" i="20"/>
  <c r="H57" i="20"/>
  <c r="G57" i="20"/>
  <c r="J56" i="20"/>
  <c r="I56" i="20"/>
  <c r="H56" i="20"/>
  <c r="G56" i="20"/>
  <c r="J55" i="20"/>
  <c r="I55" i="20"/>
  <c r="H55" i="20"/>
  <c r="G55" i="20"/>
  <c r="J54" i="20"/>
  <c r="I54" i="20"/>
  <c r="H54" i="20"/>
  <c r="G54" i="20"/>
  <c r="J53" i="20"/>
  <c r="I53" i="20"/>
  <c r="H53" i="20"/>
  <c r="G53" i="20"/>
  <c r="J52" i="20"/>
  <c r="I52" i="20"/>
  <c r="H52" i="20"/>
  <c r="G52" i="20"/>
  <c r="J51" i="20"/>
  <c r="I51" i="20"/>
  <c r="H51" i="20"/>
  <c r="G51" i="20"/>
  <c r="J50" i="20"/>
  <c r="I50" i="20"/>
  <c r="H50" i="20"/>
  <c r="G50" i="20"/>
  <c r="J49" i="20"/>
  <c r="I49" i="20"/>
  <c r="H49" i="20"/>
  <c r="G49" i="20"/>
  <c r="J48" i="20"/>
  <c r="I48" i="20"/>
  <c r="H48" i="20"/>
  <c r="G48" i="20"/>
  <c r="J47" i="20"/>
  <c r="I47" i="20"/>
  <c r="H47" i="20"/>
  <c r="G47" i="20"/>
  <c r="J46" i="20"/>
  <c r="I46" i="20"/>
  <c r="H46" i="20"/>
  <c r="G46" i="20"/>
  <c r="J45" i="20"/>
  <c r="I45" i="20"/>
  <c r="H45" i="20"/>
  <c r="G45" i="20"/>
  <c r="J44" i="20"/>
  <c r="I44" i="20"/>
  <c r="H44" i="20"/>
  <c r="G44" i="20"/>
  <c r="J43" i="20"/>
  <c r="I43" i="20"/>
  <c r="H43" i="20"/>
  <c r="G43" i="20"/>
  <c r="J42" i="20"/>
  <c r="I42" i="20"/>
  <c r="H42" i="20"/>
  <c r="G42" i="20"/>
  <c r="J41" i="20"/>
  <c r="I41" i="20"/>
  <c r="H41" i="20"/>
  <c r="G41" i="20"/>
  <c r="J40" i="20"/>
  <c r="I40" i="20"/>
  <c r="H40" i="20"/>
  <c r="G40" i="20"/>
  <c r="J39" i="20"/>
  <c r="I39" i="20"/>
  <c r="H39" i="20"/>
  <c r="G39" i="20"/>
  <c r="J38" i="20"/>
  <c r="I38" i="20"/>
  <c r="H38" i="20"/>
  <c r="G38" i="20"/>
  <c r="J37" i="20"/>
  <c r="I37" i="20"/>
  <c r="H37" i="20"/>
  <c r="G37" i="20"/>
  <c r="J36" i="20"/>
  <c r="I36" i="20"/>
  <c r="H36" i="20"/>
  <c r="G36" i="20"/>
  <c r="J35" i="20"/>
  <c r="I35" i="20"/>
  <c r="H35" i="20"/>
  <c r="G35" i="20"/>
  <c r="J34" i="20"/>
  <c r="I34" i="20"/>
  <c r="H34" i="20"/>
  <c r="G34" i="20"/>
  <c r="J33" i="20"/>
  <c r="I33" i="20"/>
  <c r="H33" i="20"/>
  <c r="G33" i="20"/>
  <c r="J32" i="20"/>
  <c r="I32" i="20"/>
  <c r="H32" i="20"/>
  <c r="G32" i="20"/>
  <c r="J31" i="20"/>
  <c r="I31" i="20"/>
  <c r="H31" i="20"/>
  <c r="G31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AH17" i="20"/>
  <c r="AH8" i="20"/>
  <c r="J86" i="19"/>
  <c r="I86" i="19"/>
  <c r="H86" i="19"/>
  <c r="G86" i="19"/>
  <c r="J85" i="19"/>
  <c r="I85" i="19"/>
  <c r="H85" i="19"/>
  <c r="G85" i="19"/>
  <c r="J84" i="19"/>
  <c r="I84" i="19"/>
  <c r="H84" i="19"/>
  <c r="G84" i="19"/>
  <c r="J83" i="19"/>
  <c r="I83" i="19"/>
  <c r="H83" i="19"/>
  <c r="G83" i="19"/>
  <c r="J82" i="19"/>
  <c r="I82" i="19"/>
  <c r="H82" i="19"/>
  <c r="G82" i="19"/>
  <c r="J81" i="19"/>
  <c r="I81" i="19"/>
  <c r="H81" i="19"/>
  <c r="G81" i="19"/>
  <c r="J80" i="19"/>
  <c r="I80" i="19"/>
  <c r="H80" i="19"/>
  <c r="G80" i="19"/>
  <c r="J79" i="19"/>
  <c r="I79" i="19"/>
  <c r="H79" i="19"/>
  <c r="G79" i="19"/>
  <c r="J78" i="19"/>
  <c r="I78" i="19"/>
  <c r="H78" i="19"/>
  <c r="G78" i="19"/>
  <c r="J77" i="19"/>
  <c r="I77" i="19"/>
  <c r="H77" i="19"/>
  <c r="G77" i="19"/>
  <c r="J76" i="19"/>
  <c r="I76" i="19"/>
  <c r="H76" i="19"/>
  <c r="G76" i="19"/>
  <c r="J75" i="19"/>
  <c r="I75" i="19"/>
  <c r="H75" i="19"/>
  <c r="G75" i="19"/>
  <c r="J74" i="19"/>
  <c r="I74" i="19"/>
  <c r="H74" i="19"/>
  <c r="G74" i="19"/>
  <c r="J73" i="19"/>
  <c r="I73" i="19"/>
  <c r="H73" i="19"/>
  <c r="G73" i="19"/>
  <c r="J72" i="19"/>
  <c r="I72" i="19"/>
  <c r="H72" i="19"/>
  <c r="G72" i="19"/>
  <c r="J71" i="19"/>
  <c r="I71" i="19"/>
  <c r="H71" i="19"/>
  <c r="G71" i="19"/>
  <c r="J70" i="19"/>
  <c r="I70" i="19"/>
  <c r="H70" i="19"/>
  <c r="G70" i="19"/>
  <c r="J69" i="19"/>
  <c r="I69" i="19"/>
  <c r="H69" i="19"/>
  <c r="G69" i="19"/>
  <c r="J68" i="19"/>
  <c r="I68" i="19"/>
  <c r="H68" i="19"/>
  <c r="G68" i="19"/>
  <c r="J67" i="19"/>
  <c r="I67" i="19"/>
  <c r="H67" i="19"/>
  <c r="G67" i="19"/>
  <c r="J66" i="19"/>
  <c r="I66" i="19"/>
  <c r="H66" i="19"/>
  <c r="G66" i="19"/>
  <c r="J65" i="19"/>
  <c r="I65" i="19"/>
  <c r="H65" i="19"/>
  <c r="G65" i="19"/>
  <c r="J64" i="19"/>
  <c r="I64" i="19"/>
  <c r="H64" i="19"/>
  <c r="G64" i="19"/>
  <c r="J63" i="19"/>
  <c r="I63" i="19"/>
  <c r="H63" i="19"/>
  <c r="G63" i="19"/>
  <c r="J62" i="19"/>
  <c r="I62" i="19"/>
  <c r="H62" i="19"/>
  <c r="G62" i="19"/>
  <c r="J61" i="19"/>
  <c r="I61" i="19"/>
  <c r="H61" i="19"/>
  <c r="G61" i="19"/>
  <c r="J60" i="19"/>
  <c r="I60" i="19"/>
  <c r="H60" i="19"/>
  <c r="G60" i="19"/>
  <c r="J59" i="19"/>
  <c r="I59" i="19"/>
  <c r="H59" i="19"/>
  <c r="G59" i="19"/>
  <c r="J58" i="19"/>
  <c r="I58" i="19"/>
  <c r="H58" i="19"/>
  <c r="G58" i="19"/>
  <c r="J57" i="19"/>
  <c r="I57" i="19"/>
  <c r="H57" i="19"/>
  <c r="G57" i="19"/>
  <c r="J56" i="19"/>
  <c r="I56" i="19"/>
  <c r="H56" i="19"/>
  <c r="G56" i="19"/>
  <c r="J55" i="19"/>
  <c r="I55" i="19"/>
  <c r="H55" i="19"/>
  <c r="G55" i="19"/>
  <c r="J54" i="19"/>
  <c r="I54" i="19"/>
  <c r="H54" i="19"/>
  <c r="G54" i="19"/>
  <c r="J53" i="19"/>
  <c r="I53" i="19"/>
  <c r="H53" i="19"/>
  <c r="G53" i="19"/>
  <c r="J52" i="19"/>
  <c r="I52" i="19"/>
  <c r="H52" i="19"/>
  <c r="G52" i="19"/>
  <c r="J51" i="19"/>
  <c r="I51" i="19"/>
  <c r="H51" i="19"/>
  <c r="G51" i="19"/>
  <c r="J50" i="19"/>
  <c r="I50" i="19"/>
  <c r="H50" i="19"/>
  <c r="G50" i="19"/>
  <c r="J49" i="19"/>
  <c r="I49" i="19"/>
  <c r="H49" i="19"/>
  <c r="G49" i="19"/>
  <c r="J48" i="19"/>
  <c r="I48" i="19"/>
  <c r="H48" i="19"/>
  <c r="G48" i="19"/>
  <c r="J47" i="19"/>
  <c r="I47" i="19"/>
  <c r="H47" i="19"/>
  <c r="G47" i="19"/>
  <c r="J46" i="19"/>
  <c r="I46" i="19"/>
  <c r="H46" i="19"/>
  <c r="G46" i="19"/>
  <c r="J45" i="19"/>
  <c r="I45" i="19"/>
  <c r="H45" i="19"/>
  <c r="G45" i="19"/>
  <c r="J44" i="19"/>
  <c r="I44" i="19"/>
  <c r="H44" i="19"/>
  <c r="G44" i="19"/>
  <c r="J43" i="19"/>
  <c r="I43" i="19"/>
  <c r="H43" i="19"/>
  <c r="G43" i="19"/>
  <c r="J42" i="19"/>
  <c r="I42" i="19"/>
  <c r="H42" i="19"/>
  <c r="G42" i="19"/>
  <c r="J41" i="19"/>
  <c r="I41" i="19"/>
  <c r="H41" i="19"/>
  <c r="G41" i="19"/>
  <c r="J40" i="19"/>
  <c r="I40" i="19"/>
  <c r="H40" i="19"/>
  <c r="G40" i="19"/>
  <c r="J39" i="19"/>
  <c r="I39" i="19"/>
  <c r="H39" i="19"/>
  <c r="G39" i="19"/>
  <c r="J38" i="19"/>
  <c r="I38" i="19"/>
  <c r="H38" i="19"/>
  <c r="G38" i="19"/>
  <c r="J37" i="19"/>
  <c r="I37" i="19"/>
  <c r="H37" i="19"/>
  <c r="G37" i="19"/>
  <c r="J36" i="19"/>
  <c r="I36" i="19"/>
  <c r="H36" i="19"/>
  <c r="G36" i="19"/>
  <c r="J35" i="19"/>
  <c r="I35" i="19"/>
  <c r="H35" i="19"/>
  <c r="G35" i="19"/>
  <c r="J34" i="19"/>
  <c r="I34" i="19"/>
  <c r="H34" i="19"/>
  <c r="G34" i="19"/>
  <c r="J33" i="19"/>
  <c r="I33" i="19"/>
  <c r="H33" i="19"/>
  <c r="G33" i="19"/>
  <c r="J32" i="19"/>
  <c r="I32" i="19"/>
  <c r="H32" i="19"/>
  <c r="G32" i="19"/>
  <c r="J31" i="19"/>
  <c r="I31" i="19"/>
  <c r="H31" i="19"/>
  <c r="G31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AG25" i="19"/>
  <c r="AF25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AG24" i="19"/>
  <c r="AF24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AH17" i="19"/>
  <c r="AH8" i="19"/>
  <c r="J86" i="18"/>
  <c r="I86" i="18"/>
  <c r="H86" i="18"/>
  <c r="G86" i="18"/>
  <c r="J85" i="18"/>
  <c r="I85" i="18"/>
  <c r="H85" i="18"/>
  <c r="G85" i="18"/>
  <c r="J84" i="18"/>
  <c r="I84" i="18"/>
  <c r="H84" i="18"/>
  <c r="G84" i="18"/>
  <c r="J83" i="18"/>
  <c r="I83" i="18"/>
  <c r="H83" i="18"/>
  <c r="G83" i="18"/>
  <c r="J82" i="18"/>
  <c r="I82" i="18"/>
  <c r="H82" i="18"/>
  <c r="G82" i="18"/>
  <c r="J81" i="18"/>
  <c r="I81" i="18"/>
  <c r="H81" i="18"/>
  <c r="G81" i="18"/>
  <c r="J80" i="18"/>
  <c r="I80" i="18"/>
  <c r="H80" i="18"/>
  <c r="G80" i="18"/>
  <c r="J79" i="18"/>
  <c r="I79" i="18"/>
  <c r="H79" i="18"/>
  <c r="G79" i="18"/>
  <c r="J78" i="18"/>
  <c r="I78" i="18"/>
  <c r="H78" i="18"/>
  <c r="G78" i="18"/>
  <c r="J77" i="18"/>
  <c r="I77" i="18"/>
  <c r="H77" i="18"/>
  <c r="G77" i="18"/>
  <c r="J76" i="18"/>
  <c r="I76" i="18"/>
  <c r="H76" i="18"/>
  <c r="G76" i="18"/>
  <c r="J75" i="18"/>
  <c r="I75" i="18"/>
  <c r="H75" i="18"/>
  <c r="G75" i="18"/>
  <c r="J74" i="18"/>
  <c r="I74" i="18"/>
  <c r="H74" i="18"/>
  <c r="G74" i="18"/>
  <c r="J73" i="18"/>
  <c r="I73" i="18"/>
  <c r="H73" i="18"/>
  <c r="G73" i="18"/>
  <c r="J72" i="18"/>
  <c r="I72" i="18"/>
  <c r="H72" i="18"/>
  <c r="G72" i="18"/>
  <c r="J71" i="18"/>
  <c r="I71" i="18"/>
  <c r="H71" i="18"/>
  <c r="G71" i="18"/>
  <c r="J70" i="18"/>
  <c r="I70" i="18"/>
  <c r="H70" i="18"/>
  <c r="G70" i="18"/>
  <c r="J69" i="18"/>
  <c r="I69" i="18"/>
  <c r="H69" i="18"/>
  <c r="G69" i="18"/>
  <c r="J68" i="18"/>
  <c r="I68" i="18"/>
  <c r="H68" i="18"/>
  <c r="G68" i="18"/>
  <c r="J67" i="18"/>
  <c r="I67" i="18"/>
  <c r="H67" i="18"/>
  <c r="G67" i="18"/>
  <c r="J66" i="18"/>
  <c r="I66" i="18"/>
  <c r="H66" i="18"/>
  <c r="G66" i="18"/>
  <c r="J65" i="18"/>
  <c r="I65" i="18"/>
  <c r="H65" i="18"/>
  <c r="G65" i="18"/>
  <c r="J64" i="18"/>
  <c r="I64" i="18"/>
  <c r="H64" i="18"/>
  <c r="G64" i="18"/>
  <c r="J63" i="18"/>
  <c r="I63" i="18"/>
  <c r="H63" i="18"/>
  <c r="G63" i="18"/>
  <c r="J62" i="18"/>
  <c r="I62" i="18"/>
  <c r="H62" i="18"/>
  <c r="G62" i="18"/>
  <c r="J61" i="18"/>
  <c r="I61" i="18"/>
  <c r="H61" i="18"/>
  <c r="G61" i="18"/>
  <c r="J60" i="18"/>
  <c r="I60" i="18"/>
  <c r="H60" i="18"/>
  <c r="G60" i="18"/>
  <c r="J59" i="18"/>
  <c r="I59" i="18"/>
  <c r="H59" i="18"/>
  <c r="G59" i="18"/>
  <c r="J58" i="18"/>
  <c r="I58" i="18"/>
  <c r="H58" i="18"/>
  <c r="G58" i="18"/>
  <c r="J57" i="18"/>
  <c r="I57" i="18"/>
  <c r="H57" i="18"/>
  <c r="G57" i="18"/>
  <c r="J56" i="18"/>
  <c r="I56" i="18"/>
  <c r="H56" i="18"/>
  <c r="G56" i="18"/>
  <c r="J55" i="18"/>
  <c r="I55" i="18"/>
  <c r="H55" i="18"/>
  <c r="G55" i="18"/>
  <c r="J54" i="18"/>
  <c r="I54" i="18"/>
  <c r="H54" i="18"/>
  <c r="G54" i="18"/>
  <c r="J53" i="18"/>
  <c r="I53" i="18"/>
  <c r="H53" i="18"/>
  <c r="G53" i="18"/>
  <c r="J52" i="18"/>
  <c r="I52" i="18"/>
  <c r="H52" i="18"/>
  <c r="G52" i="18"/>
  <c r="J51" i="18"/>
  <c r="I51" i="18"/>
  <c r="H51" i="18"/>
  <c r="G51" i="18"/>
  <c r="J50" i="18"/>
  <c r="I50" i="18"/>
  <c r="H50" i="18"/>
  <c r="G50" i="18"/>
  <c r="J49" i="18"/>
  <c r="I49" i="18"/>
  <c r="H49" i="18"/>
  <c r="G49" i="18"/>
  <c r="J48" i="18"/>
  <c r="I48" i="18"/>
  <c r="H48" i="18"/>
  <c r="G48" i="18"/>
  <c r="J47" i="18"/>
  <c r="I47" i="18"/>
  <c r="H47" i="18"/>
  <c r="G47" i="18"/>
  <c r="J46" i="18"/>
  <c r="I46" i="18"/>
  <c r="H46" i="18"/>
  <c r="G46" i="18"/>
  <c r="J45" i="18"/>
  <c r="I45" i="18"/>
  <c r="H45" i="18"/>
  <c r="G45" i="18"/>
  <c r="J44" i="18"/>
  <c r="I44" i="18"/>
  <c r="H44" i="18"/>
  <c r="G44" i="18"/>
  <c r="J43" i="18"/>
  <c r="I43" i="18"/>
  <c r="H43" i="18"/>
  <c r="G43" i="18"/>
  <c r="J42" i="18"/>
  <c r="I42" i="18"/>
  <c r="H42" i="18"/>
  <c r="G42" i="18"/>
  <c r="J41" i="18"/>
  <c r="I41" i="18"/>
  <c r="H41" i="18"/>
  <c r="G41" i="18"/>
  <c r="J40" i="18"/>
  <c r="I40" i="18"/>
  <c r="H40" i="18"/>
  <c r="G40" i="18"/>
  <c r="J39" i="18"/>
  <c r="I39" i="18"/>
  <c r="H39" i="18"/>
  <c r="G39" i="18"/>
  <c r="J38" i="18"/>
  <c r="I38" i="18"/>
  <c r="H38" i="18"/>
  <c r="G38" i="18"/>
  <c r="J37" i="18"/>
  <c r="I37" i="18"/>
  <c r="H37" i="18"/>
  <c r="G37" i="18"/>
  <c r="J36" i="18"/>
  <c r="I36" i="18"/>
  <c r="H36" i="18"/>
  <c r="G36" i="18"/>
  <c r="J35" i="18"/>
  <c r="I35" i="18"/>
  <c r="H35" i="18"/>
  <c r="G35" i="18"/>
  <c r="J34" i="18"/>
  <c r="I34" i="18"/>
  <c r="H34" i="18"/>
  <c r="G34" i="18"/>
  <c r="J33" i="18"/>
  <c r="I33" i="18"/>
  <c r="H33" i="18"/>
  <c r="G33" i="18"/>
  <c r="J32" i="18"/>
  <c r="I32" i="18"/>
  <c r="H32" i="18"/>
  <c r="G32" i="18"/>
  <c r="J31" i="18"/>
  <c r="I31" i="18"/>
  <c r="H31" i="18"/>
  <c r="G31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AG25" i="18"/>
  <c r="AF25" i="18"/>
  <c r="AE25" i="18"/>
  <c r="AD25" i="18"/>
  <c r="AC25" i="18"/>
  <c r="AB25" i="18"/>
  <c r="AA25" i="18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K25" i="18"/>
  <c r="AG24" i="18"/>
  <c r="AF24" i="18"/>
  <c r="AE24" i="18"/>
  <c r="AD24" i="18"/>
  <c r="AC24" i="18"/>
  <c r="AB24" i="18"/>
  <c r="AA24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AH17" i="18"/>
  <c r="AH8" i="18"/>
  <c r="J86" i="16"/>
  <c r="I86" i="16"/>
  <c r="H86" i="16"/>
  <c r="G86" i="16"/>
  <c r="J85" i="16"/>
  <c r="I85" i="16"/>
  <c r="H85" i="16"/>
  <c r="G85" i="16"/>
  <c r="J84" i="16"/>
  <c r="I84" i="16"/>
  <c r="H84" i="16"/>
  <c r="G84" i="16"/>
  <c r="J83" i="16"/>
  <c r="I83" i="16"/>
  <c r="H83" i="16"/>
  <c r="G83" i="16"/>
  <c r="J82" i="16"/>
  <c r="I82" i="16"/>
  <c r="H82" i="16"/>
  <c r="G82" i="16"/>
  <c r="J81" i="16"/>
  <c r="I81" i="16"/>
  <c r="H81" i="16"/>
  <c r="G81" i="16"/>
  <c r="J80" i="16"/>
  <c r="I80" i="16"/>
  <c r="H80" i="16"/>
  <c r="G80" i="16"/>
  <c r="J79" i="16"/>
  <c r="I79" i="16"/>
  <c r="H79" i="16"/>
  <c r="G79" i="16"/>
  <c r="J78" i="16"/>
  <c r="I78" i="16"/>
  <c r="H78" i="16"/>
  <c r="G78" i="16"/>
  <c r="J77" i="16"/>
  <c r="I77" i="16"/>
  <c r="H77" i="16"/>
  <c r="G77" i="16"/>
  <c r="J76" i="16"/>
  <c r="I76" i="16"/>
  <c r="H76" i="16"/>
  <c r="G76" i="16"/>
  <c r="J75" i="16"/>
  <c r="I75" i="16"/>
  <c r="H75" i="16"/>
  <c r="G75" i="16"/>
  <c r="J74" i="16"/>
  <c r="I74" i="16"/>
  <c r="H74" i="16"/>
  <c r="G74" i="16"/>
  <c r="J73" i="16"/>
  <c r="I73" i="16"/>
  <c r="H73" i="16"/>
  <c r="G73" i="16"/>
  <c r="J72" i="16"/>
  <c r="I72" i="16"/>
  <c r="H72" i="16"/>
  <c r="G72" i="16"/>
  <c r="J71" i="16"/>
  <c r="I71" i="16"/>
  <c r="H71" i="16"/>
  <c r="G71" i="16"/>
  <c r="J70" i="16"/>
  <c r="I70" i="16"/>
  <c r="H70" i="16"/>
  <c r="G70" i="16"/>
  <c r="J69" i="16"/>
  <c r="I69" i="16"/>
  <c r="H69" i="16"/>
  <c r="G69" i="16"/>
  <c r="J68" i="16"/>
  <c r="I68" i="16"/>
  <c r="H68" i="16"/>
  <c r="G68" i="16"/>
  <c r="J67" i="16"/>
  <c r="I67" i="16"/>
  <c r="H67" i="16"/>
  <c r="G67" i="16"/>
  <c r="J66" i="16"/>
  <c r="I66" i="16"/>
  <c r="H66" i="16"/>
  <c r="G66" i="16"/>
  <c r="J65" i="16"/>
  <c r="I65" i="16"/>
  <c r="H65" i="16"/>
  <c r="G65" i="16"/>
  <c r="J64" i="16"/>
  <c r="I64" i="16"/>
  <c r="H64" i="16"/>
  <c r="G64" i="16"/>
  <c r="J63" i="16"/>
  <c r="I63" i="16"/>
  <c r="H63" i="16"/>
  <c r="G63" i="16"/>
  <c r="J62" i="16"/>
  <c r="I62" i="16"/>
  <c r="H62" i="16"/>
  <c r="G62" i="16"/>
  <c r="J61" i="16"/>
  <c r="I61" i="16"/>
  <c r="H61" i="16"/>
  <c r="G61" i="16"/>
  <c r="J60" i="16"/>
  <c r="I60" i="16"/>
  <c r="H60" i="16"/>
  <c r="G60" i="16"/>
  <c r="J59" i="16"/>
  <c r="I59" i="16"/>
  <c r="H59" i="16"/>
  <c r="G59" i="16"/>
  <c r="J58" i="16"/>
  <c r="I58" i="16"/>
  <c r="H58" i="16"/>
  <c r="G58" i="16"/>
  <c r="J57" i="16"/>
  <c r="I57" i="16"/>
  <c r="H57" i="16"/>
  <c r="G57" i="16"/>
  <c r="J56" i="16"/>
  <c r="I56" i="16"/>
  <c r="H56" i="16"/>
  <c r="G56" i="16"/>
  <c r="J55" i="16"/>
  <c r="I55" i="16"/>
  <c r="H55" i="16"/>
  <c r="G55" i="16"/>
  <c r="J54" i="16"/>
  <c r="I54" i="16"/>
  <c r="H54" i="16"/>
  <c r="G54" i="16"/>
  <c r="J53" i="16"/>
  <c r="I53" i="16"/>
  <c r="H53" i="16"/>
  <c r="G53" i="16"/>
  <c r="J52" i="16"/>
  <c r="I52" i="16"/>
  <c r="H52" i="16"/>
  <c r="G52" i="16"/>
  <c r="J51" i="16"/>
  <c r="I51" i="16"/>
  <c r="H51" i="16"/>
  <c r="G51" i="16"/>
  <c r="J50" i="16"/>
  <c r="I50" i="16"/>
  <c r="H50" i="16"/>
  <c r="G50" i="16"/>
  <c r="J49" i="16"/>
  <c r="I49" i="16"/>
  <c r="H49" i="16"/>
  <c r="G49" i="16"/>
  <c r="J48" i="16"/>
  <c r="I48" i="16"/>
  <c r="H48" i="16"/>
  <c r="G48" i="16"/>
  <c r="J47" i="16"/>
  <c r="I47" i="16"/>
  <c r="H47" i="16"/>
  <c r="G47" i="16"/>
  <c r="J46" i="16"/>
  <c r="I46" i="16"/>
  <c r="H46" i="16"/>
  <c r="G46" i="16"/>
  <c r="J45" i="16"/>
  <c r="I45" i="16"/>
  <c r="H45" i="16"/>
  <c r="G45" i="16"/>
  <c r="J44" i="16"/>
  <c r="I44" i="16"/>
  <c r="H44" i="16"/>
  <c r="G44" i="16"/>
  <c r="J43" i="16"/>
  <c r="I43" i="16"/>
  <c r="H43" i="16"/>
  <c r="G43" i="16"/>
  <c r="J42" i="16"/>
  <c r="I42" i="16"/>
  <c r="H42" i="16"/>
  <c r="G42" i="16"/>
  <c r="J41" i="16"/>
  <c r="I41" i="16"/>
  <c r="H41" i="16"/>
  <c r="G41" i="16"/>
  <c r="J40" i="16"/>
  <c r="I40" i="16"/>
  <c r="H40" i="16"/>
  <c r="G40" i="16"/>
  <c r="J39" i="16"/>
  <c r="I39" i="16"/>
  <c r="H39" i="16"/>
  <c r="G39" i="16"/>
  <c r="J38" i="16"/>
  <c r="I38" i="16"/>
  <c r="H38" i="16"/>
  <c r="G38" i="16"/>
  <c r="J37" i="16"/>
  <c r="I37" i="16"/>
  <c r="H37" i="16"/>
  <c r="G37" i="16"/>
  <c r="J36" i="16"/>
  <c r="I36" i="16"/>
  <c r="H36" i="16"/>
  <c r="G36" i="16"/>
  <c r="J35" i="16"/>
  <c r="I35" i="16"/>
  <c r="H35" i="16"/>
  <c r="G35" i="16"/>
  <c r="J34" i="16"/>
  <c r="I34" i="16"/>
  <c r="H34" i="16"/>
  <c r="G34" i="16"/>
  <c r="J33" i="16"/>
  <c r="I33" i="16"/>
  <c r="H33" i="16"/>
  <c r="G33" i="16"/>
  <c r="J32" i="16"/>
  <c r="I32" i="16"/>
  <c r="H32" i="16"/>
  <c r="G32" i="16"/>
  <c r="J31" i="16"/>
  <c r="I31" i="16"/>
  <c r="H31" i="16"/>
  <c r="G31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AH17" i="16"/>
  <c r="AH8" i="16"/>
  <c r="J86" i="15"/>
  <c r="I86" i="15"/>
  <c r="H86" i="15"/>
  <c r="G86" i="15"/>
  <c r="J85" i="15"/>
  <c r="I85" i="15"/>
  <c r="H85" i="15"/>
  <c r="G85" i="15"/>
  <c r="J84" i="15"/>
  <c r="I84" i="15"/>
  <c r="H84" i="15"/>
  <c r="G84" i="15"/>
  <c r="J83" i="15"/>
  <c r="I83" i="15"/>
  <c r="H83" i="15"/>
  <c r="G83" i="15"/>
  <c r="J82" i="15"/>
  <c r="I82" i="15"/>
  <c r="H82" i="15"/>
  <c r="G82" i="15"/>
  <c r="J81" i="15"/>
  <c r="I81" i="15"/>
  <c r="H81" i="15"/>
  <c r="G81" i="15"/>
  <c r="J80" i="15"/>
  <c r="I80" i="15"/>
  <c r="H80" i="15"/>
  <c r="G80" i="15"/>
  <c r="J79" i="15"/>
  <c r="I79" i="15"/>
  <c r="H79" i="15"/>
  <c r="G79" i="15"/>
  <c r="J78" i="15"/>
  <c r="I78" i="15"/>
  <c r="H78" i="15"/>
  <c r="G78" i="15"/>
  <c r="J77" i="15"/>
  <c r="I77" i="15"/>
  <c r="H77" i="15"/>
  <c r="G77" i="15"/>
  <c r="J76" i="15"/>
  <c r="I76" i="15"/>
  <c r="H76" i="15"/>
  <c r="G76" i="15"/>
  <c r="J75" i="15"/>
  <c r="I75" i="15"/>
  <c r="H75" i="15"/>
  <c r="G75" i="15"/>
  <c r="J74" i="15"/>
  <c r="I74" i="15"/>
  <c r="H74" i="15"/>
  <c r="G74" i="15"/>
  <c r="J73" i="15"/>
  <c r="I73" i="15"/>
  <c r="H73" i="15"/>
  <c r="G73" i="15"/>
  <c r="J72" i="15"/>
  <c r="I72" i="15"/>
  <c r="H72" i="15"/>
  <c r="G72" i="15"/>
  <c r="J71" i="15"/>
  <c r="I71" i="15"/>
  <c r="H71" i="15"/>
  <c r="G71" i="15"/>
  <c r="J70" i="15"/>
  <c r="I70" i="15"/>
  <c r="H70" i="15"/>
  <c r="G70" i="15"/>
  <c r="J69" i="15"/>
  <c r="I69" i="15"/>
  <c r="H69" i="15"/>
  <c r="G69" i="15"/>
  <c r="J68" i="15"/>
  <c r="I68" i="15"/>
  <c r="H68" i="15"/>
  <c r="G68" i="15"/>
  <c r="J67" i="15"/>
  <c r="I67" i="15"/>
  <c r="H67" i="15"/>
  <c r="G67" i="15"/>
  <c r="J66" i="15"/>
  <c r="I66" i="15"/>
  <c r="H66" i="15"/>
  <c r="G66" i="15"/>
  <c r="J65" i="15"/>
  <c r="I65" i="15"/>
  <c r="H65" i="15"/>
  <c r="G65" i="15"/>
  <c r="J64" i="15"/>
  <c r="I64" i="15"/>
  <c r="H64" i="15"/>
  <c r="G64" i="15"/>
  <c r="J63" i="15"/>
  <c r="I63" i="15"/>
  <c r="H63" i="15"/>
  <c r="G63" i="15"/>
  <c r="J62" i="15"/>
  <c r="I62" i="15"/>
  <c r="H62" i="15"/>
  <c r="G62" i="15"/>
  <c r="J61" i="15"/>
  <c r="I61" i="15"/>
  <c r="H61" i="15"/>
  <c r="G61" i="15"/>
  <c r="J60" i="15"/>
  <c r="I60" i="15"/>
  <c r="H60" i="15"/>
  <c r="G60" i="15"/>
  <c r="J59" i="15"/>
  <c r="I59" i="15"/>
  <c r="H59" i="15"/>
  <c r="G59" i="15"/>
  <c r="J58" i="15"/>
  <c r="I58" i="15"/>
  <c r="H58" i="15"/>
  <c r="G58" i="15"/>
  <c r="J57" i="15"/>
  <c r="I57" i="15"/>
  <c r="H57" i="15"/>
  <c r="G57" i="15"/>
  <c r="J56" i="15"/>
  <c r="I56" i="15"/>
  <c r="H56" i="15"/>
  <c r="G56" i="15"/>
  <c r="J55" i="15"/>
  <c r="I55" i="15"/>
  <c r="H55" i="15"/>
  <c r="G55" i="15"/>
  <c r="J54" i="15"/>
  <c r="I54" i="15"/>
  <c r="H54" i="15"/>
  <c r="G54" i="15"/>
  <c r="J53" i="15"/>
  <c r="I53" i="15"/>
  <c r="H53" i="15"/>
  <c r="G53" i="15"/>
  <c r="J52" i="15"/>
  <c r="I52" i="15"/>
  <c r="H52" i="15"/>
  <c r="G52" i="15"/>
  <c r="J51" i="15"/>
  <c r="I51" i="15"/>
  <c r="H51" i="15"/>
  <c r="G51" i="15"/>
  <c r="J50" i="15"/>
  <c r="I50" i="15"/>
  <c r="H50" i="15"/>
  <c r="G50" i="15"/>
  <c r="J49" i="15"/>
  <c r="I49" i="15"/>
  <c r="H49" i="15"/>
  <c r="G49" i="15"/>
  <c r="J48" i="15"/>
  <c r="I48" i="15"/>
  <c r="H48" i="15"/>
  <c r="G48" i="15"/>
  <c r="J47" i="15"/>
  <c r="I47" i="15"/>
  <c r="H47" i="15"/>
  <c r="G47" i="15"/>
  <c r="J46" i="15"/>
  <c r="I46" i="15"/>
  <c r="H46" i="15"/>
  <c r="G46" i="15"/>
  <c r="J45" i="15"/>
  <c r="I45" i="15"/>
  <c r="H45" i="15"/>
  <c r="G45" i="15"/>
  <c r="J44" i="15"/>
  <c r="I44" i="15"/>
  <c r="H44" i="15"/>
  <c r="G44" i="15"/>
  <c r="J43" i="15"/>
  <c r="I43" i="15"/>
  <c r="H43" i="15"/>
  <c r="G43" i="15"/>
  <c r="J42" i="15"/>
  <c r="I42" i="15"/>
  <c r="H42" i="15"/>
  <c r="G42" i="15"/>
  <c r="J41" i="15"/>
  <c r="I41" i="15"/>
  <c r="H41" i="15"/>
  <c r="G41" i="15"/>
  <c r="J40" i="15"/>
  <c r="I40" i="15"/>
  <c r="H40" i="15"/>
  <c r="G40" i="15"/>
  <c r="J39" i="15"/>
  <c r="I39" i="15"/>
  <c r="H39" i="15"/>
  <c r="G39" i="15"/>
  <c r="J38" i="15"/>
  <c r="I38" i="15"/>
  <c r="H38" i="15"/>
  <c r="G38" i="15"/>
  <c r="J37" i="15"/>
  <c r="I37" i="15"/>
  <c r="H37" i="15"/>
  <c r="G37" i="15"/>
  <c r="J36" i="15"/>
  <c r="I36" i="15"/>
  <c r="H36" i="15"/>
  <c r="G36" i="15"/>
  <c r="J35" i="15"/>
  <c r="I35" i="15"/>
  <c r="H35" i="15"/>
  <c r="G35" i="15"/>
  <c r="J34" i="15"/>
  <c r="I34" i="15"/>
  <c r="H34" i="15"/>
  <c r="G34" i="15"/>
  <c r="J33" i="15"/>
  <c r="I33" i="15"/>
  <c r="H33" i="15"/>
  <c r="G33" i="15"/>
  <c r="J32" i="15"/>
  <c r="I32" i="15"/>
  <c r="H32" i="15"/>
  <c r="G32" i="15"/>
  <c r="J31" i="15"/>
  <c r="I31" i="15"/>
  <c r="H31" i="15"/>
  <c r="G31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AH17" i="15"/>
  <c r="AH8" i="15"/>
  <c r="J86" i="14"/>
  <c r="I86" i="14"/>
  <c r="H86" i="14"/>
  <c r="G86" i="14"/>
  <c r="J85" i="14"/>
  <c r="I85" i="14"/>
  <c r="H85" i="14"/>
  <c r="G85" i="14"/>
  <c r="J84" i="14"/>
  <c r="I84" i="14"/>
  <c r="H84" i="14"/>
  <c r="G84" i="14"/>
  <c r="J83" i="14"/>
  <c r="I83" i="14"/>
  <c r="H83" i="14"/>
  <c r="G83" i="14"/>
  <c r="J82" i="14"/>
  <c r="I82" i="14"/>
  <c r="H82" i="14"/>
  <c r="G82" i="14"/>
  <c r="J81" i="14"/>
  <c r="I81" i="14"/>
  <c r="H81" i="14"/>
  <c r="G81" i="14"/>
  <c r="J80" i="14"/>
  <c r="I80" i="14"/>
  <c r="H80" i="14"/>
  <c r="G80" i="14"/>
  <c r="J79" i="14"/>
  <c r="I79" i="14"/>
  <c r="H79" i="14"/>
  <c r="G79" i="14"/>
  <c r="J78" i="14"/>
  <c r="I78" i="14"/>
  <c r="H78" i="14"/>
  <c r="G78" i="14"/>
  <c r="J77" i="14"/>
  <c r="I77" i="14"/>
  <c r="H77" i="14"/>
  <c r="G77" i="14"/>
  <c r="J76" i="14"/>
  <c r="I76" i="14"/>
  <c r="H76" i="14"/>
  <c r="G76" i="14"/>
  <c r="J75" i="14"/>
  <c r="I75" i="14"/>
  <c r="H75" i="14"/>
  <c r="G75" i="14"/>
  <c r="J74" i="14"/>
  <c r="I74" i="14"/>
  <c r="H74" i="14"/>
  <c r="G74" i="14"/>
  <c r="J73" i="14"/>
  <c r="I73" i="14"/>
  <c r="H73" i="14"/>
  <c r="G73" i="14"/>
  <c r="J72" i="14"/>
  <c r="I72" i="14"/>
  <c r="H72" i="14"/>
  <c r="G72" i="14"/>
  <c r="J71" i="14"/>
  <c r="I71" i="14"/>
  <c r="H71" i="14"/>
  <c r="G71" i="14"/>
  <c r="J70" i="14"/>
  <c r="I70" i="14"/>
  <c r="H70" i="14"/>
  <c r="G70" i="14"/>
  <c r="J69" i="14"/>
  <c r="I69" i="14"/>
  <c r="H69" i="14"/>
  <c r="G69" i="14"/>
  <c r="J68" i="14"/>
  <c r="I68" i="14"/>
  <c r="H68" i="14"/>
  <c r="G68" i="14"/>
  <c r="J67" i="14"/>
  <c r="I67" i="14"/>
  <c r="H67" i="14"/>
  <c r="G67" i="14"/>
  <c r="J66" i="14"/>
  <c r="I66" i="14"/>
  <c r="H66" i="14"/>
  <c r="G66" i="14"/>
  <c r="J65" i="14"/>
  <c r="I65" i="14"/>
  <c r="H65" i="14"/>
  <c r="G65" i="14"/>
  <c r="J64" i="14"/>
  <c r="I64" i="14"/>
  <c r="H64" i="14"/>
  <c r="G64" i="14"/>
  <c r="J63" i="14"/>
  <c r="I63" i="14"/>
  <c r="H63" i="14"/>
  <c r="G63" i="14"/>
  <c r="J62" i="14"/>
  <c r="I62" i="14"/>
  <c r="H62" i="14"/>
  <c r="G62" i="14"/>
  <c r="J61" i="14"/>
  <c r="I61" i="14"/>
  <c r="H61" i="14"/>
  <c r="G61" i="14"/>
  <c r="J60" i="14"/>
  <c r="I60" i="14"/>
  <c r="H60" i="14"/>
  <c r="G60" i="14"/>
  <c r="J59" i="14"/>
  <c r="I59" i="14"/>
  <c r="H59" i="14"/>
  <c r="G59" i="14"/>
  <c r="J58" i="14"/>
  <c r="I58" i="14"/>
  <c r="H58" i="14"/>
  <c r="G58" i="14"/>
  <c r="J57" i="14"/>
  <c r="I57" i="14"/>
  <c r="H57" i="14"/>
  <c r="G57" i="14"/>
  <c r="J56" i="14"/>
  <c r="I56" i="14"/>
  <c r="H56" i="14"/>
  <c r="G56" i="14"/>
  <c r="J55" i="14"/>
  <c r="I55" i="14"/>
  <c r="H55" i="14"/>
  <c r="G55" i="14"/>
  <c r="J54" i="14"/>
  <c r="I54" i="14"/>
  <c r="H54" i="14"/>
  <c r="G54" i="14"/>
  <c r="J53" i="14"/>
  <c r="I53" i="14"/>
  <c r="H53" i="14"/>
  <c r="G53" i="14"/>
  <c r="J52" i="14"/>
  <c r="I52" i="14"/>
  <c r="H52" i="14"/>
  <c r="G52" i="14"/>
  <c r="J51" i="14"/>
  <c r="I51" i="14"/>
  <c r="H51" i="14"/>
  <c r="G51" i="14"/>
  <c r="J50" i="14"/>
  <c r="I50" i="14"/>
  <c r="H50" i="14"/>
  <c r="G50" i="14"/>
  <c r="J49" i="14"/>
  <c r="I49" i="14"/>
  <c r="H49" i="14"/>
  <c r="G49" i="14"/>
  <c r="J48" i="14"/>
  <c r="I48" i="14"/>
  <c r="H48" i="14"/>
  <c r="G48" i="14"/>
  <c r="J47" i="14"/>
  <c r="I47" i="14"/>
  <c r="H47" i="14"/>
  <c r="G47" i="14"/>
  <c r="J46" i="14"/>
  <c r="I46" i="14"/>
  <c r="H46" i="14"/>
  <c r="G46" i="14"/>
  <c r="J45" i="14"/>
  <c r="I45" i="14"/>
  <c r="H45" i="14"/>
  <c r="G45" i="14"/>
  <c r="J44" i="14"/>
  <c r="I44" i="14"/>
  <c r="H44" i="14"/>
  <c r="G44" i="14"/>
  <c r="J43" i="14"/>
  <c r="I43" i="14"/>
  <c r="H43" i="14"/>
  <c r="G43" i="14"/>
  <c r="J42" i="14"/>
  <c r="I42" i="14"/>
  <c r="H42" i="14"/>
  <c r="G42" i="14"/>
  <c r="J41" i="14"/>
  <c r="I41" i="14"/>
  <c r="H41" i="14"/>
  <c r="G41" i="14"/>
  <c r="J40" i="14"/>
  <c r="I40" i="14"/>
  <c r="H40" i="14"/>
  <c r="G40" i="14"/>
  <c r="J39" i="14"/>
  <c r="I39" i="14"/>
  <c r="H39" i="14"/>
  <c r="G39" i="14"/>
  <c r="J38" i="14"/>
  <c r="I38" i="14"/>
  <c r="H38" i="14"/>
  <c r="G38" i="14"/>
  <c r="J37" i="14"/>
  <c r="I37" i="14"/>
  <c r="H37" i="14"/>
  <c r="G37" i="14"/>
  <c r="J36" i="14"/>
  <c r="I36" i="14"/>
  <c r="H36" i="14"/>
  <c r="G36" i="14"/>
  <c r="J35" i="14"/>
  <c r="I35" i="14"/>
  <c r="H35" i="14"/>
  <c r="G35" i="14"/>
  <c r="J34" i="14"/>
  <c r="I34" i="14"/>
  <c r="H34" i="14"/>
  <c r="G34" i="14"/>
  <c r="J33" i="14"/>
  <c r="I33" i="14"/>
  <c r="H33" i="14"/>
  <c r="G33" i="14"/>
  <c r="J32" i="14"/>
  <c r="I32" i="14"/>
  <c r="H32" i="14"/>
  <c r="J31" i="14"/>
  <c r="I31" i="14"/>
  <c r="H31" i="14"/>
  <c r="G31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7" i="14"/>
  <c r="AH17" i="14"/>
  <c r="AH8" i="14"/>
  <c r="J86" i="13"/>
  <c r="I86" i="13"/>
  <c r="H86" i="13"/>
  <c r="G86" i="13"/>
  <c r="J85" i="13"/>
  <c r="I85" i="13"/>
  <c r="H85" i="13"/>
  <c r="G85" i="13"/>
  <c r="J84" i="13"/>
  <c r="I84" i="13"/>
  <c r="H84" i="13"/>
  <c r="G84" i="13"/>
  <c r="J83" i="13"/>
  <c r="I83" i="13"/>
  <c r="H83" i="13"/>
  <c r="G83" i="13"/>
  <c r="J82" i="13"/>
  <c r="I82" i="13"/>
  <c r="H82" i="13"/>
  <c r="G82" i="13"/>
  <c r="J81" i="13"/>
  <c r="I81" i="13"/>
  <c r="H81" i="13"/>
  <c r="G81" i="13"/>
  <c r="J80" i="13"/>
  <c r="I80" i="13"/>
  <c r="H80" i="13"/>
  <c r="G80" i="13"/>
  <c r="J79" i="13"/>
  <c r="I79" i="13"/>
  <c r="H79" i="13"/>
  <c r="G79" i="13"/>
  <c r="J78" i="13"/>
  <c r="I78" i="13"/>
  <c r="H78" i="13"/>
  <c r="G78" i="13"/>
  <c r="J77" i="13"/>
  <c r="I77" i="13"/>
  <c r="H77" i="13"/>
  <c r="G77" i="13"/>
  <c r="J76" i="13"/>
  <c r="I76" i="13"/>
  <c r="H76" i="13"/>
  <c r="G76" i="13"/>
  <c r="J75" i="13"/>
  <c r="I75" i="13"/>
  <c r="H75" i="13"/>
  <c r="G75" i="13"/>
  <c r="J74" i="13"/>
  <c r="I74" i="13"/>
  <c r="H74" i="13"/>
  <c r="G74" i="13"/>
  <c r="J73" i="13"/>
  <c r="I73" i="13"/>
  <c r="H73" i="13"/>
  <c r="G73" i="13"/>
  <c r="J72" i="13"/>
  <c r="I72" i="13"/>
  <c r="H72" i="13"/>
  <c r="G72" i="13"/>
  <c r="J71" i="13"/>
  <c r="I71" i="13"/>
  <c r="H71" i="13"/>
  <c r="G71" i="13"/>
  <c r="J70" i="13"/>
  <c r="I70" i="13"/>
  <c r="H70" i="13"/>
  <c r="G70" i="13"/>
  <c r="J69" i="13"/>
  <c r="I69" i="13"/>
  <c r="H69" i="13"/>
  <c r="G69" i="13"/>
  <c r="J68" i="13"/>
  <c r="I68" i="13"/>
  <c r="H68" i="13"/>
  <c r="G68" i="13"/>
  <c r="J67" i="13"/>
  <c r="I67" i="13"/>
  <c r="H67" i="13"/>
  <c r="G67" i="13"/>
  <c r="J66" i="13"/>
  <c r="I66" i="13"/>
  <c r="H66" i="13"/>
  <c r="G66" i="13"/>
  <c r="J65" i="13"/>
  <c r="I65" i="13"/>
  <c r="H65" i="13"/>
  <c r="G65" i="13"/>
  <c r="J64" i="13"/>
  <c r="I64" i="13"/>
  <c r="H64" i="13"/>
  <c r="G64" i="13"/>
  <c r="J63" i="13"/>
  <c r="I63" i="13"/>
  <c r="H63" i="13"/>
  <c r="G63" i="13"/>
  <c r="J62" i="13"/>
  <c r="I62" i="13"/>
  <c r="H62" i="13"/>
  <c r="G62" i="13"/>
  <c r="J61" i="13"/>
  <c r="I61" i="13"/>
  <c r="H61" i="13"/>
  <c r="G61" i="13"/>
  <c r="J60" i="13"/>
  <c r="I60" i="13"/>
  <c r="H60" i="13"/>
  <c r="G60" i="13"/>
  <c r="J59" i="13"/>
  <c r="I59" i="13"/>
  <c r="H59" i="13"/>
  <c r="G59" i="13"/>
  <c r="J58" i="13"/>
  <c r="I58" i="13"/>
  <c r="H58" i="13"/>
  <c r="G58" i="13"/>
  <c r="J57" i="13"/>
  <c r="I57" i="13"/>
  <c r="H57" i="13"/>
  <c r="G57" i="13"/>
  <c r="J56" i="13"/>
  <c r="I56" i="13"/>
  <c r="H56" i="13"/>
  <c r="G56" i="13"/>
  <c r="J55" i="13"/>
  <c r="I55" i="13"/>
  <c r="H55" i="13"/>
  <c r="G55" i="13"/>
  <c r="J54" i="13"/>
  <c r="I54" i="13"/>
  <c r="H54" i="13"/>
  <c r="G54" i="13"/>
  <c r="J53" i="13"/>
  <c r="I53" i="13"/>
  <c r="H53" i="13"/>
  <c r="G53" i="13"/>
  <c r="J52" i="13"/>
  <c r="I52" i="13"/>
  <c r="H52" i="13"/>
  <c r="G52" i="13"/>
  <c r="J51" i="13"/>
  <c r="I51" i="13"/>
  <c r="H51" i="13"/>
  <c r="G51" i="13"/>
  <c r="J50" i="13"/>
  <c r="I50" i="13"/>
  <c r="H50" i="13"/>
  <c r="G50" i="13"/>
  <c r="J49" i="13"/>
  <c r="I49" i="13"/>
  <c r="H49" i="13"/>
  <c r="G49" i="13"/>
  <c r="J48" i="13"/>
  <c r="I48" i="13"/>
  <c r="H48" i="13"/>
  <c r="G48" i="13"/>
  <c r="J47" i="13"/>
  <c r="I47" i="13"/>
  <c r="H47" i="13"/>
  <c r="G47" i="13"/>
  <c r="J46" i="13"/>
  <c r="I46" i="13"/>
  <c r="H46" i="13"/>
  <c r="G46" i="13"/>
  <c r="J45" i="13"/>
  <c r="I45" i="13"/>
  <c r="H45" i="13"/>
  <c r="G45" i="13"/>
  <c r="J44" i="13"/>
  <c r="I44" i="13"/>
  <c r="H44" i="13"/>
  <c r="G44" i="13"/>
  <c r="J43" i="13"/>
  <c r="I43" i="13"/>
  <c r="H43" i="13"/>
  <c r="G43" i="13"/>
  <c r="J42" i="13"/>
  <c r="I42" i="13"/>
  <c r="H42" i="13"/>
  <c r="G42" i="13"/>
  <c r="J41" i="13"/>
  <c r="I41" i="13"/>
  <c r="H41" i="13"/>
  <c r="G41" i="13"/>
  <c r="J40" i="13"/>
  <c r="I40" i="13"/>
  <c r="H40" i="13"/>
  <c r="G40" i="13"/>
  <c r="J39" i="13"/>
  <c r="I39" i="13"/>
  <c r="H39" i="13"/>
  <c r="G39" i="13"/>
  <c r="J38" i="13"/>
  <c r="I38" i="13"/>
  <c r="H38" i="13"/>
  <c r="G38" i="13"/>
  <c r="J37" i="13"/>
  <c r="I37" i="13"/>
  <c r="H37" i="13"/>
  <c r="G37" i="13"/>
  <c r="J36" i="13"/>
  <c r="I36" i="13"/>
  <c r="H36" i="13"/>
  <c r="G36" i="13"/>
  <c r="J35" i="13"/>
  <c r="I35" i="13"/>
  <c r="H35" i="13"/>
  <c r="G35" i="13"/>
  <c r="J34" i="13"/>
  <c r="I34" i="13"/>
  <c r="H34" i="13"/>
  <c r="G34" i="13"/>
  <c r="J33" i="13"/>
  <c r="I33" i="13"/>
  <c r="H33" i="13"/>
  <c r="G33" i="13"/>
  <c r="J32" i="13"/>
  <c r="I32" i="13"/>
  <c r="H32" i="13"/>
  <c r="G32" i="13"/>
  <c r="J31" i="13"/>
  <c r="I31" i="13"/>
  <c r="H31" i="13"/>
  <c r="G31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AH17" i="13"/>
  <c r="AH8" i="13"/>
  <c r="J86" i="12"/>
  <c r="I86" i="12"/>
  <c r="H86" i="12"/>
  <c r="G86" i="12"/>
  <c r="J85" i="12"/>
  <c r="I85" i="12"/>
  <c r="H85" i="12"/>
  <c r="G85" i="12"/>
  <c r="J84" i="12"/>
  <c r="I84" i="12"/>
  <c r="H84" i="12"/>
  <c r="G84" i="12"/>
  <c r="J83" i="12"/>
  <c r="I83" i="12"/>
  <c r="H83" i="12"/>
  <c r="G83" i="12"/>
  <c r="J82" i="12"/>
  <c r="I82" i="12"/>
  <c r="H82" i="12"/>
  <c r="G82" i="12"/>
  <c r="J81" i="12"/>
  <c r="I81" i="12"/>
  <c r="H81" i="12"/>
  <c r="G81" i="12"/>
  <c r="J80" i="12"/>
  <c r="I80" i="12"/>
  <c r="H80" i="12"/>
  <c r="G80" i="12"/>
  <c r="J79" i="12"/>
  <c r="I79" i="12"/>
  <c r="H79" i="12"/>
  <c r="G79" i="12"/>
  <c r="J78" i="12"/>
  <c r="I78" i="12"/>
  <c r="H78" i="12"/>
  <c r="G78" i="12"/>
  <c r="J77" i="12"/>
  <c r="I77" i="12"/>
  <c r="H77" i="12"/>
  <c r="G77" i="12"/>
  <c r="J76" i="12"/>
  <c r="I76" i="12"/>
  <c r="H76" i="12"/>
  <c r="G76" i="12"/>
  <c r="J75" i="12"/>
  <c r="I75" i="12"/>
  <c r="H75" i="12"/>
  <c r="G75" i="12"/>
  <c r="J74" i="12"/>
  <c r="I74" i="12"/>
  <c r="H74" i="12"/>
  <c r="G74" i="12"/>
  <c r="J73" i="12"/>
  <c r="I73" i="12"/>
  <c r="H73" i="12"/>
  <c r="G73" i="12"/>
  <c r="J72" i="12"/>
  <c r="I72" i="12"/>
  <c r="H72" i="12"/>
  <c r="G72" i="12"/>
  <c r="J71" i="12"/>
  <c r="I71" i="12"/>
  <c r="H71" i="12"/>
  <c r="G71" i="12"/>
  <c r="J70" i="12"/>
  <c r="I70" i="12"/>
  <c r="H70" i="12"/>
  <c r="G70" i="12"/>
  <c r="J69" i="12"/>
  <c r="I69" i="12"/>
  <c r="H69" i="12"/>
  <c r="G69" i="12"/>
  <c r="J68" i="12"/>
  <c r="I68" i="12"/>
  <c r="H68" i="12"/>
  <c r="G68" i="12"/>
  <c r="J67" i="12"/>
  <c r="I67" i="12"/>
  <c r="H67" i="12"/>
  <c r="G67" i="12"/>
  <c r="J66" i="12"/>
  <c r="I66" i="12"/>
  <c r="H66" i="12"/>
  <c r="G66" i="12"/>
  <c r="J65" i="12"/>
  <c r="I65" i="12"/>
  <c r="H65" i="12"/>
  <c r="G65" i="12"/>
  <c r="J64" i="12"/>
  <c r="I64" i="12"/>
  <c r="H64" i="12"/>
  <c r="G64" i="12"/>
  <c r="J63" i="12"/>
  <c r="I63" i="12"/>
  <c r="H63" i="12"/>
  <c r="G63" i="12"/>
  <c r="J62" i="12"/>
  <c r="I62" i="12"/>
  <c r="H62" i="12"/>
  <c r="G62" i="12"/>
  <c r="J61" i="12"/>
  <c r="I61" i="12"/>
  <c r="H61" i="12"/>
  <c r="G61" i="12"/>
  <c r="J60" i="12"/>
  <c r="I60" i="12"/>
  <c r="H60" i="12"/>
  <c r="G60" i="12"/>
  <c r="J59" i="12"/>
  <c r="I59" i="12"/>
  <c r="H59" i="12"/>
  <c r="G59" i="12"/>
  <c r="J58" i="12"/>
  <c r="I58" i="12"/>
  <c r="H58" i="12"/>
  <c r="G58" i="12"/>
  <c r="J57" i="12"/>
  <c r="I57" i="12"/>
  <c r="H57" i="12"/>
  <c r="G57" i="12"/>
  <c r="J56" i="12"/>
  <c r="I56" i="12"/>
  <c r="H56" i="12"/>
  <c r="G56" i="12"/>
  <c r="J55" i="12"/>
  <c r="I55" i="12"/>
  <c r="H55" i="12"/>
  <c r="G55" i="12"/>
  <c r="J54" i="12"/>
  <c r="I54" i="12"/>
  <c r="H54" i="12"/>
  <c r="G54" i="12"/>
  <c r="J53" i="12"/>
  <c r="I53" i="12"/>
  <c r="H53" i="12"/>
  <c r="G53" i="12"/>
  <c r="J52" i="12"/>
  <c r="I52" i="12"/>
  <c r="H52" i="12"/>
  <c r="G52" i="12"/>
  <c r="J51" i="12"/>
  <c r="I51" i="12"/>
  <c r="H51" i="12"/>
  <c r="G51" i="12"/>
  <c r="J50" i="12"/>
  <c r="I50" i="12"/>
  <c r="H50" i="12"/>
  <c r="G50" i="12"/>
  <c r="J49" i="12"/>
  <c r="I49" i="12"/>
  <c r="H49" i="12"/>
  <c r="G49" i="12"/>
  <c r="J48" i="12"/>
  <c r="I48" i="12"/>
  <c r="H48" i="12"/>
  <c r="G48" i="12"/>
  <c r="J47" i="12"/>
  <c r="I47" i="12"/>
  <c r="H47" i="12"/>
  <c r="G47" i="12"/>
  <c r="J46" i="12"/>
  <c r="I46" i="12"/>
  <c r="H46" i="12"/>
  <c r="G46" i="12"/>
  <c r="J45" i="12"/>
  <c r="I45" i="12"/>
  <c r="H45" i="12"/>
  <c r="G45" i="12"/>
  <c r="J44" i="12"/>
  <c r="I44" i="12"/>
  <c r="H44" i="12"/>
  <c r="G44" i="12"/>
  <c r="J43" i="12"/>
  <c r="I43" i="12"/>
  <c r="H43" i="12"/>
  <c r="G43" i="12"/>
  <c r="J42" i="12"/>
  <c r="I42" i="12"/>
  <c r="H42" i="12"/>
  <c r="G42" i="12"/>
  <c r="J41" i="12"/>
  <c r="I41" i="12"/>
  <c r="H41" i="12"/>
  <c r="G41" i="12"/>
  <c r="J40" i="12"/>
  <c r="I40" i="12"/>
  <c r="H40" i="12"/>
  <c r="G40" i="12"/>
  <c r="J39" i="12"/>
  <c r="I39" i="12"/>
  <c r="H39" i="12"/>
  <c r="G39" i="12"/>
  <c r="J38" i="12"/>
  <c r="I38" i="12"/>
  <c r="H38" i="12"/>
  <c r="G38" i="12"/>
  <c r="J37" i="12"/>
  <c r="I37" i="12"/>
  <c r="H37" i="12"/>
  <c r="G37" i="12"/>
  <c r="J36" i="12"/>
  <c r="I36" i="12"/>
  <c r="H36" i="12"/>
  <c r="G36" i="12"/>
  <c r="J35" i="12"/>
  <c r="I35" i="12"/>
  <c r="H35" i="12"/>
  <c r="G35" i="12"/>
  <c r="J34" i="12"/>
  <c r="I34" i="12"/>
  <c r="H34" i="12"/>
  <c r="G34" i="12"/>
  <c r="J33" i="12"/>
  <c r="I33" i="12"/>
  <c r="H33" i="12"/>
  <c r="G33" i="12"/>
  <c r="J32" i="12"/>
  <c r="I32" i="12"/>
  <c r="H32" i="12"/>
  <c r="G32" i="12"/>
  <c r="J31" i="12"/>
  <c r="I31" i="12"/>
  <c r="H31" i="12"/>
  <c r="G31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AH17" i="12"/>
  <c r="AH8" i="12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AH8" i="11"/>
  <c r="AH17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86" i="11"/>
  <c r="I86" i="11"/>
  <c r="H86" i="11"/>
  <c r="G86" i="11"/>
  <c r="J85" i="11"/>
  <c r="I85" i="11"/>
  <c r="H85" i="11"/>
  <c r="G85" i="11"/>
  <c r="J84" i="11"/>
  <c r="I84" i="11"/>
  <c r="H84" i="11"/>
  <c r="G84" i="11"/>
  <c r="J83" i="11"/>
  <c r="I83" i="11"/>
  <c r="H83" i="11"/>
  <c r="G83" i="11"/>
  <c r="J82" i="11"/>
  <c r="I82" i="11"/>
  <c r="H82" i="11"/>
  <c r="G82" i="11"/>
  <c r="J81" i="11"/>
  <c r="I81" i="11"/>
  <c r="H81" i="11"/>
  <c r="G81" i="11"/>
  <c r="J80" i="11"/>
  <c r="I80" i="11"/>
  <c r="H80" i="11"/>
  <c r="G80" i="11"/>
  <c r="J79" i="11"/>
  <c r="I79" i="11"/>
  <c r="H79" i="11"/>
  <c r="G79" i="11"/>
  <c r="J78" i="11"/>
  <c r="I78" i="11"/>
  <c r="H78" i="11"/>
  <c r="G78" i="11"/>
  <c r="J77" i="11"/>
  <c r="I77" i="11"/>
  <c r="H77" i="11"/>
  <c r="G77" i="11"/>
  <c r="J76" i="11"/>
  <c r="I76" i="11"/>
  <c r="H76" i="11"/>
  <c r="G76" i="11"/>
  <c r="J75" i="11"/>
  <c r="I75" i="11"/>
  <c r="H75" i="11"/>
  <c r="G75" i="11"/>
  <c r="J74" i="11"/>
  <c r="I74" i="11"/>
  <c r="H74" i="11"/>
  <c r="G74" i="11"/>
  <c r="J73" i="11"/>
  <c r="I73" i="11"/>
  <c r="H73" i="11"/>
  <c r="G73" i="11"/>
  <c r="J72" i="11"/>
  <c r="I72" i="11"/>
  <c r="H72" i="11"/>
  <c r="G72" i="11"/>
  <c r="J71" i="11"/>
  <c r="I71" i="11"/>
  <c r="H71" i="11"/>
  <c r="G71" i="11"/>
  <c r="J70" i="11"/>
  <c r="I70" i="11"/>
  <c r="H70" i="11"/>
  <c r="G70" i="11"/>
  <c r="J69" i="11"/>
  <c r="I69" i="11"/>
  <c r="H69" i="11"/>
  <c r="G69" i="11"/>
  <c r="J68" i="11"/>
  <c r="I68" i="11"/>
  <c r="H68" i="11"/>
  <c r="G68" i="11"/>
  <c r="J67" i="11"/>
  <c r="I67" i="11"/>
  <c r="H67" i="11"/>
  <c r="G67" i="11"/>
  <c r="J66" i="11"/>
  <c r="I66" i="11"/>
  <c r="H66" i="11"/>
  <c r="G66" i="11"/>
  <c r="J65" i="11"/>
  <c r="I65" i="11"/>
  <c r="H65" i="11"/>
  <c r="G65" i="11"/>
  <c r="J64" i="11"/>
  <c r="I64" i="11"/>
  <c r="H64" i="11"/>
  <c r="G64" i="11"/>
  <c r="J63" i="11"/>
  <c r="I63" i="11"/>
  <c r="H63" i="11"/>
  <c r="G63" i="11"/>
  <c r="J62" i="11"/>
  <c r="I62" i="11"/>
  <c r="H62" i="11"/>
  <c r="G62" i="11"/>
  <c r="J61" i="11"/>
  <c r="I61" i="11"/>
  <c r="H61" i="11"/>
  <c r="G61" i="11"/>
  <c r="J60" i="11"/>
  <c r="I60" i="11"/>
  <c r="H60" i="11"/>
  <c r="G60" i="11"/>
  <c r="J59" i="11"/>
  <c r="I59" i="11"/>
  <c r="H59" i="11"/>
  <c r="G59" i="11"/>
  <c r="J58" i="11"/>
  <c r="I58" i="11"/>
  <c r="H58" i="11"/>
  <c r="G58" i="11"/>
  <c r="J57" i="11"/>
  <c r="I57" i="11"/>
  <c r="H57" i="11"/>
  <c r="G57" i="11"/>
  <c r="J56" i="11"/>
  <c r="I56" i="11"/>
  <c r="H56" i="11"/>
  <c r="G56" i="11"/>
  <c r="J55" i="11"/>
  <c r="I55" i="11"/>
  <c r="H55" i="11"/>
  <c r="G55" i="11"/>
  <c r="J54" i="11"/>
  <c r="I54" i="11"/>
  <c r="H54" i="11"/>
  <c r="G54" i="11"/>
  <c r="J53" i="11"/>
  <c r="I53" i="11"/>
  <c r="H53" i="11"/>
  <c r="G53" i="11"/>
  <c r="J52" i="11"/>
  <c r="I52" i="11"/>
  <c r="H52" i="11"/>
  <c r="G52" i="11"/>
  <c r="J51" i="11"/>
  <c r="I51" i="11"/>
  <c r="H51" i="11"/>
  <c r="G51" i="11"/>
  <c r="J50" i="11"/>
  <c r="I50" i="11"/>
  <c r="H50" i="11"/>
  <c r="G50" i="11"/>
  <c r="J49" i="11"/>
  <c r="I49" i="11"/>
  <c r="H49" i="11"/>
  <c r="G49" i="11"/>
  <c r="J48" i="11"/>
  <c r="I48" i="11"/>
  <c r="H48" i="11"/>
  <c r="G48" i="11"/>
  <c r="J47" i="11"/>
  <c r="I47" i="11"/>
  <c r="H47" i="11"/>
  <c r="G47" i="11"/>
  <c r="J46" i="11"/>
  <c r="I46" i="11"/>
  <c r="H46" i="11"/>
  <c r="G46" i="11"/>
  <c r="J45" i="11"/>
  <c r="I45" i="11"/>
  <c r="H45" i="11"/>
  <c r="G45" i="11"/>
  <c r="J44" i="11"/>
  <c r="I44" i="11"/>
  <c r="H44" i="11"/>
  <c r="G44" i="11"/>
  <c r="J43" i="11"/>
  <c r="I43" i="11"/>
  <c r="H43" i="11"/>
  <c r="G43" i="11"/>
  <c r="J42" i="11"/>
  <c r="I42" i="11"/>
  <c r="H42" i="11"/>
  <c r="G42" i="11"/>
  <c r="J41" i="11"/>
  <c r="I41" i="11"/>
  <c r="H41" i="11"/>
  <c r="G41" i="11"/>
  <c r="J40" i="11"/>
  <c r="I40" i="11"/>
  <c r="H40" i="11"/>
  <c r="G40" i="11"/>
  <c r="J39" i="11"/>
  <c r="I39" i="11"/>
  <c r="H39" i="11"/>
  <c r="G39" i="11"/>
  <c r="J38" i="11"/>
  <c r="I38" i="11"/>
  <c r="H38" i="11"/>
  <c r="G38" i="11"/>
  <c r="J37" i="11"/>
  <c r="I37" i="11"/>
  <c r="H37" i="11"/>
  <c r="G37" i="11"/>
  <c r="J36" i="11"/>
  <c r="I36" i="11"/>
  <c r="H36" i="11"/>
  <c r="G36" i="11"/>
  <c r="J35" i="11"/>
  <c r="I35" i="11"/>
  <c r="H35" i="11"/>
  <c r="G35" i="11"/>
  <c r="J34" i="11"/>
  <c r="I34" i="11"/>
  <c r="H34" i="11"/>
  <c r="G34" i="11"/>
  <c r="J33" i="11"/>
  <c r="I33" i="11"/>
  <c r="H33" i="11"/>
  <c r="G33" i="11"/>
  <c r="J32" i="11"/>
  <c r="I32" i="11"/>
  <c r="H32" i="11"/>
  <c r="G32" i="11"/>
  <c r="J31" i="11"/>
  <c r="I31" i="11"/>
  <c r="H31" i="11"/>
  <c r="G31" i="11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1" i="9"/>
  <c r="I21" i="9"/>
  <c r="H21" i="9"/>
  <c r="G21" i="9"/>
  <c r="J20" i="9"/>
  <c r="I20" i="9"/>
  <c r="H20" i="9"/>
  <c r="G20" i="9"/>
  <c r="J19" i="9"/>
  <c r="I19" i="9"/>
  <c r="H19" i="9"/>
  <c r="G19" i="9"/>
  <c r="J18" i="9"/>
  <c r="I18" i="9"/>
  <c r="H18" i="9"/>
  <c r="G18" i="9"/>
  <c r="J86" i="9"/>
  <c r="I86" i="9"/>
  <c r="H86" i="9"/>
  <c r="G86" i="9"/>
  <c r="J85" i="9"/>
  <c r="I85" i="9"/>
  <c r="H85" i="9"/>
  <c r="G85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AC12" i="22" l="1"/>
  <c r="M12" i="22"/>
  <c r="Y10" i="22"/>
  <c r="AE12" i="21"/>
  <c r="AE12" i="22"/>
  <c r="P11" i="21"/>
  <c r="R12" i="21"/>
  <c r="AC11" i="22"/>
  <c r="O12" i="22"/>
  <c r="W12" i="22"/>
  <c r="T11" i="22"/>
  <c r="Q10" i="22"/>
  <c r="AG10" i="22"/>
  <c r="U12" i="22"/>
  <c r="Q11" i="21"/>
  <c r="AB11" i="22"/>
  <c r="U11" i="22"/>
  <c r="W12" i="19"/>
  <c r="T10" i="19"/>
  <c r="V11" i="19"/>
  <c r="X12" i="19"/>
  <c r="AA12" i="18"/>
  <c r="L12" i="21"/>
  <c r="AD11" i="19"/>
  <c r="P12" i="19"/>
  <c r="O11" i="20"/>
  <c r="AF12" i="19"/>
  <c r="Z10" i="22"/>
  <c r="L11" i="22"/>
  <c r="N12" i="22"/>
  <c r="L11" i="19"/>
  <c r="P9" i="22"/>
  <c r="X9" i="22"/>
  <c r="AF9" i="22"/>
  <c r="AF12" i="14"/>
  <c r="AE12" i="16"/>
  <c r="T12" i="18"/>
  <c r="AC11" i="19"/>
  <c r="O12" i="19"/>
  <c r="O12" i="16"/>
  <c r="W12" i="16"/>
  <c r="AD12" i="18"/>
  <c r="AE12" i="19"/>
  <c r="AA11" i="18"/>
  <c r="N9" i="20"/>
  <c r="V9" i="20"/>
  <c r="AD9" i="20"/>
  <c r="X10" i="20"/>
  <c r="AF10" i="20"/>
  <c r="Z11" i="20"/>
  <c r="L12" i="20"/>
  <c r="AB12" i="20"/>
  <c r="AE12" i="15"/>
  <c r="AE12" i="18"/>
  <c r="AC12" i="15"/>
  <c r="AC12" i="19"/>
  <c r="O12" i="13"/>
  <c r="AA10" i="22"/>
  <c r="M11" i="22"/>
  <c r="O12" i="18"/>
  <c r="W12" i="18"/>
  <c r="R9" i="22"/>
  <c r="N11" i="22"/>
  <c r="V11" i="22"/>
  <c r="P12" i="22"/>
  <c r="T12" i="21"/>
  <c r="AB12" i="21"/>
  <c r="U11" i="16"/>
  <c r="V12" i="18"/>
  <c r="AG9" i="22"/>
  <c r="K10" i="22"/>
  <c r="K11" i="18"/>
  <c r="K11" i="21"/>
  <c r="S11" i="21"/>
  <c r="AA11" i="21"/>
  <c r="M9" i="22"/>
  <c r="U9" i="22"/>
  <c r="AC9" i="22"/>
  <c r="Q11" i="22"/>
  <c r="Y11" i="22"/>
  <c r="AG11" i="22"/>
  <c r="K12" i="22"/>
  <c r="S12" i="22"/>
  <c r="AA12" i="22"/>
  <c r="L12" i="16"/>
  <c r="P12" i="20"/>
  <c r="X12" i="20"/>
  <c r="AF12" i="20"/>
  <c r="U11" i="13"/>
  <c r="AE10" i="14"/>
  <c r="N10" i="22"/>
  <c r="K9" i="20"/>
  <c r="AE11" i="20"/>
  <c r="K9" i="12"/>
  <c r="S9" i="12"/>
  <c r="M10" i="12"/>
  <c r="N11" i="15"/>
  <c r="V11" i="15"/>
  <c r="AC12" i="14"/>
  <c r="Z9" i="21"/>
  <c r="Q11" i="15"/>
  <c r="S12" i="16"/>
  <c r="W11" i="14"/>
  <c r="W12" i="14"/>
  <c r="S10" i="16"/>
  <c r="AC11" i="16"/>
  <c r="S9" i="16"/>
  <c r="K9" i="19"/>
  <c r="AE11" i="19"/>
  <c r="Y10" i="20"/>
  <c r="AG10" i="20"/>
  <c r="AC12" i="20"/>
  <c r="R11" i="21"/>
  <c r="Z11" i="21"/>
  <c r="T12" i="16"/>
  <c r="X10" i="15"/>
  <c r="R11" i="15"/>
  <c r="Z11" i="15"/>
  <c r="AB12" i="15"/>
  <c r="AB11" i="19"/>
  <c r="AB9" i="21"/>
  <c r="AA10" i="12"/>
  <c r="AE12" i="12"/>
  <c r="S10" i="22"/>
  <c r="AA12" i="19"/>
  <c r="AB11" i="21"/>
  <c r="N12" i="21"/>
  <c r="AD12" i="21"/>
  <c r="L11" i="18"/>
  <c r="AB11" i="18"/>
  <c r="Q9" i="19"/>
  <c r="Y9" i="19"/>
  <c r="AG9" i="19"/>
  <c r="S10" i="19"/>
  <c r="AA10" i="19"/>
  <c r="M11" i="19"/>
  <c r="U11" i="19"/>
  <c r="L9" i="20"/>
  <c r="T9" i="20"/>
  <c r="AB9" i="20"/>
  <c r="AC9" i="20"/>
  <c r="N10" i="20"/>
  <c r="V10" i="20"/>
  <c r="AD10" i="20"/>
  <c r="Y11" i="20"/>
  <c r="AA12" i="20"/>
  <c r="Z9" i="22"/>
  <c r="L10" i="22"/>
  <c r="T10" i="22"/>
  <c r="AB10" i="22"/>
  <c r="AD11" i="22"/>
  <c r="X12" i="22"/>
  <c r="AF12" i="22"/>
  <c r="U10" i="12"/>
  <c r="AC10" i="12"/>
  <c r="AA9" i="16"/>
  <c r="P9" i="21"/>
  <c r="X9" i="21"/>
  <c r="AF9" i="21"/>
  <c r="R10" i="21"/>
  <c r="Z10" i="21"/>
  <c r="L11" i="21"/>
  <c r="T11" i="21"/>
  <c r="V12" i="21"/>
  <c r="AF10" i="13"/>
  <c r="Z11" i="13"/>
  <c r="S11" i="18"/>
  <c r="O10" i="19"/>
  <c r="W10" i="19"/>
  <c r="AE10" i="19"/>
  <c r="Q11" i="19"/>
  <c r="Y11" i="19"/>
  <c r="AG11" i="19"/>
  <c r="R11" i="19"/>
  <c r="K12" i="19"/>
  <c r="S12" i="19"/>
  <c r="Q9" i="14"/>
  <c r="AG10" i="14"/>
  <c r="W10" i="15"/>
  <c r="AE10" i="15"/>
  <c r="Y11" i="15"/>
  <c r="AG11" i="15"/>
  <c r="K12" i="15"/>
  <c r="S12" i="15"/>
  <c r="AA12" i="15"/>
  <c r="S9" i="14"/>
  <c r="AA9" i="14"/>
  <c r="AA12" i="14"/>
  <c r="AF10" i="15"/>
  <c r="X9" i="20"/>
  <c r="AF9" i="20"/>
  <c r="W9" i="21"/>
  <c r="Y12" i="18"/>
  <c r="Q12" i="13"/>
  <c r="Y10" i="16"/>
  <c r="K10" i="13"/>
  <c r="R12" i="15"/>
  <c r="M11" i="16"/>
  <c r="L12" i="18"/>
  <c r="Z11" i="19"/>
  <c r="F43" i="19"/>
  <c r="F47" i="19"/>
  <c r="F51" i="19"/>
  <c r="Q10" i="11"/>
  <c r="AE11" i="14"/>
  <c r="M9" i="13"/>
  <c r="U9" i="13"/>
  <c r="O10" i="13"/>
  <c r="W10" i="13"/>
  <c r="Q11" i="13"/>
  <c r="Y11" i="13"/>
  <c r="AG11" i="13"/>
  <c r="K12" i="13"/>
  <c r="S12" i="13"/>
  <c r="AA12" i="13"/>
  <c r="AG10" i="15"/>
  <c r="N9" i="13"/>
  <c r="AD9" i="13"/>
  <c r="P10" i="13"/>
  <c r="X10" i="13"/>
  <c r="R11" i="13"/>
  <c r="AB12" i="13"/>
  <c r="AA10" i="15"/>
  <c r="P9" i="16"/>
  <c r="X9" i="16"/>
  <c r="AF9" i="16"/>
  <c r="AB11" i="16"/>
  <c r="L12" i="19"/>
  <c r="T12" i="19"/>
  <c r="AB12" i="19"/>
  <c r="Y9" i="12"/>
  <c r="AG9" i="12"/>
  <c r="S10" i="12"/>
  <c r="U11" i="12"/>
  <c r="N11" i="12"/>
  <c r="AD11" i="12"/>
  <c r="O12" i="12"/>
  <c r="W12" i="12"/>
  <c r="Q10" i="20"/>
  <c r="R11" i="20"/>
  <c r="T12" i="20"/>
  <c r="M12" i="20"/>
  <c r="U12" i="20"/>
  <c r="T10" i="14"/>
  <c r="T12" i="14"/>
  <c r="N12" i="18"/>
  <c r="Q9" i="20"/>
  <c r="M11" i="20"/>
  <c r="AC11" i="20"/>
  <c r="O12" i="20"/>
  <c r="W12" i="20"/>
  <c r="AE12" i="20"/>
  <c r="R11" i="16"/>
  <c r="AE9" i="13"/>
  <c r="AE9" i="12"/>
  <c r="R10" i="12"/>
  <c r="K11" i="12"/>
  <c r="S11" i="12"/>
  <c r="AA11" i="12"/>
  <c r="N12" i="12"/>
  <c r="V12" i="12"/>
  <c r="AD12" i="12"/>
  <c r="U11" i="14"/>
  <c r="U12" i="14"/>
  <c r="W10" i="18"/>
  <c r="Y11" i="18"/>
  <c r="T9" i="21"/>
  <c r="R9" i="15"/>
  <c r="Z9" i="15"/>
  <c r="L10" i="15"/>
  <c r="T10" i="15"/>
  <c r="AB10" i="15"/>
  <c r="AD11" i="15"/>
  <c r="O10" i="16"/>
  <c r="W10" i="16"/>
  <c r="AE10" i="16"/>
  <c r="Q11" i="16"/>
  <c r="F82" i="21"/>
  <c r="AA9" i="22"/>
  <c r="AD9" i="11"/>
  <c r="AF10" i="11"/>
  <c r="R11" i="11"/>
  <c r="Z11" i="11"/>
  <c r="L12" i="11"/>
  <c r="T12" i="11"/>
  <c r="AB12" i="11"/>
  <c r="K9" i="15"/>
  <c r="S9" i="15"/>
  <c r="AA9" i="15"/>
  <c r="O11" i="15"/>
  <c r="W11" i="15"/>
  <c r="AE11" i="15"/>
  <c r="N9" i="16"/>
  <c r="V9" i="16"/>
  <c r="AD9" i="16"/>
  <c r="P10" i="16"/>
  <c r="X10" i="16"/>
  <c r="AF10" i="16"/>
  <c r="Z11" i="16"/>
  <c r="AB12" i="16"/>
  <c r="O9" i="18"/>
  <c r="AE9" i="18"/>
  <c r="X9" i="18"/>
  <c r="Z10" i="18"/>
  <c r="V9" i="11"/>
  <c r="P9" i="11"/>
  <c r="X9" i="11"/>
  <c r="AF9" i="11"/>
  <c r="R10" i="11"/>
  <c r="Z10" i="11"/>
  <c r="L11" i="11"/>
  <c r="T11" i="11"/>
  <c r="Y9" i="18"/>
  <c r="S10" i="18"/>
  <c r="AA10" i="18"/>
  <c r="L9" i="21"/>
  <c r="N10" i="21"/>
  <c r="V10" i="21"/>
  <c r="AD10" i="21"/>
  <c r="X11" i="21"/>
  <c r="AF11" i="21"/>
  <c r="N9" i="22"/>
  <c r="P10" i="11"/>
  <c r="AG12" i="18"/>
  <c r="Z9" i="19"/>
  <c r="L10" i="19"/>
  <c r="AB10" i="19"/>
  <c r="N11" i="19"/>
  <c r="N9" i="11"/>
  <c r="Y9" i="22"/>
  <c r="X10" i="11"/>
  <c r="T9" i="12"/>
  <c r="AB9" i="12"/>
  <c r="N10" i="12"/>
  <c r="V10" i="12"/>
  <c r="AD10" i="12"/>
  <c r="P11" i="12"/>
  <c r="F71" i="16"/>
  <c r="X11" i="11"/>
  <c r="R9" i="12"/>
  <c r="Z9" i="12"/>
  <c r="V11" i="12"/>
  <c r="W9" i="13"/>
  <c r="AA11" i="13"/>
  <c r="V10" i="16"/>
  <c r="Y11" i="16"/>
  <c r="AG11" i="16"/>
  <c r="K12" i="16"/>
  <c r="AA12" i="16"/>
  <c r="AG9" i="20"/>
  <c r="T10" i="20"/>
  <c r="U11" i="20"/>
  <c r="K10" i="21"/>
  <c r="S10" i="21"/>
  <c r="AA10" i="21"/>
  <c r="O12" i="21"/>
  <c r="W12" i="21"/>
  <c r="K9" i="22"/>
  <c r="S9" i="22"/>
  <c r="O11" i="22"/>
  <c r="W11" i="22"/>
  <c r="AE11" i="22"/>
  <c r="F71" i="22"/>
  <c r="X11" i="12"/>
  <c r="AF11" i="12"/>
  <c r="Q12" i="12"/>
  <c r="Y12" i="12"/>
  <c r="AG12" i="12"/>
  <c r="R12" i="12"/>
  <c r="Z12" i="12"/>
  <c r="R10" i="13"/>
  <c r="W12" i="13"/>
  <c r="AD10" i="18"/>
  <c r="AF11" i="18"/>
  <c r="S9" i="19"/>
  <c r="AA9" i="19"/>
  <c r="O11" i="19"/>
  <c r="W11" i="19"/>
  <c r="M10" i="21"/>
  <c r="U10" i="21"/>
  <c r="AC10" i="21"/>
  <c r="H25" i="21"/>
  <c r="J30" i="21"/>
  <c r="F51" i="22"/>
  <c r="M9" i="11"/>
  <c r="U9" i="11"/>
  <c r="AC9" i="11"/>
  <c r="O10" i="11"/>
  <c r="W10" i="11"/>
  <c r="AE10" i="11"/>
  <c r="Q11" i="11"/>
  <c r="Y11" i="11"/>
  <c r="AG11" i="11"/>
  <c r="K12" i="11"/>
  <c r="S12" i="11"/>
  <c r="AA12" i="11"/>
  <c r="P10" i="22"/>
  <c r="X10" i="22"/>
  <c r="AF10" i="22"/>
  <c r="R11" i="22"/>
  <c r="Z11" i="22"/>
  <c r="L12" i="22"/>
  <c r="T12" i="22"/>
  <c r="AB12" i="22"/>
  <c r="I30" i="22"/>
  <c r="I21" i="11"/>
  <c r="Z12" i="21"/>
  <c r="F66" i="9"/>
  <c r="F82" i="9"/>
  <c r="F21" i="9"/>
  <c r="F12" i="9"/>
  <c r="O9" i="12"/>
  <c r="P10" i="12"/>
  <c r="AG12" i="13"/>
  <c r="Y9" i="14"/>
  <c r="AG9" i="14"/>
  <c r="Q10" i="14"/>
  <c r="Y10" i="14"/>
  <c r="Q11" i="14"/>
  <c r="Y11" i="14"/>
  <c r="AG11" i="14"/>
  <c r="P9" i="15"/>
  <c r="X9" i="15"/>
  <c r="AG9" i="15"/>
  <c r="L11" i="15"/>
  <c r="T11" i="15"/>
  <c r="AB11" i="15"/>
  <c r="AC11" i="15"/>
  <c r="P10" i="18"/>
  <c r="U9" i="20"/>
  <c r="F55" i="20"/>
  <c r="Y11" i="21"/>
  <c r="Q9" i="11"/>
  <c r="K10" i="11"/>
  <c r="S10" i="11"/>
  <c r="AA10" i="11"/>
  <c r="M11" i="11"/>
  <c r="U11" i="11"/>
  <c r="AC11" i="11"/>
  <c r="O12" i="11"/>
  <c r="W12" i="11"/>
  <c r="AE12" i="11"/>
  <c r="O12" i="14"/>
  <c r="L10" i="16"/>
  <c r="T10" i="16"/>
  <c r="AB10" i="16"/>
  <c r="N11" i="16"/>
  <c r="V11" i="16"/>
  <c r="AD11" i="16"/>
  <c r="P12" i="16"/>
  <c r="X12" i="16"/>
  <c r="AF12" i="16"/>
  <c r="P9" i="18"/>
  <c r="AF9" i="18"/>
  <c r="R10" i="18"/>
  <c r="T11" i="18"/>
  <c r="Y10" i="21"/>
  <c r="M12" i="21"/>
  <c r="U12" i="21"/>
  <c r="AC12" i="21"/>
  <c r="F66" i="22"/>
  <c r="N12" i="11"/>
  <c r="V12" i="11"/>
  <c r="AD12" i="11"/>
  <c r="U9" i="12"/>
  <c r="J18" i="12"/>
  <c r="O10" i="12"/>
  <c r="W10" i="12"/>
  <c r="AE10" i="12"/>
  <c r="X10" i="12"/>
  <c r="AF10" i="12"/>
  <c r="H22" i="12"/>
  <c r="AG11" i="12"/>
  <c r="K12" i="12"/>
  <c r="S12" i="12"/>
  <c r="AA12" i="12"/>
  <c r="Z9" i="13"/>
  <c r="K9" i="13"/>
  <c r="S9" i="13"/>
  <c r="T10" i="13"/>
  <c r="AB10" i="13"/>
  <c r="U10" i="13"/>
  <c r="V11" i="13"/>
  <c r="P12" i="13"/>
  <c r="X12" i="13"/>
  <c r="AF12" i="13"/>
  <c r="Y12" i="13"/>
  <c r="V9" i="15"/>
  <c r="AD9" i="15"/>
  <c r="P10" i="15"/>
  <c r="Q10" i="15"/>
  <c r="Y10" i="15"/>
  <c r="L12" i="15"/>
  <c r="T12" i="15"/>
  <c r="M12" i="15"/>
  <c r="U12" i="15"/>
  <c r="M9" i="16"/>
  <c r="U9" i="16"/>
  <c r="AC9" i="16"/>
  <c r="Q9" i="18"/>
  <c r="Y17" i="18"/>
  <c r="AG9" i="18"/>
  <c r="R9" i="18"/>
  <c r="Z9" i="18"/>
  <c r="K10" i="18"/>
  <c r="M11" i="18"/>
  <c r="U11" i="18"/>
  <c r="AC11" i="18"/>
  <c r="N11" i="18"/>
  <c r="V11" i="18"/>
  <c r="AD11" i="18"/>
  <c r="L9" i="19"/>
  <c r="T9" i="19"/>
  <c r="AB9" i="19"/>
  <c r="P11" i="19"/>
  <c r="AF11" i="19"/>
  <c r="F63" i="19"/>
  <c r="F65" i="19"/>
  <c r="F71" i="19"/>
  <c r="F85" i="19"/>
  <c r="P9" i="20"/>
  <c r="F50" i="21"/>
  <c r="F70" i="21"/>
  <c r="F86" i="21"/>
  <c r="F59" i="22"/>
  <c r="F63" i="22"/>
  <c r="F67" i="22"/>
  <c r="F69" i="22"/>
  <c r="F74" i="9"/>
  <c r="M12" i="12"/>
  <c r="U12" i="12"/>
  <c r="AC12" i="12"/>
  <c r="L9" i="13"/>
  <c r="T9" i="13"/>
  <c r="AB9" i="13"/>
  <c r="J19" i="13"/>
  <c r="N10" i="13"/>
  <c r="AD10" i="13"/>
  <c r="P11" i="13"/>
  <c r="X11" i="13"/>
  <c r="AF11" i="13"/>
  <c r="R12" i="13"/>
  <c r="T9" i="14"/>
  <c r="AB9" i="14"/>
  <c r="T11" i="14"/>
  <c r="AB11" i="14"/>
  <c r="AB12" i="14"/>
  <c r="P12" i="14"/>
  <c r="X12" i="14"/>
  <c r="AF9" i="15"/>
  <c r="Z10" i="15"/>
  <c r="N12" i="15"/>
  <c r="Q10" i="16"/>
  <c r="AG10" i="16"/>
  <c r="M12" i="16"/>
  <c r="U12" i="16"/>
  <c r="AC12" i="16"/>
  <c r="K9" i="18"/>
  <c r="S9" i="18"/>
  <c r="M10" i="18"/>
  <c r="U10" i="18"/>
  <c r="AC10" i="18"/>
  <c r="Q12" i="18"/>
  <c r="N9" i="19"/>
  <c r="V9" i="19"/>
  <c r="AD9" i="19"/>
  <c r="Y9" i="20"/>
  <c r="S10" i="20"/>
  <c r="AA10" i="20"/>
  <c r="R9" i="21"/>
  <c r="L10" i="21"/>
  <c r="T10" i="21"/>
  <c r="AB10" i="21"/>
  <c r="N11" i="21"/>
  <c r="V11" i="21"/>
  <c r="AD11" i="21"/>
  <c r="P12" i="21"/>
  <c r="AF12" i="21"/>
  <c r="W9" i="12"/>
  <c r="H8" i="9"/>
  <c r="U10" i="11"/>
  <c r="W11" i="11"/>
  <c r="AE11" i="11"/>
  <c r="Q12" i="11"/>
  <c r="P9" i="12"/>
  <c r="X9" i="12"/>
  <c r="AF9" i="12"/>
  <c r="Z10" i="12"/>
  <c r="K10" i="12"/>
  <c r="L11" i="12"/>
  <c r="T11" i="12"/>
  <c r="AB11" i="12"/>
  <c r="M11" i="12"/>
  <c r="AC11" i="12"/>
  <c r="Q9" i="15"/>
  <c r="Y9" i="15"/>
  <c r="K10" i="15"/>
  <c r="S10" i="15"/>
  <c r="M11" i="15"/>
  <c r="U11" i="15"/>
  <c r="O12" i="15"/>
  <c r="F38" i="15"/>
  <c r="F70" i="15"/>
  <c r="M9" i="18"/>
  <c r="U9" i="18"/>
  <c r="AC9" i="18"/>
  <c r="Y10" i="19"/>
  <c r="AG10" i="19"/>
  <c r="Z17" i="19"/>
  <c r="T11" i="19"/>
  <c r="M12" i="19"/>
  <c r="U12" i="19"/>
  <c r="J18" i="20"/>
  <c r="Z9" i="20"/>
  <c r="S9" i="20"/>
  <c r="AA9" i="20"/>
  <c r="N11" i="20"/>
  <c r="V11" i="20"/>
  <c r="AD11" i="20"/>
  <c r="W11" i="20"/>
  <c r="F31" i="21"/>
  <c r="J25" i="22"/>
  <c r="Y17" i="11"/>
  <c r="AA9" i="11"/>
  <c r="AF11" i="11"/>
  <c r="V9" i="14"/>
  <c r="AD9" i="14"/>
  <c r="R9" i="14"/>
  <c r="Z9" i="14"/>
  <c r="N11" i="14"/>
  <c r="V11" i="14"/>
  <c r="R11" i="14"/>
  <c r="Z11" i="14"/>
  <c r="V12" i="14"/>
  <c r="F85" i="14"/>
  <c r="H19" i="19"/>
  <c r="F35" i="20"/>
  <c r="F37" i="20"/>
  <c r="F47" i="20"/>
  <c r="F51" i="20"/>
  <c r="F53" i="20"/>
  <c r="AG17" i="11"/>
  <c r="G24" i="11"/>
  <c r="AB10" i="11"/>
  <c r="I30" i="11"/>
  <c r="O10" i="14"/>
  <c r="W10" i="14"/>
  <c r="O11" i="14"/>
  <c r="AE12" i="14"/>
  <c r="N10" i="15"/>
  <c r="G30" i="15"/>
  <c r="F71" i="15"/>
  <c r="O11" i="16"/>
  <c r="W11" i="16"/>
  <c r="AE11" i="16"/>
  <c r="M9" i="20"/>
  <c r="O10" i="20"/>
  <c r="AE10" i="20"/>
  <c r="H23" i="20"/>
  <c r="AG11" i="20"/>
  <c r="R12" i="20"/>
  <c r="Z12" i="20"/>
  <c r="G25" i="20"/>
  <c r="S12" i="20"/>
  <c r="F67" i="20"/>
  <c r="J30" i="11"/>
  <c r="Q9" i="13"/>
  <c r="Y9" i="13"/>
  <c r="AG9" i="13"/>
  <c r="S10" i="13"/>
  <c r="M11" i="13"/>
  <c r="N10" i="16"/>
  <c r="J20" i="16"/>
  <c r="R12" i="16"/>
  <c r="Z12" i="16"/>
  <c r="F31" i="16"/>
  <c r="F35" i="19"/>
  <c r="F39" i="19"/>
  <c r="F46" i="21"/>
  <c r="F78" i="21"/>
  <c r="F80" i="21"/>
  <c r="J23" i="22"/>
  <c r="F31" i="9"/>
  <c r="F35" i="9"/>
  <c r="F37" i="9"/>
  <c r="F39" i="9"/>
  <c r="F43" i="9"/>
  <c r="F45" i="9"/>
  <c r="F47" i="9"/>
  <c r="F51" i="9"/>
  <c r="F53" i="9"/>
  <c r="F55" i="9"/>
  <c r="F59" i="9"/>
  <c r="F61" i="9"/>
  <c r="F63" i="9"/>
  <c r="F67" i="9"/>
  <c r="F69" i="9"/>
  <c r="F71" i="9"/>
  <c r="F75" i="9"/>
  <c r="F77" i="9"/>
  <c r="F79" i="9"/>
  <c r="F83" i="9"/>
  <c r="F85" i="9"/>
  <c r="F18" i="9"/>
  <c r="F22" i="9"/>
  <c r="F24" i="9"/>
  <c r="G8" i="9"/>
  <c r="F11" i="9"/>
  <c r="R9" i="11"/>
  <c r="Z17" i="11"/>
  <c r="AA17" i="11"/>
  <c r="L10" i="11"/>
  <c r="T10" i="11"/>
  <c r="AC10" i="11"/>
  <c r="N11" i="11"/>
  <c r="V11" i="11"/>
  <c r="AD11" i="11"/>
  <c r="P12" i="11"/>
  <c r="X12" i="11"/>
  <c r="AF12" i="11"/>
  <c r="AG9" i="11"/>
  <c r="Y17" i="12"/>
  <c r="M17" i="12"/>
  <c r="F33" i="9"/>
  <c r="F41" i="9"/>
  <c r="F49" i="9"/>
  <c r="F57" i="9"/>
  <c r="F65" i="9"/>
  <c r="F73" i="9"/>
  <c r="F81" i="9"/>
  <c r="F20" i="9"/>
  <c r="I8" i="9"/>
  <c r="H30" i="11"/>
  <c r="L17" i="11"/>
  <c r="T17" i="11"/>
  <c r="AB17" i="11"/>
  <c r="N10" i="11"/>
  <c r="V10" i="11"/>
  <c r="AD10" i="11"/>
  <c r="P11" i="11"/>
  <c r="H23" i="11"/>
  <c r="H24" i="11"/>
  <c r="Z12" i="11"/>
  <c r="G25" i="11"/>
  <c r="AE10" i="13"/>
  <c r="J30" i="9"/>
  <c r="J8" i="9"/>
  <c r="J19" i="11"/>
  <c r="F32" i="12"/>
  <c r="F34" i="12"/>
  <c r="F36" i="12"/>
  <c r="F38" i="12"/>
  <c r="AC9" i="13"/>
  <c r="F34" i="9"/>
  <c r="F38" i="9"/>
  <c r="F42" i="9"/>
  <c r="F46" i="9"/>
  <c r="F50" i="9"/>
  <c r="F54" i="9"/>
  <c r="F58" i="9"/>
  <c r="F62" i="9"/>
  <c r="F68" i="9"/>
  <c r="F72" i="9"/>
  <c r="F78" i="9"/>
  <c r="F84" i="9"/>
  <c r="F19" i="9"/>
  <c r="F10" i="9"/>
  <c r="W17" i="11"/>
  <c r="J25" i="11"/>
  <c r="Q17" i="12"/>
  <c r="F32" i="9"/>
  <c r="F36" i="9"/>
  <c r="F40" i="9"/>
  <c r="F44" i="9"/>
  <c r="F48" i="9"/>
  <c r="F52" i="9"/>
  <c r="F56" i="9"/>
  <c r="F60" i="9"/>
  <c r="F64" i="9"/>
  <c r="F70" i="9"/>
  <c r="F76" i="9"/>
  <c r="F80" i="9"/>
  <c r="F86" i="9"/>
  <c r="F23" i="9"/>
  <c r="F25" i="9"/>
  <c r="AE17" i="11"/>
  <c r="F32" i="11"/>
  <c r="F36" i="11"/>
  <c r="F40" i="11"/>
  <c r="F44" i="11"/>
  <c r="F48" i="11"/>
  <c r="F52" i="11"/>
  <c r="F56" i="11"/>
  <c r="F60" i="11"/>
  <c r="F64" i="11"/>
  <c r="F68" i="11"/>
  <c r="F72" i="11"/>
  <c r="F76" i="11"/>
  <c r="F80" i="11"/>
  <c r="F84" i="11"/>
  <c r="O17" i="11"/>
  <c r="W9" i="11"/>
  <c r="AE9" i="11"/>
  <c r="Y10" i="11"/>
  <c r="AG10" i="11"/>
  <c r="K11" i="11"/>
  <c r="S11" i="11"/>
  <c r="AA11" i="11"/>
  <c r="AB11" i="11"/>
  <c r="M12" i="11"/>
  <c r="U12" i="11"/>
  <c r="AC12" i="11"/>
  <c r="Y9" i="11"/>
  <c r="H22" i="11"/>
  <c r="P17" i="11"/>
  <c r="X17" i="11"/>
  <c r="AF17" i="11"/>
  <c r="AB9" i="11"/>
  <c r="G30" i="14"/>
  <c r="F31" i="14"/>
  <c r="J30" i="12"/>
  <c r="F33" i="13"/>
  <c r="F41" i="13"/>
  <c r="L9" i="15"/>
  <c r="T9" i="15"/>
  <c r="AB9" i="15"/>
  <c r="V10" i="15"/>
  <c r="J20" i="15"/>
  <c r="Z17" i="15"/>
  <c r="L9" i="18"/>
  <c r="T9" i="18"/>
  <c r="AB9" i="18"/>
  <c r="N10" i="18"/>
  <c r="V10" i="18"/>
  <c r="O10" i="18"/>
  <c r="AE10" i="18"/>
  <c r="P11" i="18"/>
  <c r="X11" i="18"/>
  <c r="Q17" i="18"/>
  <c r="AG11" i="18"/>
  <c r="R12" i="18"/>
  <c r="Z12" i="18"/>
  <c r="K12" i="18"/>
  <c r="S12" i="18"/>
  <c r="Z10" i="19"/>
  <c r="V12" i="19"/>
  <c r="Q11" i="20"/>
  <c r="W10" i="20"/>
  <c r="J20" i="20"/>
  <c r="P10" i="20"/>
  <c r="F59" i="20"/>
  <c r="F63" i="20"/>
  <c r="F65" i="20"/>
  <c r="K9" i="21"/>
  <c r="S9" i="21"/>
  <c r="I18" i="21"/>
  <c r="O11" i="21"/>
  <c r="W11" i="21"/>
  <c r="J23" i="21"/>
  <c r="Q12" i="21"/>
  <c r="Y12" i="21"/>
  <c r="AG12" i="21"/>
  <c r="F58" i="21"/>
  <c r="N17" i="22"/>
  <c r="V9" i="22"/>
  <c r="AD9" i="22"/>
  <c r="O17" i="22"/>
  <c r="W17" i="22"/>
  <c r="AE17" i="22"/>
  <c r="F75" i="22"/>
  <c r="F79" i="22"/>
  <c r="F83" i="22"/>
  <c r="F40" i="12"/>
  <c r="F42" i="12"/>
  <c r="F44" i="12"/>
  <c r="F46" i="12"/>
  <c r="F48" i="12"/>
  <c r="F50" i="12"/>
  <c r="F52" i="12"/>
  <c r="F54" i="12"/>
  <c r="F56" i="12"/>
  <c r="F58" i="12"/>
  <c r="F60" i="12"/>
  <c r="F62" i="12"/>
  <c r="F64" i="12"/>
  <c r="F66" i="12"/>
  <c r="F68" i="12"/>
  <c r="F70" i="12"/>
  <c r="F72" i="12"/>
  <c r="F74" i="12"/>
  <c r="F76" i="12"/>
  <c r="F78" i="12"/>
  <c r="F80" i="12"/>
  <c r="F82" i="12"/>
  <c r="F84" i="12"/>
  <c r="V17" i="13"/>
  <c r="O9" i="13"/>
  <c r="K11" i="13"/>
  <c r="S11" i="13"/>
  <c r="L12" i="13"/>
  <c r="T12" i="13"/>
  <c r="G25" i="13"/>
  <c r="U12" i="13"/>
  <c r="AF10" i="14"/>
  <c r="AB10" i="14"/>
  <c r="P11" i="14"/>
  <c r="AF11" i="14"/>
  <c r="M9" i="15"/>
  <c r="U9" i="15"/>
  <c r="J18" i="18"/>
  <c r="X10" i="18"/>
  <c r="AF10" i="18"/>
  <c r="AG17" i="18"/>
  <c r="AB12" i="18"/>
  <c r="H18" i="19"/>
  <c r="J23" i="19"/>
  <c r="F36" i="19"/>
  <c r="F42" i="19"/>
  <c r="F50" i="19"/>
  <c r="F54" i="19"/>
  <c r="AE17" i="20"/>
  <c r="G23" i="20"/>
  <c r="F43" i="20"/>
  <c r="F69" i="20"/>
  <c r="F75" i="20"/>
  <c r="F79" i="20"/>
  <c r="F83" i="20"/>
  <c r="F85" i="20"/>
  <c r="O10" i="21"/>
  <c r="W10" i="21"/>
  <c r="AE10" i="21"/>
  <c r="G25" i="21"/>
  <c r="J24" i="13"/>
  <c r="F32" i="13"/>
  <c r="F76" i="13"/>
  <c r="F78" i="13"/>
  <c r="F80" i="13"/>
  <c r="R17" i="15"/>
  <c r="I25" i="19"/>
  <c r="J25" i="19"/>
  <c r="F39" i="20"/>
  <c r="M17" i="21"/>
  <c r="U17" i="21"/>
  <c r="J18" i="21"/>
  <c r="J19" i="21"/>
  <c r="I20" i="21"/>
  <c r="P10" i="21"/>
  <c r="X10" i="21"/>
  <c r="AF10" i="21"/>
  <c r="Q17" i="21"/>
  <c r="AG17" i="21"/>
  <c r="G24" i="21"/>
  <c r="F45" i="21"/>
  <c r="H22" i="22"/>
  <c r="F40" i="22"/>
  <c r="F52" i="22"/>
  <c r="X17" i="13"/>
  <c r="Z10" i="13"/>
  <c r="L11" i="13"/>
  <c r="N12" i="13"/>
  <c r="V12" i="13"/>
  <c r="AD12" i="13"/>
  <c r="I25" i="13"/>
  <c r="AE12" i="13"/>
  <c r="N9" i="14"/>
  <c r="Z10" i="14"/>
  <c r="AD11" i="14"/>
  <c r="G25" i="14"/>
  <c r="F36" i="14"/>
  <c r="F56" i="14"/>
  <c r="F58" i="14"/>
  <c r="AD10" i="16"/>
  <c r="Z10" i="16"/>
  <c r="N12" i="16"/>
  <c r="F48" i="16"/>
  <c r="F64" i="16"/>
  <c r="F86" i="16"/>
  <c r="W9" i="18"/>
  <c r="M12" i="18"/>
  <c r="U12" i="18"/>
  <c r="AC12" i="18"/>
  <c r="F38" i="18"/>
  <c r="F42" i="18"/>
  <c r="F44" i="18"/>
  <c r="F50" i="18"/>
  <c r="F54" i="18"/>
  <c r="F58" i="18"/>
  <c r="F60" i="18"/>
  <c r="N10" i="19"/>
  <c r="G30" i="19"/>
  <c r="F68" i="19"/>
  <c r="F80" i="19"/>
  <c r="F84" i="19"/>
  <c r="K12" i="20"/>
  <c r="Z10" i="20"/>
  <c r="L11" i="20"/>
  <c r="T11" i="20"/>
  <c r="AB11" i="20"/>
  <c r="F32" i="20"/>
  <c r="F38" i="20"/>
  <c r="F50" i="20"/>
  <c r="F54" i="20"/>
  <c r="O9" i="21"/>
  <c r="AE9" i="21"/>
  <c r="F55" i="21"/>
  <c r="F67" i="21"/>
  <c r="G20" i="22"/>
  <c r="F44" i="13"/>
  <c r="F48" i="13"/>
  <c r="S10" i="14"/>
  <c r="AA10" i="14"/>
  <c r="S12" i="14"/>
  <c r="F42" i="15"/>
  <c r="F50" i="15"/>
  <c r="Z17" i="16"/>
  <c r="I30" i="16"/>
  <c r="M17" i="19"/>
  <c r="U17" i="19"/>
  <c r="J20" i="19"/>
  <c r="I21" i="19"/>
  <c r="I22" i="19"/>
  <c r="G25" i="19"/>
  <c r="G20" i="20"/>
  <c r="L10" i="20"/>
  <c r="AB10" i="20"/>
  <c r="I24" i="20"/>
  <c r="F44" i="20"/>
  <c r="F71" i="20"/>
  <c r="F34" i="21"/>
  <c r="F42" i="21"/>
  <c r="F44" i="21"/>
  <c r="F53" i="21"/>
  <c r="F77" i="21"/>
  <c r="Z17" i="22"/>
  <c r="F34" i="22"/>
  <c r="F46" i="22"/>
  <c r="F58" i="22"/>
  <c r="F72" i="22"/>
  <c r="F84" i="22"/>
  <c r="F86" i="22"/>
  <c r="G18" i="16"/>
  <c r="I25" i="16"/>
  <c r="F55" i="19"/>
  <c r="F59" i="19"/>
  <c r="H18" i="20"/>
  <c r="I25" i="20"/>
  <c r="F64" i="20"/>
  <c r="F70" i="20"/>
  <c r="F82" i="20"/>
  <c r="F86" i="20"/>
  <c r="F38" i="21"/>
  <c r="F48" i="21"/>
  <c r="K17" i="22"/>
  <c r="I23" i="22"/>
  <c r="H24" i="22"/>
  <c r="R12" i="22"/>
  <c r="Z12" i="22"/>
  <c r="F49" i="13"/>
  <c r="U17" i="14"/>
  <c r="J20" i="14"/>
  <c r="AC11" i="14"/>
  <c r="F39" i="16"/>
  <c r="F43" i="16"/>
  <c r="F47" i="16"/>
  <c r="F51" i="16"/>
  <c r="F53" i="16"/>
  <c r="F63" i="16"/>
  <c r="F67" i="16"/>
  <c r="F69" i="16"/>
  <c r="O17" i="19"/>
  <c r="O9" i="19"/>
  <c r="P10" i="19"/>
  <c r="I20" i="19"/>
  <c r="AF10" i="19"/>
  <c r="Q10" i="19"/>
  <c r="F53" i="19"/>
  <c r="F67" i="19"/>
  <c r="H24" i="20"/>
  <c r="F31" i="20"/>
  <c r="F33" i="20"/>
  <c r="F76" i="20"/>
  <c r="F54" i="21"/>
  <c r="F62" i="21"/>
  <c r="F66" i="21"/>
  <c r="F74" i="21"/>
  <c r="F76" i="21"/>
  <c r="F85" i="21"/>
  <c r="L9" i="22"/>
  <c r="T9" i="22"/>
  <c r="AB9" i="22"/>
  <c r="V10" i="22"/>
  <c r="J20" i="22"/>
  <c r="O10" i="22"/>
  <c r="W10" i="22"/>
  <c r="AE10" i="22"/>
  <c r="F31" i="22"/>
  <c r="F35" i="22"/>
  <c r="F37" i="22"/>
  <c r="F39" i="22"/>
  <c r="F41" i="22"/>
  <c r="F43" i="22"/>
  <c r="F47" i="22"/>
  <c r="F55" i="22"/>
  <c r="F57" i="22"/>
  <c r="F78" i="22"/>
  <c r="R9" i="34"/>
  <c r="T22" i="34"/>
  <c r="R21" i="34"/>
  <c r="R15" i="34"/>
  <c r="T54" i="34"/>
  <c r="T15" i="34" s="1"/>
  <c r="T59" i="34"/>
  <c r="T16" i="34" s="1"/>
  <c r="R16" i="34"/>
  <c r="R14" i="34"/>
  <c r="T37" i="34"/>
  <c r="T14" i="34" s="1"/>
  <c r="T48" i="34"/>
  <c r="R12" i="34"/>
  <c r="R11" i="34"/>
  <c r="T31" i="34"/>
  <c r="T11" i="34" s="1"/>
  <c r="T42" i="34"/>
  <c r="R13" i="34"/>
  <c r="R10" i="34"/>
  <c r="T28" i="34"/>
  <c r="T10" i="34" s="1"/>
  <c r="F32" i="16"/>
  <c r="F54" i="16"/>
  <c r="F70" i="16"/>
  <c r="J23" i="16"/>
  <c r="F80" i="16"/>
  <c r="G25" i="16"/>
  <c r="F35" i="16"/>
  <c r="F37" i="16"/>
  <c r="N17" i="16"/>
  <c r="H22" i="16"/>
  <c r="F79" i="16"/>
  <c r="F83" i="16"/>
  <c r="F85" i="16"/>
  <c r="G22" i="16"/>
  <c r="L11" i="16"/>
  <c r="T11" i="16"/>
  <c r="F59" i="16"/>
  <c r="K9" i="16"/>
  <c r="H18" i="16"/>
  <c r="Y17" i="16"/>
  <c r="AG17" i="16"/>
  <c r="R17" i="16"/>
  <c r="Z9" i="16"/>
  <c r="H20" i="16"/>
  <c r="G21" i="16"/>
  <c r="AA10" i="16"/>
  <c r="F38" i="16"/>
  <c r="F55" i="16"/>
  <c r="F75" i="16"/>
  <c r="H21" i="16"/>
  <c r="G23" i="16"/>
  <c r="H23" i="16"/>
  <c r="I23" i="16"/>
  <c r="F33" i="16"/>
  <c r="F44" i="16"/>
  <c r="F50" i="16"/>
  <c r="F65" i="16"/>
  <c r="F76" i="16"/>
  <c r="F82" i="16"/>
  <c r="AG9" i="16"/>
  <c r="J18" i="16"/>
  <c r="V17" i="16"/>
  <c r="J24" i="16"/>
  <c r="J25" i="16"/>
  <c r="F41" i="16"/>
  <c r="F52" i="16"/>
  <c r="F58" i="16"/>
  <c r="F73" i="16"/>
  <c r="F84" i="16"/>
  <c r="K10" i="16"/>
  <c r="H19" i="16"/>
  <c r="M10" i="16"/>
  <c r="U10" i="16"/>
  <c r="J21" i="16"/>
  <c r="J22" i="16"/>
  <c r="J30" i="16"/>
  <c r="F45" i="16"/>
  <c r="F56" i="16"/>
  <c r="F62" i="16"/>
  <c r="F77" i="16"/>
  <c r="Y9" i="16"/>
  <c r="L17" i="16"/>
  <c r="T17" i="16"/>
  <c r="I18" i="16"/>
  <c r="J19" i="16"/>
  <c r="F34" i="16"/>
  <c r="F49" i="16"/>
  <c r="F60" i="16"/>
  <c r="F66" i="16"/>
  <c r="F81" i="16"/>
  <c r="M17" i="16"/>
  <c r="Q12" i="16"/>
  <c r="AG12" i="16"/>
  <c r="Q9" i="16"/>
  <c r="O17" i="16"/>
  <c r="W17" i="16"/>
  <c r="AE17" i="16"/>
  <c r="I20" i="16"/>
  <c r="I21" i="16"/>
  <c r="P17" i="16"/>
  <c r="X17" i="16"/>
  <c r="AF17" i="16"/>
  <c r="F36" i="16"/>
  <c r="F42" i="16"/>
  <c r="F57" i="16"/>
  <c r="F68" i="16"/>
  <c r="F74" i="16"/>
  <c r="R9" i="16"/>
  <c r="G20" i="16"/>
  <c r="G24" i="16"/>
  <c r="H24" i="16"/>
  <c r="I24" i="16"/>
  <c r="F40" i="16"/>
  <c r="F46" i="16"/>
  <c r="F61" i="16"/>
  <c r="F72" i="16"/>
  <c r="F78" i="16"/>
  <c r="Q12" i="22"/>
  <c r="I25" i="22"/>
  <c r="AG12" i="22"/>
  <c r="H30" i="22"/>
  <c r="F36" i="22"/>
  <c r="F53" i="22"/>
  <c r="F62" i="22"/>
  <c r="F68" i="22"/>
  <c r="F85" i="22"/>
  <c r="I20" i="22"/>
  <c r="I21" i="22"/>
  <c r="P17" i="22"/>
  <c r="X17" i="22"/>
  <c r="AF17" i="22"/>
  <c r="F38" i="22"/>
  <c r="F44" i="22"/>
  <c r="F61" i="22"/>
  <c r="F70" i="22"/>
  <c r="F76" i="22"/>
  <c r="R17" i="22"/>
  <c r="H19" i="22"/>
  <c r="G24" i="22"/>
  <c r="I24" i="22"/>
  <c r="F33" i="22"/>
  <c r="F42" i="22"/>
  <c r="F48" i="22"/>
  <c r="F65" i="22"/>
  <c r="F74" i="22"/>
  <c r="F80" i="22"/>
  <c r="H18" i="22"/>
  <c r="Y17" i="22"/>
  <c r="J18" i="22"/>
  <c r="H21" i="22"/>
  <c r="G23" i="22"/>
  <c r="H23" i="22"/>
  <c r="AA17" i="22"/>
  <c r="AD10" i="22"/>
  <c r="H20" i="22"/>
  <c r="G21" i="22"/>
  <c r="G22" i="22"/>
  <c r="G25" i="22"/>
  <c r="F50" i="22"/>
  <c r="F56" i="22"/>
  <c r="F73" i="22"/>
  <c r="F82" i="22"/>
  <c r="V17" i="22"/>
  <c r="J24" i="22"/>
  <c r="J30" i="22"/>
  <c r="F45" i="22"/>
  <c r="F54" i="22"/>
  <c r="F60" i="22"/>
  <c r="F77" i="22"/>
  <c r="M10" i="22"/>
  <c r="U10" i="22"/>
  <c r="J21" i="22"/>
  <c r="J22" i="22"/>
  <c r="F32" i="22"/>
  <c r="F49" i="22"/>
  <c r="F64" i="22"/>
  <c r="F81" i="22"/>
  <c r="K11" i="22"/>
  <c r="S11" i="22"/>
  <c r="AA11" i="22"/>
  <c r="V12" i="22"/>
  <c r="AD12" i="22"/>
  <c r="Q17" i="22"/>
  <c r="AG17" i="22"/>
  <c r="H25" i="22"/>
  <c r="O9" i="22"/>
  <c r="W9" i="22"/>
  <c r="AE9" i="22"/>
  <c r="R10" i="22"/>
  <c r="S17" i="22"/>
  <c r="I22" i="22"/>
  <c r="G19" i="22"/>
  <c r="Y12" i="22"/>
  <c r="L17" i="22"/>
  <c r="T17" i="22"/>
  <c r="AB17" i="22"/>
  <c r="I19" i="22"/>
  <c r="Q9" i="22"/>
  <c r="M17" i="22"/>
  <c r="U17" i="22"/>
  <c r="AC17" i="22"/>
  <c r="G18" i="22"/>
  <c r="J19" i="22"/>
  <c r="G30" i="22"/>
  <c r="AC10" i="22"/>
  <c r="P11" i="22"/>
  <c r="X11" i="22"/>
  <c r="AF11" i="22"/>
  <c r="AD17" i="22"/>
  <c r="I18" i="22"/>
  <c r="N17" i="21"/>
  <c r="U9" i="21"/>
  <c r="J22" i="21"/>
  <c r="I24" i="21"/>
  <c r="I25" i="21"/>
  <c r="J25" i="21"/>
  <c r="F40" i="21"/>
  <c r="F49" i="21"/>
  <c r="F51" i="21"/>
  <c r="F72" i="21"/>
  <c r="F81" i="21"/>
  <c r="F83" i="21"/>
  <c r="F57" i="21"/>
  <c r="F59" i="21"/>
  <c r="M9" i="21"/>
  <c r="O17" i="21"/>
  <c r="P17" i="21"/>
  <c r="X17" i="21"/>
  <c r="AF17" i="21"/>
  <c r="H23" i="21"/>
  <c r="I23" i="21"/>
  <c r="S12" i="21"/>
  <c r="AA12" i="21"/>
  <c r="H30" i="21"/>
  <c r="F35" i="21"/>
  <c r="F52" i="21"/>
  <c r="F61" i="21"/>
  <c r="F63" i="21"/>
  <c r="F69" i="21"/>
  <c r="F84" i="21"/>
  <c r="AD17" i="21"/>
  <c r="AG11" i="21"/>
  <c r="Y17" i="21"/>
  <c r="Q9" i="21"/>
  <c r="I19" i="21"/>
  <c r="AG9" i="21"/>
  <c r="H20" i="21"/>
  <c r="J20" i="21"/>
  <c r="G23" i="21"/>
  <c r="I30" i="21"/>
  <c r="F39" i="21"/>
  <c r="F56" i="21"/>
  <c r="F65" i="21"/>
  <c r="AC9" i="21"/>
  <c r="F37" i="21"/>
  <c r="F60" i="21"/>
  <c r="F71" i="21"/>
  <c r="H18" i="21"/>
  <c r="Z17" i="21"/>
  <c r="G19" i="21"/>
  <c r="G20" i="21"/>
  <c r="L17" i="21"/>
  <c r="T17" i="21"/>
  <c r="AB17" i="21"/>
  <c r="M11" i="21"/>
  <c r="U11" i="21"/>
  <c r="AC11" i="21"/>
  <c r="F32" i="21"/>
  <c r="F41" i="21"/>
  <c r="F43" i="21"/>
  <c r="F64" i="21"/>
  <c r="F73" i="21"/>
  <c r="F75" i="21"/>
  <c r="V17" i="21"/>
  <c r="F36" i="21"/>
  <c r="F47" i="21"/>
  <c r="F68" i="21"/>
  <c r="F79" i="21"/>
  <c r="G22" i="21"/>
  <c r="N9" i="21"/>
  <c r="V9" i="21"/>
  <c r="AD9" i="21"/>
  <c r="Q10" i="21"/>
  <c r="AG10" i="21"/>
  <c r="R17" i="21"/>
  <c r="H22" i="21"/>
  <c r="X12" i="21"/>
  <c r="K17" i="21"/>
  <c r="S17" i="21"/>
  <c r="AA17" i="21"/>
  <c r="H19" i="21"/>
  <c r="I22" i="21"/>
  <c r="Y9" i="21"/>
  <c r="AE11" i="21"/>
  <c r="AC17" i="21"/>
  <c r="G18" i="21"/>
  <c r="H21" i="21"/>
  <c r="G30" i="21"/>
  <c r="G21" i="21"/>
  <c r="H24" i="21"/>
  <c r="K12" i="21"/>
  <c r="I21" i="21"/>
  <c r="J24" i="21"/>
  <c r="F33" i="21"/>
  <c r="AA9" i="21"/>
  <c r="W17" i="21"/>
  <c r="AE17" i="21"/>
  <c r="J21" i="21"/>
  <c r="G19" i="20"/>
  <c r="I19" i="20"/>
  <c r="I21" i="20"/>
  <c r="P17" i="20"/>
  <c r="X17" i="20"/>
  <c r="AF17" i="20"/>
  <c r="Q12" i="20"/>
  <c r="AG12" i="20"/>
  <c r="R9" i="20"/>
  <c r="R17" i="20"/>
  <c r="O17" i="20"/>
  <c r="I18" i="20"/>
  <c r="I20" i="20"/>
  <c r="G30" i="20"/>
  <c r="F36" i="20"/>
  <c r="F42" i="20"/>
  <c r="F57" i="20"/>
  <c r="F68" i="20"/>
  <c r="F74" i="20"/>
  <c r="Z17" i="20"/>
  <c r="H22" i="20"/>
  <c r="S17" i="20"/>
  <c r="I23" i="20"/>
  <c r="G24" i="20"/>
  <c r="F40" i="20"/>
  <c r="F46" i="20"/>
  <c r="F61" i="20"/>
  <c r="F72" i="20"/>
  <c r="F78" i="20"/>
  <c r="H19" i="20"/>
  <c r="H20" i="20"/>
  <c r="G21" i="20"/>
  <c r="G22" i="20"/>
  <c r="F48" i="20"/>
  <c r="F80" i="20"/>
  <c r="K10" i="20"/>
  <c r="M10" i="20"/>
  <c r="U10" i="20"/>
  <c r="J21" i="20"/>
  <c r="J23" i="20"/>
  <c r="N17" i="20"/>
  <c r="V17" i="20"/>
  <c r="J24" i="20"/>
  <c r="I30" i="20"/>
  <c r="F41" i="20"/>
  <c r="F52" i="20"/>
  <c r="F58" i="20"/>
  <c r="F73" i="20"/>
  <c r="F84" i="20"/>
  <c r="J22" i="20"/>
  <c r="J25" i="20"/>
  <c r="J30" i="20"/>
  <c r="F45" i="20"/>
  <c r="F56" i="20"/>
  <c r="F62" i="20"/>
  <c r="F77" i="20"/>
  <c r="F34" i="20"/>
  <c r="F49" i="20"/>
  <c r="F60" i="20"/>
  <c r="F66" i="20"/>
  <c r="F81" i="20"/>
  <c r="K11" i="20"/>
  <c r="S11" i="20"/>
  <c r="AA11" i="20"/>
  <c r="N12" i="20"/>
  <c r="V12" i="20"/>
  <c r="AD12" i="20"/>
  <c r="Q17" i="20"/>
  <c r="Y17" i="20"/>
  <c r="AG17" i="20"/>
  <c r="H25" i="20"/>
  <c r="O9" i="20"/>
  <c r="W9" i="20"/>
  <c r="AE9" i="20"/>
  <c r="R10" i="20"/>
  <c r="K17" i="20"/>
  <c r="AA17" i="20"/>
  <c r="I22" i="20"/>
  <c r="Y12" i="20"/>
  <c r="L17" i="20"/>
  <c r="T17" i="20"/>
  <c r="AB17" i="20"/>
  <c r="M17" i="20"/>
  <c r="U17" i="20"/>
  <c r="AC17" i="20"/>
  <c r="G18" i="20"/>
  <c r="J19" i="20"/>
  <c r="H21" i="20"/>
  <c r="AC10" i="20"/>
  <c r="P11" i="20"/>
  <c r="X11" i="20"/>
  <c r="AF11" i="20"/>
  <c r="AD17" i="20"/>
  <c r="H30" i="20"/>
  <c r="W17" i="20"/>
  <c r="R9" i="19"/>
  <c r="H23" i="19"/>
  <c r="R12" i="19"/>
  <c r="F31" i="19"/>
  <c r="F48" i="19"/>
  <c r="F52" i="19"/>
  <c r="F69" i="19"/>
  <c r="R17" i="19"/>
  <c r="P17" i="19"/>
  <c r="H22" i="19"/>
  <c r="K17" i="19"/>
  <c r="S17" i="19"/>
  <c r="F33" i="19"/>
  <c r="F75" i="19"/>
  <c r="F79" i="19"/>
  <c r="F83" i="19"/>
  <c r="H20" i="19"/>
  <c r="G21" i="19"/>
  <c r="G22" i="19"/>
  <c r="F37" i="19"/>
  <c r="F70" i="19"/>
  <c r="G20" i="19"/>
  <c r="G24" i="19"/>
  <c r="F74" i="19"/>
  <c r="F86" i="19"/>
  <c r="G18" i="19"/>
  <c r="M10" i="19"/>
  <c r="U10" i="19"/>
  <c r="V10" i="19"/>
  <c r="H24" i="19"/>
  <c r="Q12" i="19"/>
  <c r="W17" i="19"/>
  <c r="AE17" i="19"/>
  <c r="F32" i="19"/>
  <c r="F38" i="19"/>
  <c r="F49" i="19"/>
  <c r="F64" i="19"/>
  <c r="F81" i="19"/>
  <c r="X17" i="19"/>
  <c r="Z12" i="19"/>
  <c r="F40" i="19"/>
  <c r="F46" i="19"/>
  <c r="F57" i="19"/>
  <c r="F72" i="19"/>
  <c r="F78" i="19"/>
  <c r="F44" i="19"/>
  <c r="F61" i="19"/>
  <c r="F76" i="19"/>
  <c r="AF17" i="19"/>
  <c r="I30" i="19"/>
  <c r="I23" i="19"/>
  <c r="F82" i="19"/>
  <c r="F58" i="19"/>
  <c r="X10" i="19"/>
  <c r="J18" i="19"/>
  <c r="J21" i="19"/>
  <c r="J24" i="19"/>
  <c r="J30" i="19"/>
  <c r="F41" i="19"/>
  <c r="F56" i="19"/>
  <c r="F62" i="19"/>
  <c r="F73" i="19"/>
  <c r="AD10" i="19"/>
  <c r="J22" i="19"/>
  <c r="I24" i="19"/>
  <c r="F34" i="19"/>
  <c r="F45" i="19"/>
  <c r="F60" i="19"/>
  <c r="F66" i="19"/>
  <c r="F77" i="19"/>
  <c r="R10" i="19"/>
  <c r="M9" i="19"/>
  <c r="U9" i="19"/>
  <c r="AC9" i="19"/>
  <c r="K11" i="19"/>
  <c r="S11" i="19"/>
  <c r="AA11" i="19"/>
  <c r="N12" i="19"/>
  <c r="AD12" i="19"/>
  <c r="Q17" i="19"/>
  <c r="Y17" i="19"/>
  <c r="AG17" i="19"/>
  <c r="H25" i="19"/>
  <c r="W9" i="19"/>
  <c r="P9" i="19"/>
  <c r="X9" i="19"/>
  <c r="AF9" i="19"/>
  <c r="K10" i="19"/>
  <c r="Y12" i="19"/>
  <c r="AG12" i="19"/>
  <c r="L17" i="19"/>
  <c r="T17" i="19"/>
  <c r="AB17" i="19"/>
  <c r="I19" i="19"/>
  <c r="AC17" i="19"/>
  <c r="J19" i="19"/>
  <c r="H21" i="19"/>
  <c r="G19" i="19"/>
  <c r="AC10" i="19"/>
  <c r="X11" i="19"/>
  <c r="N17" i="19"/>
  <c r="V17" i="19"/>
  <c r="AD17" i="19"/>
  <c r="G23" i="19"/>
  <c r="H30" i="19"/>
  <c r="AE9" i="19"/>
  <c r="AA17" i="19"/>
  <c r="I18" i="19"/>
  <c r="Q11" i="18"/>
  <c r="F75" i="18"/>
  <c r="F77" i="18"/>
  <c r="F79" i="18"/>
  <c r="F81" i="18"/>
  <c r="F83" i="18"/>
  <c r="F85" i="18"/>
  <c r="H30" i="18"/>
  <c r="H22" i="18"/>
  <c r="P17" i="18"/>
  <c r="H25" i="18"/>
  <c r="F46" i="18"/>
  <c r="F62" i="18"/>
  <c r="F78" i="18"/>
  <c r="F82" i="18"/>
  <c r="F86" i="18"/>
  <c r="I19" i="18"/>
  <c r="I20" i="18"/>
  <c r="J23" i="18"/>
  <c r="F66" i="18"/>
  <c r="F70" i="18"/>
  <c r="F74" i="18"/>
  <c r="I24" i="18"/>
  <c r="F34" i="18"/>
  <c r="J21" i="18"/>
  <c r="F43" i="18"/>
  <c r="F45" i="18"/>
  <c r="F59" i="18"/>
  <c r="M17" i="18"/>
  <c r="F32" i="18"/>
  <c r="F47" i="18"/>
  <c r="F49" i="18"/>
  <c r="F64" i="18"/>
  <c r="N17" i="18"/>
  <c r="V17" i="18"/>
  <c r="AD17" i="18"/>
  <c r="O17" i="18"/>
  <c r="W17" i="18"/>
  <c r="AE17" i="18"/>
  <c r="F36" i="18"/>
  <c r="F51" i="18"/>
  <c r="F53" i="18"/>
  <c r="F68" i="18"/>
  <c r="G25" i="18"/>
  <c r="X17" i="18"/>
  <c r="AF17" i="18"/>
  <c r="F40" i="18"/>
  <c r="F55" i="18"/>
  <c r="F57" i="18"/>
  <c r="F72" i="18"/>
  <c r="H20" i="18"/>
  <c r="J20" i="18"/>
  <c r="J30" i="18"/>
  <c r="F61" i="18"/>
  <c r="F76" i="18"/>
  <c r="F80" i="18"/>
  <c r="F84" i="18"/>
  <c r="R11" i="18"/>
  <c r="I23" i="18"/>
  <c r="F31" i="18"/>
  <c r="F48" i="18"/>
  <c r="F65" i="18"/>
  <c r="G20" i="18"/>
  <c r="G21" i="18"/>
  <c r="G23" i="18"/>
  <c r="G24" i="18"/>
  <c r="F33" i="18"/>
  <c r="F35" i="18"/>
  <c r="F52" i="18"/>
  <c r="F63" i="18"/>
  <c r="F67" i="18"/>
  <c r="F69" i="18"/>
  <c r="I18" i="18"/>
  <c r="G19" i="18"/>
  <c r="L10" i="18"/>
  <c r="H21" i="18"/>
  <c r="I21" i="18"/>
  <c r="I30" i="18"/>
  <c r="F37" i="18"/>
  <c r="F39" i="18"/>
  <c r="F41" i="18"/>
  <c r="F56" i="18"/>
  <c r="F71" i="18"/>
  <c r="F73" i="18"/>
  <c r="G22" i="18"/>
  <c r="N9" i="18"/>
  <c r="V9" i="18"/>
  <c r="AD9" i="18"/>
  <c r="Q10" i="18"/>
  <c r="Y10" i="18"/>
  <c r="AG10" i="18"/>
  <c r="R17" i="18"/>
  <c r="Z17" i="18"/>
  <c r="I25" i="18"/>
  <c r="P12" i="18"/>
  <c r="X12" i="18"/>
  <c r="AF12" i="18"/>
  <c r="K17" i="18"/>
  <c r="S17" i="18"/>
  <c r="AA17" i="18"/>
  <c r="H19" i="18"/>
  <c r="I22" i="18"/>
  <c r="J25" i="18"/>
  <c r="L17" i="18"/>
  <c r="T17" i="18"/>
  <c r="AB17" i="18"/>
  <c r="J22" i="18"/>
  <c r="H24" i="18"/>
  <c r="T10" i="18"/>
  <c r="AB10" i="18"/>
  <c r="O11" i="18"/>
  <c r="W11" i="18"/>
  <c r="AE11" i="18"/>
  <c r="U17" i="18"/>
  <c r="AC17" i="18"/>
  <c r="G18" i="18"/>
  <c r="J19" i="18"/>
  <c r="G30" i="18"/>
  <c r="H18" i="18"/>
  <c r="J24" i="18"/>
  <c r="AA9" i="18"/>
  <c r="H23" i="18"/>
  <c r="Z11" i="18"/>
  <c r="L9" i="16"/>
  <c r="T9" i="16"/>
  <c r="AB9" i="16"/>
  <c r="K11" i="16"/>
  <c r="S11" i="16"/>
  <c r="AA11" i="16"/>
  <c r="V12" i="16"/>
  <c r="AD12" i="16"/>
  <c r="Q17" i="16"/>
  <c r="H25" i="16"/>
  <c r="O9" i="16"/>
  <c r="W9" i="16"/>
  <c r="AE9" i="16"/>
  <c r="R10" i="16"/>
  <c r="K17" i="16"/>
  <c r="S17" i="16"/>
  <c r="AA17" i="16"/>
  <c r="I22" i="16"/>
  <c r="Y12" i="16"/>
  <c r="AB17" i="16"/>
  <c r="I19" i="16"/>
  <c r="G19" i="16"/>
  <c r="U17" i="16"/>
  <c r="AC17" i="16"/>
  <c r="G30" i="16"/>
  <c r="AC10" i="16"/>
  <c r="P11" i="16"/>
  <c r="X11" i="16"/>
  <c r="AF11" i="16"/>
  <c r="AD17" i="16"/>
  <c r="H30" i="16"/>
  <c r="N9" i="15"/>
  <c r="H22" i="15"/>
  <c r="H30" i="15"/>
  <c r="F73" i="15"/>
  <c r="F75" i="15"/>
  <c r="F77" i="15"/>
  <c r="F79" i="15"/>
  <c r="F83" i="15"/>
  <c r="F39" i="15"/>
  <c r="F55" i="15"/>
  <c r="F46" i="15"/>
  <c r="F52" i="15"/>
  <c r="P12" i="15"/>
  <c r="F78" i="15"/>
  <c r="F84" i="15"/>
  <c r="F54" i="15"/>
  <c r="O10" i="15"/>
  <c r="F43" i="15"/>
  <c r="F45" i="15"/>
  <c r="F47" i="15"/>
  <c r="F51" i="15"/>
  <c r="Z12" i="15"/>
  <c r="J18" i="15"/>
  <c r="F31" i="15"/>
  <c r="F35" i="15"/>
  <c r="F62" i="15"/>
  <c r="F68" i="15"/>
  <c r="F58" i="15"/>
  <c r="F66" i="15"/>
  <c r="I30" i="15"/>
  <c r="F86" i="15"/>
  <c r="F74" i="15"/>
  <c r="F82" i="15"/>
  <c r="J23" i="15"/>
  <c r="I24" i="15"/>
  <c r="X12" i="15"/>
  <c r="AF12" i="15"/>
  <c r="F36" i="15"/>
  <c r="F59" i="15"/>
  <c r="F61" i="15"/>
  <c r="F63" i="15"/>
  <c r="F67" i="15"/>
  <c r="F34" i="15"/>
  <c r="G20" i="15"/>
  <c r="V17" i="15"/>
  <c r="J24" i="15"/>
  <c r="F37" i="15"/>
  <c r="F44" i="15"/>
  <c r="F53" i="15"/>
  <c r="F60" i="15"/>
  <c r="F69" i="15"/>
  <c r="F76" i="15"/>
  <c r="F85" i="15"/>
  <c r="N17" i="15"/>
  <c r="O17" i="15"/>
  <c r="W17" i="15"/>
  <c r="AE17" i="15"/>
  <c r="I21" i="15"/>
  <c r="P17" i="15"/>
  <c r="X17" i="15"/>
  <c r="AF17" i="15"/>
  <c r="Q12" i="15"/>
  <c r="Y12" i="15"/>
  <c r="AG12" i="15"/>
  <c r="F32" i="15"/>
  <c r="F41" i="15"/>
  <c r="F48" i="15"/>
  <c r="F57" i="15"/>
  <c r="F64" i="15"/>
  <c r="F80" i="15"/>
  <c r="AC9" i="15"/>
  <c r="W12" i="15"/>
  <c r="I20" i="15"/>
  <c r="H23" i="15"/>
  <c r="H19" i="15"/>
  <c r="G25" i="15"/>
  <c r="AD10" i="15"/>
  <c r="H18" i="15"/>
  <c r="H20" i="15"/>
  <c r="G21" i="15"/>
  <c r="G22" i="15"/>
  <c r="G23" i="15"/>
  <c r="S17" i="15"/>
  <c r="I23" i="15"/>
  <c r="G24" i="15"/>
  <c r="J30" i="15"/>
  <c r="F33" i="15"/>
  <c r="F40" i="15"/>
  <c r="F49" i="15"/>
  <c r="F56" i="15"/>
  <c r="F65" i="15"/>
  <c r="F72" i="15"/>
  <c r="F81" i="15"/>
  <c r="M10" i="15"/>
  <c r="U10" i="15"/>
  <c r="J21" i="15"/>
  <c r="K11" i="15"/>
  <c r="S11" i="15"/>
  <c r="AA11" i="15"/>
  <c r="V12" i="15"/>
  <c r="AD12" i="15"/>
  <c r="Q17" i="15"/>
  <c r="Y17" i="15"/>
  <c r="AG17" i="15"/>
  <c r="H25" i="15"/>
  <c r="O9" i="15"/>
  <c r="W9" i="15"/>
  <c r="AE9" i="15"/>
  <c r="AE8" i="15" s="1"/>
  <c r="R10" i="15"/>
  <c r="K17" i="15"/>
  <c r="AA17" i="15"/>
  <c r="I22" i="15"/>
  <c r="J25" i="15"/>
  <c r="I25" i="15"/>
  <c r="L17" i="15"/>
  <c r="T17" i="15"/>
  <c r="AB17" i="15"/>
  <c r="I19" i="15"/>
  <c r="J22" i="15"/>
  <c r="H24" i="15"/>
  <c r="G19" i="15"/>
  <c r="M17" i="15"/>
  <c r="U17" i="15"/>
  <c r="AC17" i="15"/>
  <c r="G18" i="15"/>
  <c r="J19" i="15"/>
  <c r="H21" i="15"/>
  <c r="AC10" i="15"/>
  <c r="P11" i="15"/>
  <c r="X11" i="15"/>
  <c r="AF11" i="15"/>
  <c r="AD17" i="15"/>
  <c r="I18" i="15"/>
  <c r="H23" i="14"/>
  <c r="F75" i="14"/>
  <c r="F83" i="14"/>
  <c r="P10" i="14"/>
  <c r="F35" i="14"/>
  <c r="F59" i="14"/>
  <c r="F67" i="14"/>
  <c r="F79" i="14"/>
  <c r="O17" i="14"/>
  <c r="F63" i="14"/>
  <c r="H19" i="14"/>
  <c r="R17" i="14"/>
  <c r="H24" i="14"/>
  <c r="F71" i="14"/>
  <c r="F73" i="14"/>
  <c r="J23" i="14"/>
  <c r="J25" i="14"/>
  <c r="I30" i="14"/>
  <c r="F38" i="14"/>
  <c r="I21" i="14"/>
  <c r="I22" i="14"/>
  <c r="Z17" i="14"/>
  <c r="I20" i="14"/>
  <c r="F43" i="14"/>
  <c r="F51" i="14"/>
  <c r="F55" i="14"/>
  <c r="F68" i="14"/>
  <c r="F70" i="14"/>
  <c r="F39" i="14"/>
  <c r="F41" i="14"/>
  <c r="F53" i="14"/>
  <c r="I18" i="14"/>
  <c r="F47" i="14"/>
  <c r="X17" i="14"/>
  <c r="G19" i="14"/>
  <c r="W17" i="14"/>
  <c r="AE17" i="14"/>
  <c r="F32" i="14"/>
  <c r="F34" i="14"/>
  <c r="F49" i="14"/>
  <c r="F64" i="14"/>
  <c r="F66" i="14"/>
  <c r="F81" i="14"/>
  <c r="Q12" i="14"/>
  <c r="R12" i="14"/>
  <c r="Z12" i="14"/>
  <c r="F40" i="14"/>
  <c r="F42" i="14"/>
  <c r="F57" i="14"/>
  <c r="F72" i="14"/>
  <c r="F74" i="14"/>
  <c r="Y12" i="14"/>
  <c r="H20" i="14"/>
  <c r="H22" i="14"/>
  <c r="F44" i="14"/>
  <c r="F46" i="14"/>
  <c r="F61" i="14"/>
  <c r="F76" i="14"/>
  <c r="F78" i="14"/>
  <c r="G20" i="14"/>
  <c r="G21" i="14"/>
  <c r="G22" i="14"/>
  <c r="K17" i="14"/>
  <c r="S17" i="14"/>
  <c r="I23" i="14"/>
  <c r="F33" i="14"/>
  <c r="F48" i="14"/>
  <c r="F50" i="14"/>
  <c r="F65" i="14"/>
  <c r="F80" i="14"/>
  <c r="F82" i="14"/>
  <c r="F86" i="14"/>
  <c r="F37" i="14"/>
  <c r="F52" i="14"/>
  <c r="F54" i="14"/>
  <c r="F69" i="14"/>
  <c r="F84" i="14"/>
  <c r="P17" i="14"/>
  <c r="X10" i="14"/>
  <c r="J18" i="14"/>
  <c r="U10" i="14"/>
  <c r="J21" i="14"/>
  <c r="G24" i="14"/>
  <c r="J24" i="14"/>
  <c r="J30" i="14"/>
  <c r="AF17" i="14"/>
  <c r="N10" i="14"/>
  <c r="V10" i="14"/>
  <c r="AD10" i="14"/>
  <c r="J22" i="14"/>
  <c r="I24" i="14"/>
  <c r="F45" i="14"/>
  <c r="F60" i="14"/>
  <c r="F62" i="14"/>
  <c r="F77" i="14"/>
  <c r="L8" i="14"/>
  <c r="I25" i="14"/>
  <c r="M8" i="14"/>
  <c r="U9" i="14"/>
  <c r="AC9" i="14"/>
  <c r="S11" i="14"/>
  <c r="AA11" i="14"/>
  <c r="N12" i="14"/>
  <c r="AD12" i="14"/>
  <c r="Q17" i="14"/>
  <c r="Y17" i="14"/>
  <c r="AG17" i="14"/>
  <c r="H25" i="14"/>
  <c r="AE9" i="14"/>
  <c r="P9" i="14"/>
  <c r="X9" i="14"/>
  <c r="AF9" i="14"/>
  <c r="AG12" i="14"/>
  <c r="L17" i="14"/>
  <c r="T17" i="14"/>
  <c r="AB17" i="14"/>
  <c r="I19" i="14"/>
  <c r="O9" i="14"/>
  <c r="AC17" i="14"/>
  <c r="G18" i="14"/>
  <c r="J19" i="14"/>
  <c r="H21" i="14"/>
  <c r="R10" i="14"/>
  <c r="AC10" i="14"/>
  <c r="X11" i="14"/>
  <c r="N17" i="14"/>
  <c r="V17" i="14"/>
  <c r="AD17" i="14"/>
  <c r="H18" i="14"/>
  <c r="G23" i="14"/>
  <c r="H30" i="14"/>
  <c r="W9" i="14"/>
  <c r="AA17" i="14"/>
  <c r="F65" i="13"/>
  <c r="F73" i="13"/>
  <c r="P17" i="13"/>
  <c r="F81" i="13"/>
  <c r="F85" i="13"/>
  <c r="V9" i="13"/>
  <c r="Q17" i="13"/>
  <c r="L10" i="13"/>
  <c r="N17" i="13"/>
  <c r="F68" i="13"/>
  <c r="F72" i="13"/>
  <c r="F74" i="13"/>
  <c r="H18" i="13"/>
  <c r="M10" i="13"/>
  <c r="G30" i="13"/>
  <c r="F60" i="13"/>
  <c r="F64" i="13"/>
  <c r="H30" i="13"/>
  <c r="F53" i="13"/>
  <c r="AC12" i="13"/>
  <c r="J30" i="13"/>
  <c r="F45" i="13"/>
  <c r="AA10" i="13"/>
  <c r="J22" i="13"/>
  <c r="AD11" i="13"/>
  <c r="F36" i="13"/>
  <c r="F40" i="13"/>
  <c r="F42" i="13"/>
  <c r="F61" i="13"/>
  <c r="F84" i="13"/>
  <c r="AA9" i="13"/>
  <c r="AC10" i="13"/>
  <c r="I23" i="13"/>
  <c r="F46" i="13"/>
  <c r="F57" i="13"/>
  <c r="F69" i="13"/>
  <c r="F52" i="13"/>
  <c r="F56" i="13"/>
  <c r="F58" i="13"/>
  <c r="F77" i="13"/>
  <c r="AD17" i="13"/>
  <c r="I30" i="13"/>
  <c r="F37" i="13"/>
  <c r="F62" i="13"/>
  <c r="N11" i="13"/>
  <c r="M17" i="13"/>
  <c r="H20" i="13"/>
  <c r="F35" i="13"/>
  <c r="F51" i="13"/>
  <c r="F67" i="13"/>
  <c r="F83" i="13"/>
  <c r="F47" i="13"/>
  <c r="F79" i="13"/>
  <c r="I22" i="13"/>
  <c r="H23" i="13"/>
  <c r="H24" i="13"/>
  <c r="H25" i="13"/>
  <c r="I20" i="13"/>
  <c r="H21" i="13"/>
  <c r="I21" i="13"/>
  <c r="J21" i="13"/>
  <c r="I24" i="13"/>
  <c r="F34" i="13"/>
  <c r="F39" i="13"/>
  <c r="F50" i="13"/>
  <c r="F55" i="13"/>
  <c r="F66" i="13"/>
  <c r="F71" i="13"/>
  <c r="F82" i="13"/>
  <c r="AB17" i="13"/>
  <c r="F63" i="13"/>
  <c r="R9" i="13"/>
  <c r="AC11" i="13"/>
  <c r="J18" i="13"/>
  <c r="G24" i="13"/>
  <c r="T17" i="13"/>
  <c r="G21" i="13"/>
  <c r="G22" i="13"/>
  <c r="F38" i="13"/>
  <c r="F43" i="13"/>
  <c r="F54" i="13"/>
  <c r="F59" i="13"/>
  <c r="F70" i="13"/>
  <c r="F75" i="13"/>
  <c r="F86" i="13"/>
  <c r="G18" i="13"/>
  <c r="G20" i="13"/>
  <c r="O17" i="13"/>
  <c r="AE17" i="13"/>
  <c r="Y17" i="13"/>
  <c r="AG17" i="13"/>
  <c r="J23" i="13"/>
  <c r="Q10" i="13"/>
  <c r="Y10" i="13"/>
  <c r="AG10" i="13"/>
  <c r="T11" i="13"/>
  <c r="AB11" i="13"/>
  <c r="R17" i="13"/>
  <c r="Z17" i="13"/>
  <c r="G19" i="13"/>
  <c r="J20" i="13"/>
  <c r="H22" i="13"/>
  <c r="F31" i="13"/>
  <c r="K17" i="13"/>
  <c r="S17" i="13"/>
  <c r="AA17" i="13"/>
  <c r="H19" i="13"/>
  <c r="J25" i="13"/>
  <c r="P9" i="13"/>
  <c r="X9" i="13"/>
  <c r="AF9" i="13"/>
  <c r="L17" i="13"/>
  <c r="I19" i="13"/>
  <c r="O11" i="13"/>
  <c r="W11" i="13"/>
  <c r="AE11" i="13"/>
  <c r="Z12" i="13"/>
  <c r="U17" i="13"/>
  <c r="AC17" i="13"/>
  <c r="G23" i="13"/>
  <c r="V10" i="13"/>
  <c r="W17" i="13"/>
  <c r="I18" i="13"/>
  <c r="M12" i="13"/>
  <c r="AF17" i="13"/>
  <c r="Y11" i="12"/>
  <c r="AB12" i="12"/>
  <c r="I30" i="12"/>
  <c r="J23" i="12"/>
  <c r="F86" i="12"/>
  <c r="AG17" i="12"/>
  <c r="I24" i="12"/>
  <c r="AC9" i="12"/>
  <c r="I19" i="12"/>
  <c r="J21" i="12"/>
  <c r="I18" i="12"/>
  <c r="Q9" i="12"/>
  <c r="Q11" i="12"/>
  <c r="L12" i="12"/>
  <c r="T12" i="12"/>
  <c r="O17" i="12"/>
  <c r="L10" i="12"/>
  <c r="H21" i="12"/>
  <c r="M9" i="12"/>
  <c r="H25" i="12"/>
  <c r="AB10" i="12"/>
  <c r="H18" i="12"/>
  <c r="G20" i="12"/>
  <c r="G21" i="12"/>
  <c r="G23" i="12"/>
  <c r="G24" i="12"/>
  <c r="F33" i="12"/>
  <c r="F37" i="12"/>
  <c r="F41" i="12"/>
  <c r="F45" i="12"/>
  <c r="F49" i="12"/>
  <c r="F53" i="12"/>
  <c r="F57" i="12"/>
  <c r="F61" i="12"/>
  <c r="F65" i="12"/>
  <c r="F69" i="12"/>
  <c r="F73" i="12"/>
  <c r="F77" i="12"/>
  <c r="F81" i="12"/>
  <c r="F85" i="12"/>
  <c r="L17" i="12"/>
  <c r="F35" i="12"/>
  <c r="F39" i="12"/>
  <c r="F43" i="12"/>
  <c r="F47" i="12"/>
  <c r="F51" i="12"/>
  <c r="F55" i="12"/>
  <c r="F59" i="12"/>
  <c r="F63" i="12"/>
  <c r="F67" i="12"/>
  <c r="F71" i="12"/>
  <c r="F75" i="12"/>
  <c r="F79" i="12"/>
  <c r="F83" i="12"/>
  <c r="G19" i="12"/>
  <c r="H30" i="12"/>
  <c r="N17" i="12"/>
  <c r="V17" i="12"/>
  <c r="AD17" i="12"/>
  <c r="G22" i="12"/>
  <c r="W17" i="12"/>
  <c r="AE17" i="12"/>
  <c r="I21" i="12"/>
  <c r="G25" i="12"/>
  <c r="X17" i="12"/>
  <c r="AF17" i="12"/>
  <c r="H20" i="12"/>
  <c r="I20" i="12"/>
  <c r="J20" i="12"/>
  <c r="H23" i="12"/>
  <c r="H24" i="12"/>
  <c r="L9" i="12"/>
  <c r="R11" i="12"/>
  <c r="I23" i="12"/>
  <c r="N9" i="12"/>
  <c r="V9" i="12"/>
  <c r="AD9" i="12"/>
  <c r="Q10" i="12"/>
  <c r="Y10" i="12"/>
  <c r="AG10" i="12"/>
  <c r="R17" i="12"/>
  <c r="Z17" i="12"/>
  <c r="I25" i="12"/>
  <c r="F31" i="12"/>
  <c r="P12" i="12"/>
  <c r="X12" i="12"/>
  <c r="AF12" i="12"/>
  <c r="K17" i="12"/>
  <c r="S17" i="12"/>
  <c r="AA17" i="12"/>
  <c r="H19" i="12"/>
  <c r="I22" i="12"/>
  <c r="J25" i="12"/>
  <c r="T17" i="12"/>
  <c r="AB17" i="12"/>
  <c r="J22" i="12"/>
  <c r="T10" i="12"/>
  <c r="O11" i="12"/>
  <c r="W11" i="12"/>
  <c r="AE11" i="12"/>
  <c r="U17" i="12"/>
  <c r="AC17" i="12"/>
  <c r="G18" i="12"/>
  <c r="J19" i="12"/>
  <c r="G30" i="12"/>
  <c r="J24" i="12"/>
  <c r="AA9" i="12"/>
  <c r="Z11" i="12"/>
  <c r="P17" i="12"/>
  <c r="I20" i="11"/>
  <c r="AC17" i="11"/>
  <c r="Z9" i="11"/>
  <c r="AD17" i="11"/>
  <c r="J18" i="11"/>
  <c r="I18" i="11"/>
  <c r="I19" i="11"/>
  <c r="J20" i="11"/>
  <c r="J21" i="11"/>
  <c r="I22" i="11"/>
  <c r="J22" i="11"/>
  <c r="I23" i="11"/>
  <c r="J23" i="11"/>
  <c r="I24" i="11"/>
  <c r="J24" i="11"/>
  <c r="I25" i="11"/>
  <c r="Y12" i="11"/>
  <c r="AG12" i="11"/>
  <c r="G30" i="11"/>
  <c r="G18" i="11"/>
  <c r="H18" i="11"/>
  <c r="G19" i="11"/>
  <c r="H19" i="11"/>
  <c r="G20" i="11"/>
  <c r="G21" i="11"/>
  <c r="H21" i="11"/>
  <c r="G22" i="11"/>
  <c r="G23" i="11"/>
  <c r="H25" i="11"/>
  <c r="R17" i="11"/>
  <c r="O9" i="11"/>
  <c r="R12" i="11"/>
  <c r="Q17" i="11"/>
  <c r="V17" i="11"/>
  <c r="N17" i="11"/>
  <c r="K9" i="11"/>
  <c r="S9" i="11"/>
  <c r="U17" i="11"/>
  <c r="M17" i="11"/>
  <c r="L9" i="11"/>
  <c r="T9" i="11"/>
  <c r="M10" i="11"/>
  <c r="H20" i="11"/>
  <c r="O11" i="11"/>
  <c r="S17" i="11"/>
  <c r="K17" i="11"/>
  <c r="F33" i="11"/>
  <c r="F35" i="11"/>
  <c r="F37" i="11"/>
  <c r="F39" i="11"/>
  <c r="F41" i="11"/>
  <c r="F43" i="11"/>
  <c r="F45" i="11"/>
  <c r="F47" i="11"/>
  <c r="F49" i="11"/>
  <c r="F51" i="11"/>
  <c r="F53" i="11"/>
  <c r="F55" i="11"/>
  <c r="F57" i="11"/>
  <c r="F59" i="11"/>
  <c r="F61" i="11"/>
  <c r="F63" i="11"/>
  <c r="F65" i="11"/>
  <c r="F67" i="11"/>
  <c r="F69" i="11"/>
  <c r="F71" i="11"/>
  <c r="F73" i="11"/>
  <c r="F75" i="11"/>
  <c r="F77" i="11"/>
  <c r="F79" i="11"/>
  <c r="F81" i="11"/>
  <c r="F83" i="11"/>
  <c r="F85" i="11"/>
  <c r="F34" i="11"/>
  <c r="F38" i="11"/>
  <c r="F42" i="11"/>
  <c r="F46" i="11"/>
  <c r="F50" i="11"/>
  <c r="F54" i="11"/>
  <c r="F58" i="11"/>
  <c r="F62" i="11"/>
  <c r="F66" i="11"/>
  <c r="F70" i="11"/>
  <c r="F74" i="11"/>
  <c r="F78" i="11"/>
  <c r="F82" i="11"/>
  <c r="F86" i="11"/>
  <c r="F31" i="11"/>
  <c r="H30" i="9"/>
  <c r="I30" i="9"/>
  <c r="F9" i="9"/>
  <c r="H17" i="9"/>
  <c r="I17" i="9"/>
  <c r="J17" i="9"/>
  <c r="G30" i="9"/>
  <c r="G17" i="9"/>
  <c r="G42" i="7"/>
  <c r="H42" i="7"/>
  <c r="I42" i="7"/>
  <c r="J42" i="7"/>
  <c r="K42" i="7"/>
  <c r="L42" i="7"/>
  <c r="M42" i="7"/>
  <c r="N42" i="7"/>
  <c r="O42" i="7"/>
  <c r="P42" i="7"/>
  <c r="Q42" i="7"/>
  <c r="R42" i="7"/>
  <c r="R35" i="7"/>
  <c r="Q35" i="7"/>
  <c r="P35" i="7"/>
  <c r="O35" i="7"/>
  <c r="N35" i="7"/>
  <c r="M35" i="7"/>
  <c r="L35" i="7"/>
  <c r="K35" i="7"/>
  <c r="J35" i="7"/>
  <c r="I35" i="7"/>
  <c r="H35" i="7"/>
  <c r="G35" i="7"/>
  <c r="R28" i="7"/>
  <c r="Q28" i="7"/>
  <c r="P28" i="7"/>
  <c r="O28" i="7"/>
  <c r="N28" i="7"/>
  <c r="M28" i="7"/>
  <c r="L28" i="7"/>
  <c r="K28" i="7"/>
  <c r="J28" i="7"/>
  <c r="I28" i="7"/>
  <c r="H28" i="7"/>
  <c r="G28" i="7"/>
  <c r="R21" i="7"/>
  <c r="Q21" i="7"/>
  <c r="P21" i="7"/>
  <c r="O21" i="7"/>
  <c r="N21" i="7"/>
  <c r="M21" i="7"/>
  <c r="L21" i="7"/>
  <c r="K21" i="7"/>
  <c r="J21" i="7"/>
  <c r="I21" i="7"/>
  <c r="H21" i="7"/>
  <c r="G21" i="7"/>
  <c r="R14" i="7"/>
  <c r="Q14" i="7"/>
  <c r="P14" i="7"/>
  <c r="O14" i="7"/>
  <c r="N14" i="7"/>
  <c r="M14" i="7"/>
  <c r="L14" i="7"/>
  <c r="K14" i="7"/>
  <c r="J14" i="7"/>
  <c r="I14" i="7"/>
  <c r="H14" i="7"/>
  <c r="G14" i="7"/>
  <c r="G12" i="14" l="1"/>
  <c r="P8" i="18"/>
  <c r="E82" i="9"/>
  <c r="X8" i="20"/>
  <c r="E51" i="9"/>
  <c r="U8" i="22"/>
  <c r="M8" i="22"/>
  <c r="AA8" i="18"/>
  <c r="R8" i="15"/>
  <c r="AA8" i="14"/>
  <c r="AD8" i="11"/>
  <c r="O8" i="12"/>
  <c r="Q8" i="19"/>
  <c r="T8" i="22"/>
  <c r="X8" i="11"/>
  <c r="Q8" i="15"/>
  <c r="E62" i="9"/>
  <c r="T13" i="34"/>
  <c r="T12" i="34"/>
  <c r="Z8" i="15"/>
  <c r="AD8" i="18"/>
  <c r="S8" i="11"/>
  <c r="N8" i="22"/>
  <c r="J11" i="19"/>
  <c r="W8" i="12"/>
  <c r="N8" i="12"/>
  <c r="R8" i="13"/>
  <c r="G10" i="12"/>
  <c r="Z8" i="11"/>
  <c r="H12" i="13"/>
  <c r="H12" i="18"/>
  <c r="AA8" i="12"/>
  <c r="N8" i="11"/>
  <c r="H11" i="21"/>
  <c r="K8" i="12"/>
  <c r="AF8" i="12"/>
  <c r="N8" i="21"/>
  <c r="I10" i="22"/>
  <c r="O8" i="18"/>
  <c r="Z8" i="16"/>
  <c r="V8" i="12"/>
  <c r="AB8" i="13"/>
  <c r="AB8" i="16"/>
  <c r="AE8" i="19"/>
  <c r="I10" i="11"/>
  <c r="T8" i="21"/>
  <c r="L8" i="21"/>
  <c r="T8" i="14"/>
  <c r="Y8" i="15"/>
  <c r="AE8" i="18"/>
  <c r="G12" i="19"/>
  <c r="AA8" i="22"/>
  <c r="G11" i="11"/>
  <c r="M8" i="15"/>
  <c r="AE8" i="16"/>
  <c r="S8" i="16"/>
  <c r="V8" i="21"/>
  <c r="S8" i="22"/>
  <c r="AB8" i="22"/>
  <c r="G12" i="22"/>
  <c r="AG8" i="13"/>
  <c r="AG8" i="19"/>
  <c r="AE8" i="21"/>
  <c r="H12" i="21"/>
  <c r="AG8" i="22"/>
  <c r="J12" i="21"/>
  <c r="S8" i="13"/>
  <c r="Z8" i="20"/>
  <c r="I12" i="11"/>
  <c r="P8" i="13"/>
  <c r="AG8" i="20"/>
  <c r="P8" i="22"/>
  <c r="V8" i="19"/>
  <c r="F25" i="19"/>
  <c r="E85" i="19" s="1"/>
  <c r="T8" i="16"/>
  <c r="K8" i="13"/>
  <c r="AB8" i="19"/>
  <c r="Z8" i="13"/>
  <c r="AB8" i="20"/>
  <c r="AG8" i="18"/>
  <c r="H9" i="20"/>
  <c r="L8" i="19"/>
  <c r="I12" i="20"/>
  <c r="AA8" i="21"/>
  <c r="L8" i="16"/>
  <c r="G10" i="22"/>
  <c r="O8" i="21"/>
  <c r="J11" i="11"/>
  <c r="P8" i="21"/>
  <c r="U8" i="18"/>
  <c r="T8" i="19"/>
  <c r="K8" i="18"/>
  <c r="AD8" i="16"/>
  <c r="Z8" i="22"/>
  <c r="G10" i="21"/>
  <c r="T8" i="20"/>
  <c r="Z8" i="21"/>
  <c r="AB8" i="21"/>
  <c r="J10" i="21"/>
  <c r="L8" i="20"/>
  <c r="N8" i="16"/>
  <c r="I10" i="15"/>
  <c r="J12" i="18"/>
  <c r="X8" i="16"/>
  <c r="W8" i="11"/>
  <c r="E74" i="9"/>
  <c r="Z8" i="14"/>
  <c r="I10" i="19"/>
  <c r="G12" i="21"/>
  <c r="Y8" i="21"/>
  <c r="Q8" i="16"/>
  <c r="I10" i="16"/>
  <c r="I10" i="20"/>
  <c r="L8" i="15"/>
  <c r="AF8" i="11"/>
  <c r="AA8" i="11"/>
  <c r="Q8" i="11"/>
  <c r="I11" i="11"/>
  <c r="H9" i="15"/>
  <c r="J9" i="11"/>
  <c r="AG8" i="12"/>
  <c r="AE8" i="14"/>
  <c r="J11" i="15"/>
  <c r="H12" i="12"/>
  <c r="N8" i="18"/>
  <c r="P8" i="12"/>
  <c r="G11" i="21"/>
  <c r="AA8" i="15"/>
  <c r="J11" i="16"/>
  <c r="AA8" i="13"/>
  <c r="G12" i="15"/>
  <c r="AA8" i="16"/>
  <c r="U8" i="20"/>
  <c r="R8" i="22"/>
  <c r="O8" i="19"/>
  <c r="G10" i="18"/>
  <c r="L8" i="11"/>
  <c r="H12" i="11"/>
  <c r="AD8" i="12"/>
  <c r="AD8" i="21"/>
  <c r="O8" i="13"/>
  <c r="AG8" i="14"/>
  <c r="Z8" i="19"/>
  <c r="AA8" i="20"/>
  <c r="AF8" i="14"/>
  <c r="AG8" i="15"/>
  <c r="P8" i="19"/>
  <c r="AA8" i="19"/>
  <c r="S8" i="20"/>
  <c r="I12" i="22"/>
  <c r="T8" i="11"/>
  <c r="U8" i="15"/>
  <c r="W8" i="21"/>
  <c r="I11" i="21"/>
  <c r="AB8" i="15"/>
  <c r="R8" i="21"/>
  <c r="O8" i="14"/>
  <c r="H12" i="15"/>
  <c r="G11" i="19"/>
  <c r="X8" i="22"/>
  <c r="E66" i="9"/>
  <c r="V8" i="11"/>
  <c r="G11" i="14"/>
  <c r="AB8" i="11"/>
  <c r="F30" i="9"/>
  <c r="E30" i="9" s="1"/>
  <c r="J10" i="11"/>
  <c r="AF8" i="21"/>
  <c r="AC8" i="18"/>
  <c r="AB8" i="14"/>
  <c r="M8" i="12"/>
  <c r="M8" i="18"/>
  <c r="U8" i="13"/>
  <c r="G12" i="16"/>
  <c r="T8" i="15"/>
  <c r="F17" i="9"/>
  <c r="G12" i="11"/>
  <c r="U8" i="11"/>
  <c r="S8" i="18"/>
  <c r="P8" i="11"/>
  <c r="H11" i="11"/>
  <c r="S8" i="12"/>
  <c r="U8" i="12"/>
  <c r="R8" i="14"/>
  <c r="V8" i="22"/>
  <c r="E48" i="9"/>
  <c r="O8" i="22"/>
  <c r="E36" i="9"/>
  <c r="E42" i="9"/>
  <c r="E33" i="9"/>
  <c r="Z8" i="12"/>
  <c r="S8" i="14"/>
  <c r="AC8" i="11"/>
  <c r="N8" i="15"/>
  <c r="F25" i="16"/>
  <c r="E81" i="16" s="1"/>
  <c r="I12" i="18"/>
  <c r="I10" i="21"/>
  <c r="L8" i="22"/>
  <c r="U8" i="16"/>
  <c r="AE8" i="11"/>
  <c r="E53" i="9"/>
  <c r="K8" i="11"/>
  <c r="J12" i="11"/>
  <c r="J12" i="13"/>
  <c r="H11" i="15"/>
  <c r="AB8" i="18"/>
  <c r="V8" i="18"/>
  <c r="E56" i="9"/>
  <c r="E73" i="9"/>
  <c r="Y8" i="14"/>
  <c r="H12" i="16"/>
  <c r="AF8" i="19"/>
  <c r="P8" i="20"/>
  <c r="AE8" i="20"/>
  <c r="V8" i="20"/>
  <c r="M8" i="20"/>
  <c r="H11" i="22"/>
  <c r="E52" i="9"/>
  <c r="G10" i="11"/>
  <c r="X8" i="12"/>
  <c r="R8" i="16"/>
  <c r="G12" i="20"/>
  <c r="H10" i="21"/>
  <c r="J11" i="22"/>
  <c r="E54" i="9"/>
  <c r="E57" i="9"/>
  <c r="AD8" i="13"/>
  <c r="V8" i="14"/>
  <c r="P8" i="16"/>
  <c r="Y8" i="16"/>
  <c r="Z8" i="18"/>
  <c r="H9" i="19"/>
  <c r="O8" i="20"/>
  <c r="E50" i="9"/>
  <c r="H10" i="11"/>
  <c r="I10" i="14"/>
  <c r="H11" i="19"/>
  <c r="E76" i="9"/>
  <c r="AC8" i="12"/>
  <c r="O8" i="16"/>
  <c r="Y8" i="18"/>
  <c r="E78" i="9"/>
  <c r="E77" i="9"/>
  <c r="E55" i="9"/>
  <c r="T8" i="12"/>
  <c r="I12" i="21"/>
  <c r="E32" i="9"/>
  <c r="E38" i="9"/>
  <c r="M8" i="19"/>
  <c r="E34" i="9"/>
  <c r="H12" i="19"/>
  <c r="E44" i="9"/>
  <c r="I11" i="18"/>
  <c r="AC8" i="21"/>
  <c r="I17" i="21"/>
  <c r="F25" i="11"/>
  <c r="E84" i="11" s="1"/>
  <c r="F21" i="22"/>
  <c r="E57" i="22" s="1"/>
  <c r="H11" i="12"/>
  <c r="F22" i="13"/>
  <c r="E61" i="13" s="1"/>
  <c r="G10" i="20"/>
  <c r="F23" i="21"/>
  <c r="E69" i="21" s="1"/>
  <c r="F25" i="21"/>
  <c r="E84" i="21" s="1"/>
  <c r="F24" i="12"/>
  <c r="E79" i="12" s="1"/>
  <c r="F25" i="20"/>
  <c r="E83" i="20" s="1"/>
  <c r="H12" i="22"/>
  <c r="F18" i="16"/>
  <c r="E36" i="16" s="1"/>
  <c r="F24" i="22"/>
  <c r="E75" i="22" s="1"/>
  <c r="F20" i="22"/>
  <c r="E43" i="22" s="1"/>
  <c r="J11" i="14"/>
  <c r="E86" i="9"/>
  <c r="E85" i="9"/>
  <c r="E63" i="9"/>
  <c r="E43" i="9"/>
  <c r="V8" i="13"/>
  <c r="F20" i="19"/>
  <c r="E42" i="19" s="1"/>
  <c r="F24" i="20"/>
  <c r="E73" i="20" s="1"/>
  <c r="E75" i="9"/>
  <c r="O8" i="11"/>
  <c r="F18" i="11"/>
  <c r="E32" i="11" s="1"/>
  <c r="M8" i="13"/>
  <c r="E40" i="9"/>
  <c r="E46" i="9"/>
  <c r="E41" i="9"/>
  <c r="J10" i="19"/>
  <c r="F23" i="20"/>
  <c r="E69" i="20" s="1"/>
  <c r="E64" i="9"/>
  <c r="F22" i="14"/>
  <c r="E59" i="14" s="1"/>
  <c r="F30" i="14"/>
  <c r="E30" i="14" s="1"/>
  <c r="E60" i="9"/>
  <c r="U8" i="14"/>
  <c r="AD8" i="22"/>
  <c r="F22" i="11"/>
  <c r="E60" i="11" s="1"/>
  <c r="AG8" i="11"/>
  <c r="I17" i="18"/>
  <c r="J17" i="19"/>
  <c r="F22" i="22"/>
  <c r="E60" i="22" s="1"/>
  <c r="E58" i="9"/>
  <c r="E65" i="9"/>
  <c r="F20" i="20"/>
  <c r="E42" i="20" s="1"/>
  <c r="F24" i="11"/>
  <c r="E76" i="11" s="1"/>
  <c r="L8" i="12"/>
  <c r="U8" i="21"/>
  <c r="J10" i="22"/>
  <c r="AG8" i="16"/>
  <c r="E80" i="9"/>
  <c r="E49" i="9"/>
  <c r="E83" i="9"/>
  <c r="E61" i="9"/>
  <c r="E39" i="9"/>
  <c r="I11" i="19"/>
  <c r="G17" i="13"/>
  <c r="F24" i="14"/>
  <c r="E75" i="14" s="1"/>
  <c r="O8" i="15"/>
  <c r="F30" i="20"/>
  <c r="E30" i="20" s="1"/>
  <c r="Q8" i="20"/>
  <c r="J11" i="21"/>
  <c r="AE8" i="22"/>
  <c r="F21" i="16"/>
  <c r="E55" i="16" s="1"/>
  <c r="F23" i="16"/>
  <c r="E67" i="16" s="1"/>
  <c r="E84" i="9"/>
  <c r="E79" i="9"/>
  <c r="E59" i="9"/>
  <c r="E37" i="9"/>
  <c r="F23" i="11"/>
  <c r="E71" i="11" s="1"/>
  <c r="G17" i="11"/>
  <c r="G10" i="13"/>
  <c r="H9" i="14"/>
  <c r="P8" i="15"/>
  <c r="J12" i="16"/>
  <c r="F21" i="19"/>
  <c r="E57" i="19" s="1"/>
  <c r="I12" i="19"/>
  <c r="H17" i="21"/>
  <c r="H10" i="22"/>
  <c r="F30" i="16"/>
  <c r="E30" i="16" s="1"/>
  <c r="E70" i="9"/>
  <c r="E35" i="9"/>
  <c r="I9" i="11"/>
  <c r="G11" i="13"/>
  <c r="F30" i="18"/>
  <c r="E30" i="18" s="1"/>
  <c r="F23" i="19"/>
  <c r="E67" i="19" s="1"/>
  <c r="R8" i="20"/>
  <c r="J12" i="20"/>
  <c r="M8" i="21"/>
  <c r="E72" i="9"/>
  <c r="E31" i="9"/>
  <c r="J17" i="11"/>
  <c r="F25" i="14"/>
  <c r="E84" i="14" s="1"/>
  <c r="T8" i="18"/>
  <c r="H11" i="18"/>
  <c r="F30" i="22"/>
  <c r="E30" i="22" s="1"/>
  <c r="E68" i="9"/>
  <c r="E81" i="9"/>
  <c r="E71" i="9"/>
  <c r="I17" i="11"/>
  <c r="F20" i="11"/>
  <c r="E48" i="11" s="1"/>
  <c r="F23" i="13"/>
  <c r="E68" i="13" s="1"/>
  <c r="F24" i="13"/>
  <c r="E77" i="13" s="1"/>
  <c r="F23" i="14"/>
  <c r="E69" i="14" s="1"/>
  <c r="F30" i="15"/>
  <c r="E30" i="15" s="1"/>
  <c r="J12" i="19"/>
  <c r="F24" i="21"/>
  <c r="E73" i="21" s="1"/>
  <c r="E69" i="9"/>
  <c r="E47" i="9"/>
  <c r="I12" i="15"/>
  <c r="J17" i="20"/>
  <c r="F19" i="21"/>
  <c r="E39" i="21" s="1"/>
  <c r="E67" i="9"/>
  <c r="E45" i="9"/>
  <c r="T21" i="34"/>
  <c r="T9" i="34"/>
  <c r="R8" i="34"/>
  <c r="K24" i="27"/>
  <c r="G10" i="16"/>
  <c r="J17" i="16"/>
  <c r="H11" i="16"/>
  <c r="F24" i="16"/>
  <c r="E76" i="16" s="1"/>
  <c r="H17" i="16"/>
  <c r="F20" i="16"/>
  <c r="E48" i="16" s="1"/>
  <c r="F22" i="16"/>
  <c r="E64" i="16" s="1"/>
  <c r="F19" i="16"/>
  <c r="E40" i="16" s="1"/>
  <c r="M8" i="16"/>
  <c r="I17" i="16"/>
  <c r="F19" i="22"/>
  <c r="E41" i="22" s="1"/>
  <c r="H17" i="22"/>
  <c r="J12" i="22"/>
  <c r="F23" i="22"/>
  <c r="E70" i="22" s="1"/>
  <c r="J17" i="22"/>
  <c r="AC8" i="22"/>
  <c r="G11" i="22"/>
  <c r="K8" i="22"/>
  <c r="Q8" i="22"/>
  <c r="H9" i="22"/>
  <c r="J9" i="22"/>
  <c r="G9" i="22"/>
  <c r="F25" i="22"/>
  <c r="I17" i="22"/>
  <c r="I9" i="22"/>
  <c r="W8" i="22"/>
  <c r="G17" i="22"/>
  <c r="F18" i="22"/>
  <c r="AF8" i="22"/>
  <c r="Y8" i="22"/>
  <c r="I11" i="22"/>
  <c r="J17" i="21"/>
  <c r="S8" i="21"/>
  <c r="F20" i="21"/>
  <c r="F18" i="21"/>
  <c r="E33" i="21" s="1"/>
  <c r="G17" i="21"/>
  <c r="J9" i="21"/>
  <c r="AG8" i="21"/>
  <c r="F22" i="21"/>
  <c r="H9" i="21"/>
  <c r="Q8" i="21"/>
  <c r="I9" i="21"/>
  <c r="F21" i="21"/>
  <c r="G9" i="21"/>
  <c r="F30" i="21"/>
  <c r="E30" i="21" s="1"/>
  <c r="K8" i="21"/>
  <c r="X8" i="21"/>
  <c r="I17" i="20"/>
  <c r="G11" i="20"/>
  <c r="F21" i="20"/>
  <c r="E50" i="20" s="1"/>
  <c r="J9" i="20"/>
  <c r="J10" i="20"/>
  <c r="AC8" i="20"/>
  <c r="Y8" i="20"/>
  <c r="K8" i="20"/>
  <c r="H10" i="20"/>
  <c r="I9" i="20"/>
  <c r="W8" i="20"/>
  <c r="G17" i="20"/>
  <c r="F18" i="20"/>
  <c r="F22" i="20"/>
  <c r="H17" i="20"/>
  <c r="AD8" i="20"/>
  <c r="J11" i="20"/>
  <c r="AF8" i="20"/>
  <c r="H11" i="20"/>
  <c r="H12" i="20"/>
  <c r="F19" i="20"/>
  <c r="N8" i="20"/>
  <c r="G9" i="20"/>
  <c r="I11" i="20"/>
  <c r="F24" i="19"/>
  <c r="E74" i="19" s="1"/>
  <c r="F22" i="19"/>
  <c r="E58" i="19" s="1"/>
  <c r="F30" i="19"/>
  <c r="E30" i="19" s="1"/>
  <c r="U8" i="19"/>
  <c r="R8" i="19"/>
  <c r="I17" i="19"/>
  <c r="F19" i="19"/>
  <c r="E40" i="19" s="1"/>
  <c r="X8" i="19"/>
  <c r="H17" i="19"/>
  <c r="H10" i="19"/>
  <c r="Y8" i="19"/>
  <c r="I9" i="19"/>
  <c r="W8" i="19"/>
  <c r="AD8" i="19"/>
  <c r="N8" i="19"/>
  <c r="S8" i="19"/>
  <c r="G10" i="19"/>
  <c r="K8" i="19"/>
  <c r="J9" i="19"/>
  <c r="AC8" i="19"/>
  <c r="G9" i="19"/>
  <c r="F18" i="19"/>
  <c r="G17" i="19"/>
  <c r="F21" i="18"/>
  <c r="E53" i="18" s="1"/>
  <c r="F23" i="18"/>
  <c r="E69" i="18" s="1"/>
  <c r="F20" i="18"/>
  <c r="E43" i="18" s="1"/>
  <c r="L8" i="18"/>
  <c r="W8" i="18"/>
  <c r="F25" i="18"/>
  <c r="E80" i="18" s="1"/>
  <c r="F24" i="18"/>
  <c r="E75" i="18" s="1"/>
  <c r="F22" i="18"/>
  <c r="E64" i="18" s="1"/>
  <c r="F19" i="18"/>
  <c r="E41" i="18" s="1"/>
  <c r="R8" i="18"/>
  <c r="H9" i="18"/>
  <c r="AF8" i="18"/>
  <c r="G12" i="18"/>
  <c r="G17" i="18"/>
  <c r="F18" i="18"/>
  <c r="G9" i="18"/>
  <c r="G11" i="18"/>
  <c r="J9" i="18"/>
  <c r="H17" i="18"/>
  <c r="J11" i="18"/>
  <c r="Q8" i="18"/>
  <c r="H10" i="18"/>
  <c r="I9" i="18"/>
  <c r="J17" i="18"/>
  <c r="J10" i="18"/>
  <c r="I10" i="18"/>
  <c r="X8" i="18"/>
  <c r="V8" i="16"/>
  <c r="I11" i="16"/>
  <c r="G9" i="16"/>
  <c r="J9" i="16"/>
  <c r="J10" i="16"/>
  <c r="AC8" i="16"/>
  <c r="I9" i="16"/>
  <c r="W8" i="16"/>
  <c r="H9" i="16"/>
  <c r="G11" i="16"/>
  <c r="I12" i="16"/>
  <c r="H10" i="16"/>
  <c r="AF8" i="16"/>
  <c r="K8" i="16"/>
  <c r="G17" i="16"/>
  <c r="F19" i="15"/>
  <c r="E41" i="15" s="1"/>
  <c r="F24" i="15"/>
  <c r="E79" i="15" s="1"/>
  <c r="G10" i="15"/>
  <c r="V8" i="15"/>
  <c r="F25" i="15"/>
  <c r="E86" i="15" s="1"/>
  <c r="F22" i="15"/>
  <c r="E62" i="15" s="1"/>
  <c r="J12" i="15"/>
  <c r="F20" i="15"/>
  <c r="H17" i="15"/>
  <c r="F23" i="15"/>
  <c r="E72" i="15" s="1"/>
  <c r="H10" i="15"/>
  <c r="I11" i="15"/>
  <c r="AD8" i="15"/>
  <c r="I9" i="15"/>
  <c r="W8" i="15"/>
  <c r="J9" i="15"/>
  <c r="G11" i="15"/>
  <c r="F21" i="15"/>
  <c r="J17" i="15"/>
  <c r="S8" i="15"/>
  <c r="J10" i="15"/>
  <c r="AC8" i="15"/>
  <c r="I17" i="15"/>
  <c r="G17" i="15"/>
  <c r="F18" i="15"/>
  <c r="K8" i="15"/>
  <c r="X8" i="15"/>
  <c r="G9" i="15"/>
  <c r="AF8" i="15"/>
  <c r="F20" i="14"/>
  <c r="E47" i="14" s="1"/>
  <c r="H12" i="14"/>
  <c r="P8" i="14"/>
  <c r="AD8" i="14"/>
  <c r="J10" i="14"/>
  <c r="F21" i="14"/>
  <c r="E52" i="14" s="1"/>
  <c r="I12" i="14"/>
  <c r="J17" i="14"/>
  <c r="Q8" i="14"/>
  <c r="F19" i="14"/>
  <c r="E41" i="14" s="1"/>
  <c r="I9" i="14"/>
  <c r="W8" i="14"/>
  <c r="I17" i="14"/>
  <c r="G9" i="14"/>
  <c r="H17" i="14"/>
  <c r="H10" i="14"/>
  <c r="G10" i="14"/>
  <c r="K8" i="14"/>
  <c r="J9" i="14"/>
  <c r="AC8" i="14"/>
  <c r="J12" i="14"/>
  <c r="G17" i="14"/>
  <c r="F18" i="14"/>
  <c r="I11" i="14"/>
  <c r="X8" i="14"/>
  <c r="N8" i="14"/>
  <c r="H11" i="14"/>
  <c r="L8" i="13"/>
  <c r="N8" i="13"/>
  <c r="H9" i="13"/>
  <c r="F21" i="13"/>
  <c r="E52" i="13" s="1"/>
  <c r="AC8" i="13"/>
  <c r="F25" i="13"/>
  <c r="E86" i="13" s="1"/>
  <c r="J17" i="13"/>
  <c r="H17" i="13"/>
  <c r="F30" i="13"/>
  <c r="E30" i="13" s="1"/>
  <c r="J11" i="13"/>
  <c r="AE8" i="13"/>
  <c r="I17" i="13"/>
  <c r="Q8" i="13"/>
  <c r="H10" i="13"/>
  <c r="F20" i="13"/>
  <c r="F19" i="13"/>
  <c r="F18" i="13"/>
  <c r="G9" i="13"/>
  <c r="J10" i="13"/>
  <c r="G12" i="13"/>
  <c r="AF8" i="13"/>
  <c r="J9" i="13"/>
  <c r="Y8" i="13"/>
  <c r="I10" i="13"/>
  <c r="I12" i="13"/>
  <c r="I9" i="13"/>
  <c r="X8" i="13"/>
  <c r="H11" i="13"/>
  <c r="T8" i="13"/>
  <c r="I11" i="13"/>
  <c r="W8" i="13"/>
  <c r="F21" i="12"/>
  <c r="E52" i="12" s="1"/>
  <c r="AB8" i="12"/>
  <c r="Y8" i="12"/>
  <c r="R8" i="12"/>
  <c r="H17" i="12"/>
  <c r="J17" i="12"/>
  <c r="F25" i="12"/>
  <c r="E82" i="12" s="1"/>
  <c r="G12" i="12"/>
  <c r="F23" i="12"/>
  <c r="I17" i="12"/>
  <c r="J10" i="12"/>
  <c r="G11" i="12"/>
  <c r="F20" i="12"/>
  <c r="F19" i="12"/>
  <c r="G9" i="12"/>
  <c r="J11" i="12"/>
  <c r="AE8" i="12"/>
  <c r="I9" i="12"/>
  <c r="F22" i="12"/>
  <c r="I11" i="12"/>
  <c r="H10" i="12"/>
  <c r="H9" i="12"/>
  <c r="I10" i="12"/>
  <c r="I12" i="12"/>
  <c r="J12" i="12"/>
  <c r="F30" i="12"/>
  <c r="E30" i="12" s="1"/>
  <c r="G17" i="12"/>
  <c r="F18" i="12"/>
  <c r="J9" i="12"/>
  <c r="Q8" i="12"/>
  <c r="M8" i="11"/>
  <c r="F19" i="11"/>
  <c r="E39" i="11" s="1"/>
  <c r="Y8" i="11"/>
  <c r="F21" i="11"/>
  <c r="E52" i="11" s="1"/>
  <c r="G9" i="11"/>
  <c r="R8" i="11"/>
  <c r="H17" i="11"/>
  <c r="H9" i="11"/>
  <c r="F30" i="11"/>
  <c r="E30" i="11" s="1"/>
  <c r="F8" i="9"/>
  <c r="E54" i="7"/>
  <c r="E53" i="7"/>
  <c r="D52" i="7"/>
  <c r="E52" i="7" s="1"/>
  <c r="E51" i="7"/>
  <c r="E50" i="7"/>
  <c r="E49" i="7"/>
  <c r="E48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 s="1"/>
  <c r="E46" i="7"/>
  <c r="E45" i="7"/>
  <c r="E44" i="7"/>
  <c r="E43" i="7"/>
  <c r="F42" i="7"/>
  <c r="E42" i="7" s="1"/>
  <c r="E41" i="7"/>
  <c r="E40" i="7"/>
  <c r="E39" i="7"/>
  <c r="E38" i="7"/>
  <c r="E37" i="7"/>
  <c r="E36" i="7"/>
  <c r="F35" i="7"/>
  <c r="E35" i="7" s="1"/>
  <c r="E34" i="7"/>
  <c r="E33" i="7"/>
  <c r="E32" i="7"/>
  <c r="E31" i="7"/>
  <c r="E30" i="7"/>
  <c r="E29" i="7"/>
  <c r="F28" i="7"/>
  <c r="E28" i="7" s="1"/>
  <c r="E27" i="7"/>
  <c r="E26" i="7"/>
  <c r="E25" i="7"/>
  <c r="E24" i="7"/>
  <c r="E23" i="7"/>
  <c r="E22" i="7"/>
  <c r="F21" i="7"/>
  <c r="E21" i="7" s="1"/>
  <c r="E20" i="7"/>
  <c r="E19" i="7"/>
  <c r="E18" i="7"/>
  <c r="E17" i="7"/>
  <c r="E16" i="7"/>
  <c r="E15" i="7"/>
  <c r="F14" i="7"/>
  <c r="E14" i="7" s="1"/>
  <c r="H47" i="6"/>
  <c r="H46" i="6"/>
  <c r="G45" i="6"/>
  <c r="H45" i="6" s="1"/>
  <c r="E78" i="22" l="1"/>
  <c r="E83" i="19"/>
  <c r="E50" i="19"/>
  <c r="E56" i="19"/>
  <c r="E54" i="19"/>
  <c r="E33" i="16"/>
  <c r="E52" i="19"/>
  <c r="E38" i="16"/>
  <c r="E37" i="16"/>
  <c r="E53" i="19"/>
  <c r="E55" i="19"/>
  <c r="E51" i="19"/>
  <c r="E75" i="12"/>
  <c r="E60" i="13"/>
  <c r="E47" i="19"/>
  <c r="E58" i="13"/>
  <c r="E62" i="13"/>
  <c r="E47" i="11"/>
  <c r="E72" i="21"/>
  <c r="E67" i="13"/>
  <c r="E86" i="19"/>
  <c r="E82" i="19"/>
  <c r="E83" i="14"/>
  <c r="E81" i="19"/>
  <c r="E80" i="16"/>
  <c r="E68" i="21"/>
  <c r="E63" i="13"/>
  <c r="E85" i="21"/>
  <c r="E78" i="13"/>
  <c r="E83" i="11"/>
  <c r="E66" i="11"/>
  <c r="E70" i="14"/>
  <c r="E86" i="21"/>
  <c r="E67" i="14"/>
  <c r="E80" i="21"/>
  <c r="E72" i="13"/>
  <c r="E63" i="11"/>
  <c r="E44" i="22"/>
  <c r="E77" i="11"/>
  <c r="E78" i="11"/>
  <c r="E42" i="22"/>
  <c r="E75" i="11"/>
  <c r="E74" i="11"/>
  <c r="E70" i="19"/>
  <c r="E79" i="11"/>
  <c r="E73" i="11"/>
  <c r="E52" i="16"/>
  <c r="E56" i="16"/>
  <c r="E41" i="21"/>
  <c r="E54" i="16"/>
  <c r="E61" i="14"/>
  <c r="E58" i="14"/>
  <c r="E75" i="20"/>
  <c r="E67" i="11"/>
  <c r="E65" i="11"/>
  <c r="E79" i="20"/>
  <c r="E71" i="19"/>
  <c r="F12" i="20"/>
  <c r="E72" i="11"/>
  <c r="E59" i="11"/>
  <c r="E78" i="20"/>
  <c r="E61" i="11"/>
  <c r="E70" i="13"/>
  <c r="E71" i="13"/>
  <c r="E64" i="11"/>
  <c r="E76" i="20"/>
  <c r="E58" i="11"/>
  <c r="E69" i="13"/>
  <c r="E62" i="11"/>
  <c r="E85" i="11"/>
  <c r="E82" i="11"/>
  <c r="E80" i="11"/>
  <c r="E17" i="9"/>
  <c r="E79" i="14"/>
  <c r="E78" i="14"/>
  <c r="E84" i="20"/>
  <c r="E81" i="20"/>
  <c r="E65" i="22"/>
  <c r="E86" i="20"/>
  <c r="E64" i="22"/>
  <c r="E82" i="20"/>
  <c r="E63" i="22"/>
  <c r="E77" i="14"/>
  <c r="E80" i="20"/>
  <c r="E66" i="22"/>
  <c r="E76" i="14"/>
  <c r="F12" i="18"/>
  <c r="E85" i="20"/>
  <c r="E62" i="22"/>
  <c r="E58" i="22"/>
  <c r="E61" i="22"/>
  <c r="E74" i="14"/>
  <c r="J8" i="19"/>
  <c r="E59" i="22"/>
  <c r="E73" i="14"/>
  <c r="T8" i="34"/>
  <c r="E69" i="19"/>
  <c r="E48" i="22"/>
  <c r="E74" i="20"/>
  <c r="F11" i="19"/>
  <c r="E75" i="13"/>
  <c r="E67" i="21"/>
  <c r="E73" i="13"/>
  <c r="H8" i="19"/>
  <c r="E70" i="20"/>
  <c r="E70" i="21"/>
  <c r="E79" i="13"/>
  <c r="E74" i="13"/>
  <c r="E76" i="13"/>
  <c r="E71" i="20"/>
  <c r="E71" i="21"/>
  <c r="I8" i="11"/>
  <c r="F10" i="21"/>
  <c r="E78" i="12"/>
  <c r="E77" i="12"/>
  <c r="E62" i="14"/>
  <c r="E42" i="11"/>
  <c r="H8" i="11"/>
  <c r="E49" i="11"/>
  <c r="E82" i="21"/>
  <c r="E51" i="16"/>
  <c r="E76" i="12"/>
  <c r="E72" i="16"/>
  <c r="E57" i="16"/>
  <c r="E50" i="16"/>
  <c r="E36" i="11"/>
  <c r="E33" i="11"/>
  <c r="F10" i="11"/>
  <c r="E72" i="14"/>
  <c r="E35" i="11"/>
  <c r="E74" i="12"/>
  <c r="E71" i="14"/>
  <c r="E68" i="14"/>
  <c r="E80" i="19"/>
  <c r="E82" i="16"/>
  <c r="H8" i="15"/>
  <c r="E37" i="11"/>
  <c r="E64" i="14"/>
  <c r="E68" i="16"/>
  <c r="E31" i="11"/>
  <c r="E34" i="11"/>
  <c r="E45" i="11"/>
  <c r="E73" i="12"/>
  <c r="E66" i="13"/>
  <c r="E63" i="14"/>
  <c r="E82" i="14"/>
  <c r="E60" i="14"/>
  <c r="F12" i="15"/>
  <c r="E70" i="16"/>
  <c r="E44" i="19"/>
  <c r="E84" i="19"/>
  <c r="E40" i="21"/>
  <c r="J8" i="21"/>
  <c r="E83" i="21"/>
  <c r="E69" i="16"/>
  <c r="E53" i="16"/>
  <c r="E66" i="14"/>
  <c r="E38" i="11"/>
  <c r="E65" i="14"/>
  <c r="E85" i="14"/>
  <c r="I8" i="21"/>
  <c r="E81" i="21"/>
  <c r="E71" i="16"/>
  <c r="F12" i="21"/>
  <c r="F12" i="22"/>
  <c r="E51" i="22"/>
  <c r="E54" i="22"/>
  <c r="H8" i="21"/>
  <c r="E78" i="21"/>
  <c r="E55" i="22"/>
  <c r="E52" i="22"/>
  <c r="G8" i="11"/>
  <c r="E77" i="21"/>
  <c r="H8" i="22"/>
  <c r="E53" i="22"/>
  <c r="E59" i="16"/>
  <c r="F12" i="11"/>
  <c r="E56" i="22"/>
  <c r="E50" i="22"/>
  <c r="E65" i="16"/>
  <c r="E61" i="16"/>
  <c r="E46" i="22"/>
  <c r="E66" i="16"/>
  <c r="E46" i="16"/>
  <c r="F11" i="11"/>
  <c r="F11" i="21"/>
  <c r="E45" i="22"/>
  <c r="E47" i="16"/>
  <c r="E60" i="16"/>
  <c r="E35" i="16"/>
  <c r="E49" i="22"/>
  <c r="E43" i="11"/>
  <c r="E80" i="14"/>
  <c r="E68" i="19"/>
  <c r="E69" i="11"/>
  <c r="E44" i="11"/>
  <c r="E68" i="11"/>
  <c r="E81" i="14"/>
  <c r="E63" i="16"/>
  <c r="E34" i="16"/>
  <c r="E47" i="22"/>
  <c r="E32" i="16"/>
  <c r="E70" i="11"/>
  <c r="E46" i="11"/>
  <c r="E86" i="14"/>
  <c r="E62" i="16"/>
  <c r="E31" i="16"/>
  <c r="E58" i="16"/>
  <c r="F12" i="19"/>
  <c r="E85" i="16"/>
  <c r="F12" i="16"/>
  <c r="E42" i="16"/>
  <c r="E45" i="19"/>
  <c r="E76" i="21"/>
  <c r="E45" i="20"/>
  <c r="J8" i="11"/>
  <c r="E65" i="13"/>
  <c r="E64" i="13"/>
  <c r="E49" i="16"/>
  <c r="E49" i="19"/>
  <c r="I8" i="19"/>
  <c r="E79" i="21"/>
  <c r="E74" i="22"/>
  <c r="E40" i="11"/>
  <c r="E57" i="12"/>
  <c r="E59" i="13"/>
  <c r="E83" i="16"/>
  <c r="E75" i="21"/>
  <c r="E79" i="22"/>
  <c r="E86" i="16"/>
  <c r="E49" i="20"/>
  <c r="E84" i="16"/>
  <c r="E48" i="19"/>
  <c r="E46" i="20"/>
  <c r="E74" i="21"/>
  <c r="E76" i="22"/>
  <c r="E47" i="20"/>
  <c r="E73" i="22"/>
  <c r="E43" i="16"/>
  <c r="E43" i="19"/>
  <c r="E46" i="19"/>
  <c r="E48" i="20"/>
  <c r="E77" i="22"/>
  <c r="E44" i="16"/>
  <c r="E82" i="15"/>
  <c r="E74" i="18"/>
  <c r="J8" i="22"/>
  <c r="E76" i="18"/>
  <c r="E77" i="20"/>
  <c r="E77" i="18"/>
  <c r="E51" i="11"/>
  <c r="E81" i="11"/>
  <c r="E86" i="11"/>
  <c r="E56" i="14"/>
  <c r="E78" i="18"/>
  <c r="E79" i="16"/>
  <c r="F10" i="22"/>
  <c r="E43" i="20"/>
  <c r="E69" i="15"/>
  <c r="E86" i="18"/>
  <c r="E60" i="19"/>
  <c r="E44" i="14"/>
  <c r="E39" i="15"/>
  <c r="E67" i="20"/>
  <c r="F10" i="12"/>
  <c r="E83" i="15"/>
  <c r="E72" i="20"/>
  <c r="E58" i="15"/>
  <c r="E84" i="15"/>
  <c r="E68" i="20"/>
  <c r="E61" i="19"/>
  <c r="E40" i="22"/>
  <c r="E72" i="18"/>
  <c r="E59" i="19"/>
  <c r="E67" i="18"/>
  <c r="E41" i="11"/>
  <c r="H8" i="13"/>
  <c r="J8" i="14"/>
  <c r="E45" i="14"/>
  <c r="E55" i="11"/>
  <c r="E53" i="13"/>
  <c r="E59" i="15"/>
  <c r="E80" i="15"/>
  <c r="E68" i="18"/>
  <c r="E56" i="18"/>
  <c r="E66" i="19"/>
  <c r="F11" i="13"/>
  <c r="E80" i="13"/>
  <c r="E85" i="15"/>
  <c r="E55" i="18"/>
  <c r="E56" i="11"/>
  <c r="E54" i="11"/>
  <c r="F10" i="13"/>
  <c r="E50" i="18"/>
  <c r="E52" i="18"/>
  <c r="E57" i="11"/>
  <c r="E75" i="15"/>
  <c r="E49" i="18"/>
  <c r="E54" i="18"/>
  <c r="E40" i="15"/>
  <c r="E81" i="15"/>
  <c r="E51" i="18"/>
  <c r="E42" i="18"/>
  <c r="H8" i="20"/>
  <c r="E44" i="20"/>
  <c r="F10" i="15"/>
  <c r="E77" i="15"/>
  <c r="E79" i="19"/>
  <c r="F17" i="11"/>
  <c r="E53" i="11"/>
  <c r="E55" i="13"/>
  <c r="I8" i="15"/>
  <c r="E78" i="15"/>
  <c r="E79" i="18"/>
  <c r="E83" i="18"/>
  <c r="E57" i="18"/>
  <c r="E65" i="19"/>
  <c r="E77" i="19"/>
  <c r="E85" i="13"/>
  <c r="H8" i="12"/>
  <c r="E51" i="14"/>
  <c r="E76" i="15"/>
  <c r="E47" i="18"/>
  <c r="E73" i="18"/>
  <c r="E81" i="18"/>
  <c r="E63" i="19"/>
  <c r="E64" i="19"/>
  <c r="E53" i="20"/>
  <c r="F11" i="22"/>
  <c r="E54" i="12"/>
  <c r="E54" i="13"/>
  <c r="E82" i="18"/>
  <c r="E85" i="12"/>
  <c r="E56" i="12"/>
  <c r="H8" i="14"/>
  <c r="E41" i="16"/>
  <c r="F11" i="16"/>
  <c r="E62" i="19"/>
  <c r="E73" i="19"/>
  <c r="E51" i="20"/>
  <c r="E78" i="16"/>
  <c r="E81" i="12"/>
  <c r="E53" i="12"/>
  <c r="F12" i="14"/>
  <c r="E74" i="15"/>
  <c r="E84" i="18"/>
  <c r="E56" i="20"/>
  <c r="E39" i="22"/>
  <c r="E72" i="19"/>
  <c r="E83" i="12"/>
  <c r="E85" i="18"/>
  <c r="E55" i="20"/>
  <c r="E50" i="12"/>
  <c r="E73" i="15"/>
  <c r="E55" i="12"/>
  <c r="F11" i="14"/>
  <c r="E75" i="19"/>
  <c r="E78" i="19"/>
  <c r="E76" i="19"/>
  <c r="E41" i="19"/>
  <c r="F11" i="20"/>
  <c r="E52" i="20"/>
  <c r="E75" i="16"/>
  <c r="K42" i="27"/>
  <c r="K33" i="27"/>
  <c r="K23" i="27"/>
  <c r="K50" i="27"/>
  <c r="K11" i="27"/>
  <c r="K25" i="27"/>
  <c r="K39" i="27"/>
  <c r="K21" i="27"/>
  <c r="K14" i="27"/>
  <c r="K6" i="27"/>
  <c r="K15" i="27"/>
  <c r="K49" i="27"/>
  <c r="K30" i="27"/>
  <c r="K13" i="27"/>
  <c r="K46" i="27"/>
  <c r="K35" i="27"/>
  <c r="K20" i="27"/>
  <c r="K28" i="27"/>
  <c r="K29" i="27"/>
  <c r="K51" i="27"/>
  <c r="K17" i="27"/>
  <c r="K8" i="27"/>
  <c r="K40" i="27"/>
  <c r="K36" i="27"/>
  <c r="K37" i="27"/>
  <c r="K27" i="27"/>
  <c r="K4" i="27"/>
  <c r="K47" i="27"/>
  <c r="K18" i="27"/>
  <c r="K26" i="27"/>
  <c r="K5" i="27"/>
  <c r="K9" i="27"/>
  <c r="K31" i="27"/>
  <c r="K48" i="27"/>
  <c r="K16" i="27"/>
  <c r="K7" i="27"/>
  <c r="K43" i="27"/>
  <c r="K19" i="27"/>
  <c r="K44" i="27"/>
  <c r="K41" i="27"/>
  <c r="K10" i="27"/>
  <c r="K34" i="27"/>
  <c r="K22" i="27"/>
  <c r="K45" i="27"/>
  <c r="K52" i="27"/>
  <c r="K12" i="27"/>
  <c r="K38" i="27"/>
  <c r="K32" i="27"/>
  <c r="AQ25" i="27"/>
  <c r="AQ36" i="27"/>
  <c r="AQ21" i="27"/>
  <c r="AQ9" i="27"/>
  <c r="AQ47" i="27"/>
  <c r="AQ28" i="27"/>
  <c r="AQ24" i="27"/>
  <c r="AR24" i="27" s="1"/>
  <c r="AQ11" i="27"/>
  <c r="AQ49" i="27"/>
  <c r="AQ7" i="27"/>
  <c r="AQ12" i="27"/>
  <c r="AQ23" i="27"/>
  <c r="AQ19" i="27"/>
  <c r="AQ15" i="27"/>
  <c r="AQ38" i="27"/>
  <c r="AQ29" i="27"/>
  <c r="AQ34" i="27"/>
  <c r="AQ42" i="27"/>
  <c r="AQ26" i="27"/>
  <c r="AQ17" i="27"/>
  <c r="AQ32" i="27"/>
  <c r="AQ31" i="27"/>
  <c r="AQ16" i="27"/>
  <c r="AQ4" i="27"/>
  <c r="AQ43" i="27"/>
  <c r="AQ18" i="27"/>
  <c r="AQ41" i="27"/>
  <c r="AQ30" i="27"/>
  <c r="AQ22" i="27"/>
  <c r="AQ39" i="27"/>
  <c r="AQ46" i="27"/>
  <c r="AQ51" i="27"/>
  <c r="AQ45" i="27"/>
  <c r="AQ50" i="27"/>
  <c r="AQ37" i="27"/>
  <c r="AQ44" i="27"/>
  <c r="AQ6" i="27"/>
  <c r="AQ27" i="27"/>
  <c r="AQ8" i="27"/>
  <c r="AQ48" i="27"/>
  <c r="AQ14" i="27"/>
  <c r="AQ13" i="27"/>
  <c r="AQ5" i="27"/>
  <c r="AQ52" i="27"/>
  <c r="AQ33" i="27"/>
  <c r="AQ35" i="27"/>
  <c r="AQ20" i="27"/>
  <c r="AQ40" i="27"/>
  <c r="AQ10" i="27"/>
  <c r="E49" i="14"/>
  <c r="E42" i="14"/>
  <c r="E48" i="14"/>
  <c r="E46" i="14"/>
  <c r="E43" i="14"/>
  <c r="F17" i="16"/>
  <c r="E39" i="16"/>
  <c r="E73" i="16"/>
  <c r="E77" i="16"/>
  <c r="E74" i="16"/>
  <c r="E45" i="16"/>
  <c r="E67" i="22"/>
  <c r="E72" i="22"/>
  <c r="E69" i="22"/>
  <c r="E71" i="22"/>
  <c r="E68" i="22"/>
  <c r="E80" i="22"/>
  <c r="E86" i="22"/>
  <c r="E82" i="22"/>
  <c r="E81" i="22"/>
  <c r="E85" i="22"/>
  <c r="E84" i="22"/>
  <c r="E83" i="22"/>
  <c r="I8" i="22"/>
  <c r="F9" i="22"/>
  <c r="G8" i="22"/>
  <c r="F17" i="22"/>
  <c r="E37" i="22"/>
  <c r="E34" i="22"/>
  <c r="E36" i="22"/>
  <c r="E38" i="22"/>
  <c r="E33" i="22"/>
  <c r="E35" i="22"/>
  <c r="E32" i="22"/>
  <c r="E31" i="22"/>
  <c r="E44" i="21"/>
  <c r="E45" i="21"/>
  <c r="E42" i="21"/>
  <c r="E47" i="21"/>
  <c r="E49" i="21"/>
  <c r="E46" i="21"/>
  <c r="E48" i="21"/>
  <c r="E43" i="21"/>
  <c r="G8" i="21"/>
  <c r="F9" i="21"/>
  <c r="E60" i="21"/>
  <c r="E58" i="21"/>
  <c r="E62" i="21"/>
  <c r="E65" i="21"/>
  <c r="E61" i="21"/>
  <c r="E63" i="21"/>
  <c r="E64" i="21"/>
  <c r="E66" i="21"/>
  <c r="E59" i="21"/>
  <c r="F17" i="21"/>
  <c r="E35" i="21"/>
  <c r="E32" i="21"/>
  <c r="E34" i="21"/>
  <c r="E31" i="21"/>
  <c r="E36" i="21"/>
  <c r="E38" i="21"/>
  <c r="E37" i="21"/>
  <c r="E56" i="21"/>
  <c r="E52" i="21"/>
  <c r="E54" i="21"/>
  <c r="E57" i="21"/>
  <c r="E53" i="21"/>
  <c r="E55" i="21"/>
  <c r="E50" i="21"/>
  <c r="E51" i="21"/>
  <c r="E57" i="20"/>
  <c r="F10" i="20"/>
  <c r="E54" i="20"/>
  <c r="F9" i="20"/>
  <c r="G8" i="20"/>
  <c r="F17" i="20"/>
  <c r="E35" i="20"/>
  <c r="E36" i="20"/>
  <c r="E34" i="20"/>
  <c r="E32" i="20"/>
  <c r="E31" i="20"/>
  <c r="E38" i="20"/>
  <c r="E33" i="20"/>
  <c r="E37" i="20"/>
  <c r="E41" i="20"/>
  <c r="E39" i="20"/>
  <c r="E40" i="20"/>
  <c r="E66" i="20"/>
  <c r="E65" i="20"/>
  <c r="E63" i="20"/>
  <c r="E59" i="20"/>
  <c r="E58" i="20"/>
  <c r="E61" i="20"/>
  <c r="E62" i="20"/>
  <c r="E60" i="20"/>
  <c r="E64" i="20"/>
  <c r="I8" i="20"/>
  <c r="J8" i="20"/>
  <c r="E39" i="19"/>
  <c r="G8" i="19"/>
  <c r="F9" i="19"/>
  <c r="F10" i="19"/>
  <c r="F17" i="19"/>
  <c r="E38" i="19"/>
  <c r="E35" i="19"/>
  <c r="E36" i="19"/>
  <c r="E37" i="19"/>
  <c r="E31" i="19"/>
  <c r="E32" i="19"/>
  <c r="E33" i="19"/>
  <c r="E34" i="19"/>
  <c r="E48" i="18"/>
  <c r="E46" i="18"/>
  <c r="E44" i="18"/>
  <c r="E71" i="18"/>
  <c r="E70" i="18"/>
  <c r="E45" i="18"/>
  <c r="F10" i="18"/>
  <c r="E66" i="18"/>
  <c r="E62" i="18"/>
  <c r="H8" i="18"/>
  <c r="E40" i="18"/>
  <c r="E61" i="18"/>
  <c r="E65" i="18"/>
  <c r="E58" i="18"/>
  <c r="E39" i="18"/>
  <c r="E59" i="18"/>
  <c r="E60" i="18"/>
  <c r="I8" i="18"/>
  <c r="E63" i="18"/>
  <c r="J8" i="18"/>
  <c r="F17" i="18"/>
  <c r="E34" i="18"/>
  <c r="E37" i="18"/>
  <c r="E35" i="18"/>
  <c r="E31" i="18"/>
  <c r="E33" i="18"/>
  <c r="E32" i="18"/>
  <c r="E38" i="18"/>
  <c r="E36" i="18"/>
  <c r="F11" i="18"/>
  <c r="G8" i="18"/>
  <c r="F9" i="18"/>
  <c r="J8" i="16"/>
  <c r="H8" i="16"/>
  <c r="F9" i="16"/>
  <c r="G8" i="16"/>
  <c r="F10" i="16"/>
  <c r="I8" i="16"/>
  <c r="E61" i="15"/>
  <c r="E63" i="15"/>
  <c r="E64" i="15"/>
  <c r="E65" i="15"/>
  <c r="E66" i="15"/>
  <c r="E60" i="15"/>
  <c r="F11" i="15"/>
  <c r="E68" i="15"/>
  <c r="E70" i="15"/>
  <c r="E67" i="15"/>
  <c r="E71" i="15"/>
  <c r="E49" i="15"/>
  <c r="E44" i="15"/>
  <c r="E45" i="15"/>
  <c r="E46" i="15"/>
  <c r="E48" i="15"/>
  <c r="E47" i="15"/>
  <c r="E43" i="15"/>
  <c r="E42" i="15"/>
  <c r="J8" i="15"/>
  <c r="F17" i="15"/>
  <c r="E36" i="15"/>
  <c r="E38" i="15"/>
  <c r="E34" i="15"/>
  <c r="E37" i="15"/>
  <c r="E32" i="15"/>
  <c r="E35" i="15"/>
  <c r="E31" i="15"/>
  <c r="E33" i="15"/>
  <c r="F9" i="15"/>
  <c r="G8" i="15"/>
  <c r="E50" i="15"/>
  <c r="E53" i="15"/>
  <c r="E57" i="15"/>
  <c r="E51" i="15"/>
  <c r="E52" i="15"/>
  <c r="E56" i="15"/>
  <c r="E54" i="15"/>
  <c r="E55" i="15"/>
  <c r="E57" i="14"/>
  <c r="E39" i="14"/>
  <c r="E50" i="14"/>
  <c r="E55" i="14"/>
  <c r="E54" i="14"/>
  <c r="E53" i="14"/>
  <c r="E40" i="14"/>
  <c r="F17" i="14"/>
  <c r="E38" i="14"/>
  <c r="E37" i="14"/>
  <c r="E34" i="14"/>
  <c r="E31" i="14"/>
  <c r="E32" i="14"/>
  <c r="E33" i="14"/>
  <c r="E36" i="14"/>
  <c r="E35" i="14"/>
  <c r="F10" i="14"/>
  <c r="I8" i="14"/>
  <c r="F9" i="14"/>
  <c r="G8" i="14"/>
  <c r="E81" i="13"/>
  <c r="E83" i="13"/>
  <c r="E84" i="13"/>
  <c r="E82" i="13"/>
  <c r="E57" i="13"/>
  <c r="E51" i="13"/>
  <c r="E56" i="13"/>
  <c r="E50" i="13"/>
  <c r="F12" i="13"/>
  <c r="J8" i="13"/>
  <c r="F17" i="13"/>
  <c r="E34" i="13"/>
  <c r="E36" i="13"/>
  <c r="E38" i="13"/>
  <c r="E33" i="13"/>
  <c r="E37" i="13"/>
  <c r="E32" i="13"/>
  <c r="E35" i="13"/>
  <c r="G8" i="13"/>
  <c r="F9" i="13"/>
  <c r="E40" i="13"/>
  <c r="E41" i="13"/>
  <c r="E39" i="13"/>
  <c r="E31" i="13"/>
  <c r="E46" i="13"/>
  <c r="E44" i="13"/>
  <c r="E48" i="13"/>
  <c r="E43" i="13"/>
  <c r="E47" i="13"/>
  <c r="E49" i="13"/>
  <c r="E42" i="13"/>
  <c r="E45" i="13"/>
  <c r="I8" i="13"/>
  <c r="F11" i="12"/>
  <c r="E51" i="12"/>
  <c r="F12" i="12"/>
  <c r="E80" i="12"/>
  <c r="E86" i="12"/>
  <c r="E84" i="12"/>
  <c r="E47" i="12"/>
  <c r="E42" i="12"/>
  <c r="E48" i="12"/>
  <c r="E44" i="12"/>
  <c r="E46" i="12"/>
  <c r="E45" i="12"/>
  <c r="E72" i="12"/>
  <c r="E69" i="12"/>
  <c r="E68" i="12"/>
  <c r="E70" i="12"/>
  <c r="E71" i="12"/>
  <c r="E67" i="12"/>
  <c r="E43" i="12"/>
  <c r="J8" i="12"/>
  <c r="E49" i="12"/>
  <c r="F17" i="12"/>
  <c r="E32" i="12"/>
  <c r="E33" i="12"/>
  <c r="E37" i="12"/>
  <c r="E34" i="12"/>
  <c r="E35" i="12"/>
  <c r="E38" i="12"/>
  <c r="E36" i="12"/>
  <c r="E39" i="12"/>
  <c r="E41" i="12"/>
  <c r="E40" i="12"/>
  <c r="E61" i="12"/>
  <c r="E66" i="12"/>
  <c r="E65" i="12"/>
  <c r="E60" i="12"/>
  <c r="E59" i="12"/>
  <c r="E63" i="12"/>
  <c r="E62" i="12"/>
  <c r="E58" i="12"/>
  <c r="E64" i="12"/>
  <c r="E31" i="12"/>
  <c r="I8" i="12"/>
  <c r="G8" i="12"/>
  <c r="F9" i="12"/>
  <c r="F9" i="11"/>
  <c r="E50" i="11"/>
  <c r="E8" i="9"/>
  <c r="E18" i="9"/>
  <c r="E12" i="9"/>
  <c r="E22" i="9"/>
  <c r="E11" i="9"/>
  <c r="E20" i="9"/>
  <c r="E25" i="9"/>
  <c r="E21" i="9"/>
  <c r="E19" i="9"/>
  <c r="E23" i="9"/>
  <c r="E10" i="9"/>
  <c r="E24" i="9"/>
  <c r="E9" i="9"/>
  <c r="H13" i="6"/>
  <c r="H12" i="6"/>
  <c r="H11" i="6"/>
  <c r="H10" i="6"/>
  <c r="H9" i="6"/>
  <c r="H8" i="6"/>
  <c r="I7" i="6"/>
  <c r="H7" i="6" s="1"/>
  <c r="F8" i="11" l="1"/>
  <c r="E20" i="11" s="1"/>
  <c r="AR30" i="27"/>
  <c r="AR22" i="27"/>
  <c r="AR37" i="27"/>
  <c r="AR11" i="27"/>
  <c r="AR52" i="27"/>
  <c r="AR49" i="27"/>
  <c r="AR29" i="27"/>
  <c r="AR39" i="27"/>
  <c r="AR42" i="27"/>
  <c r="AR21" i="27"/>
  <c r="AR16" i="27"/>
  <c r="AR28" i="27"/>
  <c r="AR50" i="27"/>
  <c r="AR7" i="27"/>
  <c r="AR43" i="27"/>
  <c r="AR26" i="27"/>
  <c r="AR34" i="27"/>
  <c r="AR36" i="27"/>
  <c r="AR20" i="27"/>
  <c r="AR18" i="27"/>
  <c r="AR44" i="27"/>
  <c r="AR51" i="27"/>
  <c r="AR9" i="27"/>
  <c r="AR27" i="27"/>
  <c r="AR12" i="27"/>
  <c r="AR13" i="27"/>
  <c r="AR17" i="27"/>
  <c r="AR38" i="27"/>
  <c r="AR23" i="27"/>
  <c r="AR47" i="27"/>
  <c r="AR10" i="27"/>
  <c r="AR8" i="27"/>
  <c r="AR35" i="27"/>
  <c r="AR32" i="27"/>
  <c r="AR6" i="27"/>
  <c r="AR31" i="27"/>
  <c r="AR41" i="27"/>
  <c r="AR46" i="27"/>
  <c r="AR4" i="27"/>
  <c r="AR19" i="27"/>
  <c r="AR15" i="27"/>
  <c r="AR14" i="27"/>
  <c r="AR48" i="27"/>
  <c r="AR25" i="27"/>
  <c r="AR40" i="27"/>
  <c r="AR33" i="27"/>
  <c r="AR45" i="27"/>
  <c r="AR5" i="27"/>
  <c r="F32" i="32"/>
  <c r="F23" i="32"/>
  <c r="F38" i="32"/>
  <c r="F8" i="32"/>
  <c r="F14" i="32"/>
  <c r="F30" i="32"/>
  <c r="F37" i="32"/>
  <c r="F10" i="32"/>
  <c r="F17" i="32"/>
  <c r="F6" i="32"/>
  <c r="F7" i="32"/>
  <c r="F18" i="32"/>
  <c r="F42" i="32"/>
  <c r="F26" i="32"/>
  <c r="F39" i="32"/>
  <c r="F24" i="32"/>
  <c r="F19" i="32"/>
  <c r="F21" i="32"/>
  <c r="F44" i="32"/>
  <c r="F27" i="32"/>
  <c r="F9" i="32"/>
  <c r="F13" i="32"/>
  <c r="F36" i="32"/>
  <c r="F43" i="32"/>
  <c r="F28" i="32"/>
  <c r="F34" i="32"/>
  <c r="F45" i="32"/>
  <c r="F29" i="32"/>
  <c r="F20" i="32"/>
  <c r="F11" i="32"/>
  <c r="F5" i="32"/>
  <c r="F41" i="32"/>
  <c r="F35" i="32"/>
  <c r="F15" i="32"/>
  <c r="F31" i="32"/>
  <c r="F33" i="32"/>
  <c r="F40" i="32"/>
  <c r="F22" i="32"/>
  <c r="F16" i="32"/>
  <c r="F25" i="32"/>
  <c r="F12" i="32"/>
  <c r="F8" i="22"/>
  <c r="E9" i="22" s="1"/>
  <c r="F8" i="21"/>
  <c r="E17" i="21" s="1"/>
  <c r="F8" i="20"/>
  <c r="E17" i="20" s="1"/>
  <c r="F8" i="19"/>
  <c r="F8" i="18"/>
  <c r="E9" i="18" s="1"/>
  <c r="F8" i="16"/>
  <c r="E10" i="16" s="1"/>
  <c r="F8" i="15"/>
  <c r="E17" i="15" s="1"/>
  <c r="F8" i="14"/>
  <c r="E9" i="14" s="1"/>
  <c r="F8" i="13"/>
  <c r="E17" i="13" s="1"/>
  <c r="F8" i="12"/>
  <c r="E9" i="12" s="1"/>
  <c r="H44" i="6"/>
  <c r="H43" i="6"/>
  <c r="H42" i="6"/>
  <c r="H41" i="6"/>
  <c r="H39" i="6"/>
  <c r="H38" i="6"/>
  <c r="H37" i="6"/>
  <c r="H36" i="6"/>
  <c r="H34" i="6"/>
  <c r="H33" i="6"/>
  <c r="H32" i="6"/>
  <c r="H31" i="6"/>
  <c r="H30" i="6"/>
  <c r="H29" i="6"/>
  <c r="H27" i="6"/>
  <c r="H26" i="6"/>
  <c r="H25" i="6"/>
  <c r="H24" i="6"/>
  <c r="H23" i="6"/>
  <c r="H22" i="6"/>
  <c r="H20" i="6"/>
  <c r="H19" i="6"/>
  <c r="H18" i="6"/>
  <c r="H17" i="6"/>
  <c r="H16" i="6"/>
  <c r="H15" i="6"/>
  <c r="H101" i="6"/>
  <c r="H100" i="6"/>
  <c r="H98" i="6"/>
  <c r="H97" i="6"/>
  <c r="H96" i="6"/>
  <c r="H95" i="6"/>
  <c r="H94" i="6"/>
  <c r="H93" i="6"/>
  <c r="H92" i="6"/>
  <c r="H91" i="6"/>
  <c r="H84" i="6"/>
  <c r="H83" i="6"/>
  <c r="H82" i="6"/>
  <c r="H81" i="6"/>
  <c r="H80" i="6"/>
  <c r="H79" i="6"/>
  <c r="H72" i="6"/>
  <c r="H71" i="6"/>
  <c r="H70" i="6"/>
  <c r="H69" i="6"/>
  <c r="H68" i="6"/>
  <c r="H67" i="6"/>
  <c r="H65" i="6"/>
  <c r="H64" i="6"/>
  <c r="H63" i="6"/>
  <c r="H62" i="6"/>
  <c r="H61" i="6"/>
  <c r="H59" i="6"/>
  <c r="H58" i="6"/>
  <c r="E23" i="11" l="1"/>
  <c r="E17" i="11"/>
  <c r="E8" i="11"/>
  <c r="E11" i="11"/>
  <c r="E9" i="11"/>
  <c r="E10" i="11"/>
  <c r="E24" i="11"/>
  <c r="E18" i="11"/>
  <c r="E21" i="11"/>
  <c r="E12" i="11"/>
  <c r="E19" i="11"/>
  <c r="E22" i="11"/>
  <c r="E25" i="11"/>
  <c r="E17" i="22"/>
  <c r="E9" i="16"/>
  <c r="E8" i="22"/>
  <c r="E23" i="22"/>
  <c r="E22" i="22"/>
  <c r="E19" i="22"/>
  <c r="E10" i="22"/>
  <c r="E12" i="22"/>
  <c r="E20" i="22"/>
  <c r="E21" i="22"/>
  <c r="E24" i="22"/>
  <c r="E18" i="22"/>
  <c r="E25" i="22"/>
  <c r="E11" i="22"/>
  <c r="E8" i="21"/>
  <c r="E25" i="21"/>
  <c r="E20" i="21"/>
  <c r="E19" i="21"/>
  <c r="E11" i="21"/>
  <c r="E23" i="21"/>
  <c r="E24" i="21"/>
  <c r="E10" i="21"/>
  <c r="E22" i="21"/>
  <c r="E18" i="21"/>
  <c r="E21" i="21"/>
  <c r="E12" i="21"/>
  <c r="E9" i="21"/>
  <c r="E9" i="20"/>
  <c r="E8" i="20"/>
  <c r="E25" i="20"/>
  <c r="E21" i="20"/>
  <c r="E23" i="20"/>
  <c r="E24" i="20"/>
  <c r="E20" i="20"/>
  <c r="E12" i="20"/>
  <c r="E11" i="20"/>
  <c r="E10" i="20"/>
  <c r="E18" i="20"/>
  <c r="E22" i="20"/>
  <c r="E19" i="20"/>
  <c r="E8" i="19"/>
  <c r="E23" i="19"/>
  <c r="E24" i="19"/>
  <c r="E20" i="19"/>
  <c r="E22" i="19"/>
  <c r="E19" i="19"/>
  <c r="E25" i="19"/>
  <c r="E21" i="19"/>
  <c r="E11" i="19"/>
  <c r="E12" i="19"/>
  <c r="E18" i="19"/>
  <c r="E17" i="19"/>
  <c r="E9" i="19"/>
  <c r="E10" i="19"/>
  <c r="E8" i="18"/>
  <c r="E19" i="18"/>
  <c r="E25" i="18"/>
  <c r="E24" i="18"/>
  <c r="E23" i="18"/>
  <c r="E20" i="18"/>
  <c r="E22" i="18"/>
  <c r="E21" i="18"/>
  <c r="E10" i="18"/>
  <c r="E18" i="18"/>
  <c r="E12" i="18"/>
  <c r="E17" i="18"/>
  <c r="E11" i="18"/>
  <c r="E8" i="16"/>
  <c r="E21" i="16"/>
  <c r="E22" i="16"/>
  <c r="E19" i="16"/>
  <c r="E18" i="16"/>
  <c r="E24" i="16"/>
  <c r="E23" i="16"/>
  <c r="E20" i="16"/>
  <c r="E25" i="16"/>
  <c r="E12" i="16"/>
  <c r="E11" i="16"/>
  <c r="E17" i="16"/>
  <c r="E9" i="15"/>
  <c r="E8" i="15"/>
  <c r="E20" i="15"/>
  <c r="E23" i="15"/>
  <c r="E12" i="15"/>
  <c r="E19" i="15"/>
  <c r="E25" i="15"/>
  <c r="E24" i="15"/>
  <c r="E22" i="15"/>
  <c r="E10" i="15"/>
  <c r="E18" i="15"/>
  <c r="E11" i="15"/>
  <c r="E21" i="15"/>
  <c r="E17" i="14"/>
  <c r="E10" i="14"/>
  <c r="E8" i="14"/>
  <c r="E20" i="14"/>
  <c r="E22" i="14"/>
  <c r="E21" i="14"/>
  <c r="E19" i="14"/>
  <c r="E25" i="14"/>
  <c r="E23" i="14"/>
  <c r="E24" i="14"/>
  <c r="E18" i="14"/>
  <c r="E12" i="14"/>
  <c r="E11" i="14"/>
  <c r="E8" i="13"/>
  <c r="E22" i="13"/>
  <c r="E25" i="13"/>
  <c r="E21" i="13"/>
  <c r="E24" i="13"/>
  <c r="E23" i="13"/>
  <c r="E20" i="13"/>
  <c r="E12" i="13"/>
  <c r="E18" i="13"/>
  <c r="E19" i="13"/>
  <c r="E10" i="13"/>
  <c r="E11" i="13"/>
  <c r="E9" i="13"/>
  <c r="E8" i="12"/>
  <c r="E20" i="12"/>
  <c r="E23" i="12"/>
  <c r="E25" i="12"/>
  <c r="E24" i="12"/>
  <c r="E21" i="12"/>
  <c r="E12" i="12"/>
  <c r="E19" i="12"/>
  <c r="E22" i="12"/>
  <c r="E11" i="12"/>
  <c r="E18" i="12"/>
  <c r="E10" i="12"/>
  <c r="E17" i="12"/>
  <c r="W40" i="6"/>
  <c r="V40" i="6"/>
  <c r="U40" i="6"/>
  <c r="T40" i="6"/>
  <c r="S40" i="6"/>
  <c r="R40" i="6"/>
  <c r="Q40" i="6"/>
  <c r="P40" i="6"/>
  <c r="O40" i="6"/>
  <c r="N40" i="6"/>
  <c r="M40" i="6"/>
  <c r="J40" i="6"/>
  <c r="I40" i="6"/>
  <c r="H40" i="6" s="1"/>
  <c r="W35" i="6"/>
  <c r="V35" i="6"/>
  <c r="U35" i="6"/>
  <c r="T35" i="6"/>
  <c r="S35" i="6"/>
  <c r="R35" i="6"/>
  <c r="Q35" i="6"/>
  <c r="P35" i="6"/>
  <c r="O35" i="6"/>
  <c r="N35" i="6"/>
  <c r="M35" i="6"/>
  <c r="J35" i="6"/>
  <c r="I35" i="6"/>
  <c r="H35" i="6" s="1"/>
  <c r="W28" i="6"/>
  <c r="V28" i="6"/>
  <c r="U28" i="6"/>
  <c r="T28" i="6"/>
  <c r="S28" i="6"/>
  <c r="R28" i="6"/>
  <c r="Q28" i="6"/>
  <c r="P28" i="6"/>
  <c r="O28" i="6"/>
  <c r="N28" i="6"/>
  <c r="M28" i="6"/>
  <c r="J28" i="6"/>
  <c r="I28" i="6"/>
  <c r="H28" i="6" s="1"/>
  <c r="W21" i="6"/>
  <c r="V21" i="6"/>
  <c r="U21" i="6"/>
  <c r="T21" i="6"/>
  <c r="S21" i="6"/>
  <c r="R21" i="6"/>
  <c r="Q21" i="6"/>
  <c r="P21" i="6"/>
  <c r="O21" i="6"/>
  <c r="N21" i="6"/>
  <c r="M21" i="6"/>
  <c r="J21" i="6"/>
  <c r="I21" i="6"/>
  <c r="H21" i="6" s="1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 s="1"/>
  <c r="F10" i="25" l="1"/>
  <c r="F4" i="25" s="1"/>
  <c r="H10" i="25"/>
  <c r="H4" i="25" s="1"/>
  <c r="G10" i="25"/>
  <c r="G13" i="25"/>
  <c r="F13" i="25"/>
  <c r="H13" i="25"/>
  <c r="F15" i="25"/>
  <c r="H15" i="25"/>
  <c r="G15" i="25"/>
  <c r="H16" i="25"/>
  <c r="G16" i="25"/>
  <c r="F16" i="25"/>
  <c r="G11" i="25"/>
  <c r="F11" i="25"/>
  <c r="H11" i="25"/>
  <c r="G12" i="25"/>
  <c r="F12" i="25"/>
  <c r="H12" i="25"/>
  <c r="H14" i="25"/>
  <c r="G14" i="25"/>
  <c r="F14" i="25"/>
  <c r="G9" i="25"/>
  <c r="F7" i="25" l="1"/>
  <c r="G4" i="25"/>
  <c r="G5" i="25"/>
  <c r="H7" i="25"/>
  <c r="H6" i="25"/>
  <c r="E18" i="25"/>
  <c r="F6" i="25"/>
  <c r="G6" i="25"/>
  <c r="H5" i="25"/>
  <c r="F5" i="25"/>
  <c r="G7" i="25"/>
  <c r="O58" i="2"/>
  <c r="O57" i="2"/>
  <c r="O56" i="2"/>
  <c r="T55" i="2"/>
  <c r="O55" i="2"/>
  <c r="T54" i="2"/>
  <c r="O54" i="2"/>
  <c r="O53" i="2"/>
  <c r="T52" i="2"/>
  <c r="O52" i="2"/>
  <c r="O51" i="2"/>
  <c r="R48" i="2"/>
  <c r="R43" i="2" s="1"/>
  <c r="P48" i="2"/>
  <c r="P43" i="2" s="1"/>
  <c r="M48" i="2"/>
  <c r="K48" i="2"/>
  <c r="K43" i="2" s="1"/>
  <c r="I48" i="2"/>
  <c r="I43" i="2" s="1"/>
  <c r="G48" i="2"/>
  <c r="G43" i="2" s="1"/>
  <c r="H44" i="2" s="1"/>
  <c r="E48" i="2"/>
  <c r="T45" i="2"/>
  <c r="T53" i="2" s="1"/>
  <c r="M42" i="2"/>
  <c r="K42" i="2"/>
  <c r="I42" i="2"/>
  <c r="G42" i="2"/>
  <c r="E42" i="2"/>
  <c r="M41" i="2"/>
  <c r="M57" i="2" s="1"/>
  <c r="K41" i="2"/>
  <c r="K57" i="2" s="1"/>
  <c r="I41" i="2"/>
  <c r="I57" i="2" s="1"/>
  <c r="G41" i="2"/>
  <c r="G57" i="2" s="1"/>
  <c r="E41" i="2"/>
  <c r="E57" i="2" s="1"/>
  <c r="T40" i="2"/>
  <c r="T35" i="2" s="1"/>
  <c r="R39" i="2"/>
  <c r="P39" i="2"/>
  <c r="P55" i="2" s="1"/>
  <c r="M39" i="2"/>
  <c r="M55" i="2" s="1"/>
  <c r="K39" i="2"/>
  <c r="K55" i="2" s="1"/>
  <c r="I39" i="2"/>
  <c r="G39" i="2"/>
  <c r="G55" i="2" s="1"/>
  <c r="E39" i="2"/>
  <c r="E55" i="2" s="1"/>
  <c r="R38" i="2"/>
  <c r="P38" i="2"/>
  <c r="M38" i="2"/>
  <c r="M54" i="2" s="1"/>
  <c r="K38" i="2"/>
  <c r="K54" i="2" s="1"/>
  <c r="I38" i="2"/>
  <c r="G38" i="2"/>
  <c r="G54" i="2" s="1"/>
  <c r="E38" i="2"/>
  <c r="E54" i="2" s="1"/>
  <c r="R37" i="2"/>
  <c r="R53" i="2" s="1"/>
  <c r="P37" i="2"/>
  <c r="P53" i="2" s="1"/>
  <c r="M37" i="2"/>
  <c r="M53" i="2" s="1"/>
  <c r="K37" i="2"/>
  <c r="K53" i="2" s="1"/>
  <c r="I37" i="2"/>
  <c r="I53" i="2" s="1"/>
  <c r="G37" i="2"/>
  <c r="G53" i="2" s="1"/>
  <c r="E37" i="2"/>
  <c r="E53" i="2" s="1"/>
  <c r="R36" i="2"/>
  <c r="R52" i="2" s="1"/>
  <c r="P36" i="2"/>
  <c r="P52" i="2" s="1"/>
  <c r="M36" i="2"/>
  <c r="K36" i="2"/>
  <c r="I36" i="2"/>
  <c r="I52" i="2" s="1"/>
  <c r="G36" i="2"/>
  <c r="E36" i="2"/>
  <c r="M25" i="2"/>
  <c r="K25" i="2"/>
  <c r="I25" i="2"/>
  <c r="G25" i="2"/>
  <c r="E25" i="2"/>
  <c r="R24" i="2"/>
  <c r="P24" i="2"/>
  <c r="M24" i="2"/>
  <c r="K24" i="2"/>
  <c r="I24" i="2"/>
  <c r="G24" i="2"/>
  <c r="E24" i="2"/>
  <c r="R23" i="2"/>
  <c r="P23" i="2"/>
  <c r="M23" i="2"/>
  <c r="K23" i="2"/>
  <c r="I23" i="2"/>
  <c r="G23" i="2"/>
  <c r="E23" i="2"/>
  <c r="R22" i="2"/>
  <c r="P22" i="2"/>
  <c r="M22" i="2"/>
  <c r="K22" i="2"/>
  <c r="I22" i="2"/>
  <c r="G22" i="2"/>
  <c r="E22" i="2"/>
  <c r="R21" i="2"/>
  <c r="P21" i="2"/>
  <c r="M21" i="2"/>
  <c r="K21" i="2"/>
  <c r="I21" i="2"/>
  <c r="G21" i="2"/>
  <c r="E21" i="2"/>
  <c r="R13" i="2"/>
  <c r="P13" i="2"/>
  <c r="M13" i="2"/>
  <c r="K13" i="2"/>
  <c r="I13" i="2"/>
  <c r="G13" i="2"/>
  <c r="E13" i="2"/>
  <c r="R6" i="2"/>
  <c r="P6" i="2"/>
  <c r="M6" i="2"/>
  <c r="K6" i="2"/>
  <c r="I6" i="2"/>
  <c r="G6" i="2"/>
  <c r="E6" i="2"/>
  <c r="P20" i="2" l="1"/>
  <c r="R20" i="2"/>
  <c r="E40" i="2"/>
  <c r="E35" i="2" s="1"/>
  <c r="F42" i="2" s="1"/>
  <c r="E20" i="2"/>
  <c r="U38" i="2"/>
  <c r="U37" i="2"/>
  <c r="G20" i="2"/>
  <c r="I20" i="2"/>
  <c r="I40" i="2"/>
  <c r="I35" i="2" s="1"/>
  <c r="J42" i="2" s="1"/>
  <c r="M20" i="2"/>
  <c r="K40" i="2"/>
  <c r="K56" i="2" s="1"/>
  <c r="M40" i="2"/>
  <c r="M56" i="2" s="1"/>
  <c r="R40" i="2"/>
  <c r="R35" i="2" s="1"/>
  <c r="R51" i="2" s="1"/>
  <c r="K20" i="2"/>
  <c r="U40" i="2"/>
  <c r="J48" i="2"/>
  <c r="J50" i="2"/>
  <c r="J49" i="2"/>
  <c r="J47" i="2"/>
  <c r="J46" i="2"/>
  <c r="J45" i="2"/>
  <c r="J44" i="2"/>
  <c r="Q50" i="2"/>
  <c r="Q49" i="2"/>
  <c r="Q47" i="2"/>
  <c r="Q46" i="2"/>
  <c r="Q45" i="2"/>
  <c r="Q44" i="2"/>
  <c r="Q48" i="2"/>
  <c r="S48" i="2"/>
  <c r="S45" i="2"/>
  <c r="S44" i="2"/>
  <c r="S50" i="2"/>
  <c r="S49" i="2"/>
  <c r="S47" i="2"/>
  <c r="S46" i="2"/>
  <c r="L50" i="2"/>
  <c r="L49" i="2"/>
  <c r="L47" i="2"/>
  <c r="L46" i="2"/>
  <c r="L45" i="2"/>
  <c r="L44" i="2"/>
  <c r="L48" i="2"/>
  <c r="H48" i="2"/>
  <c r="H50" i="2"/>
  <c r="H49" i="2"/>
  <c r="H47" i="2"/>
  <c r="H46" i="2"/>
  <c r="H45" i="2"/>
  <c r="U42" i="2"/>
  <c r="T48" i="2"/>
  <c r="P54" i="2"/>
  <c r="I58" i="2"/>
  <c r="U36" i="2"/>
  <c r="G40" i="2"/>
  <c r="P40" i="2"/>
  <c r="E43" i="2"/>
  <c r="F48" i="2" s="1"/>
  <c r="M43" i="2"/>
  <c r="N48" i="2" s="1"/>
  <c r="K52" i="2"/>
  <c r="I54" i="2"/>
  <c r="R54" i="2"/>
  <c r="I55" i="2"/>
  <c r="K58" i="2"/>
  <c r="U41" i="2"/>
  <c r="E52" i="2"/>
  <c r="M52" i="2"/>
  <c r="R55" i="2"/>
  <c r="E58" i="2"/>
  <c r="M58" i="2"/>
  <c r="G52" i="2"/>
  <c r="U39" i="2"/>
  <c r="G58" i="2"/>
  <c r="E56" i="2" l="1"/>
  <c r="S38" i="2"/>
  <c r="S54" i="2" s="1"/>
  <c r="K35" i="2"/>
  <c r="L41" i="2" s="1"/>
  <c r="L57" i="2" s="1"/>
  <c r="S36" i="2"/>
  <c r="S37" i="2"/>
  <c r="S42" i="2"/>
  <c r="S41" i="2"/>
  <c r="R56" i="2"/>
  <c r="J41" i="2"/>
  <c r="S40" i="2"/>
  <c r="S35" i="2" s="1"/>
  <c r="S39" i="2"/>
  <c r="S55" i="2" s="1"/>
  <c r="J40" i="2"/>
  <c r="J35" i="2" s="1"/>
  <c r="J38" i="2"/>
  <c r="J54" i="2" s="1"/>
  <c r="J36" i="2"/>
  <c r="J52" i="2" s="1"/>
  <c r="I56" i="2"/>
  <c r="J37" i="2"/>
  <c r="J53" i="2" s="1"/>
  <c r="J39" i="2"/>
  <c r="J55" i="2" s="1"/>
  <c r="M35" i="2"/>
  <c r="N40" i="2" s="1"/>
  <c r="N56" i="2" s="1"/>
  <c r="I51" i="2"/>
  <c r="U35" i="2"/>
  <c r="F40" i="2"/>
  <c r="F56" i="2" s="1"/>
  <c r="F36" i="2"/>
  <c r="F39" i="2"/>
  <c r="F38" i="2"/>
  <c r="S53" i="2"/>
  <c r="Q43" i="2"/>
  <c r="L37" i="2"/>
  <c r="L53" i="2" s="1"/>
  <c r="S43" i="2"/>
  <c r="S56" i="2"/>
  <c r="J57" i="2"/>
  <c r="K51" i="2"/>
  <c r="J58" i="2"/>
  <c r="N50" i="2"/>
  <c r="N49" i="2"/>
  <c r="N47" i="2"/>
  <c r="N46" i="2"/>
  <c r="N45" i="2"/>
  <c r="N44" i="2"/>
  <c r="L43" i="2"/>
  <c r="E51" i="2"/>
  <c r="F50" i="2"/>
  <c r="F58" i="2" s="1"/>
  <c r="F49" i="2"/>
  <c r="F47" i="2"/>
  <c r="F46" i="2"/>
  <c r="F45" i="2"/>
  <c r="F44" i="2"/>
  <c r="P35" i="2"/>
  <c r="P56" i="2"/>
  <c r="T43" i="2"/>
  <c r="U48" i="2" s="1"/>
  <c r="T56" i="2"/>
  <c r="J43" i="2"/>
  <c r="G35" i="2"/>
  <c r="H40" i="2" s="1"/>
  <c r="G56" i="2"/>
  <c r="H43" i="2"/>
  <c r="F37" i="2"/>
  <c r="F41" i="2"/>
  <c r="L36" i="2"/>
  <c r="L52" i="2" s="1"/>
  <c r="L38" i="2"/>
  <c r="L54" i="2" s="1"/>
  <c r="S52" i="2"/>
  <c r="L42" i="2"/>
  <c r="L58" i="2" s="1"/>
  <c r="L39" i="2" l="1"/>
  <c r="L55" i="2" s="1"/>
  <c r="L40" i="2"/>
  <c r="L56" i="2" s="1"/>
  <c r="N38" i="2"/>
  <c r="J56" i="2"/>
  <c r="F35" i="2"/>
  <c r="N37" i="2"/>
  <c r="N53" i="2" s="1"/>
  <c r="M51" i="2"/>
  <c r="N39" i="2"/>
  <c r="N55" i="2" s="1"/>
  <c r="N42" i="2"/>
  <c r="N58" i="2" s="1"/>
  <c r="N41" i="2"/>
  <c r="N57" i="2" s="1"/>
  <c r="N36" i="2"/>
  <c r="N52" i="2" s="1"/>
  <c r="F53" i="2"/>
  <c r="N54" i="2"/>
  <c r="F54" i="2"/>
  <c r="N43" i="2"/>
  <c r="F55" i="2"/>
  <c r="F57" i="2"/>
  <c r="F52" i="2"/>
  <c r="H56" i="2"/>
  <c r="Q42" i="2"/>
  <c r="Q58" i="2" s="1"/>
  <c r="Q39" i="2"/>
  <c r="Q55" i="2" s="1"/>
  <c r="Q41" i="2"/>
  <c r="Q57" i="2" s="1"/>
  <c r="P51" i="2"/>
  <c r="Q37" i="2"/>
  <c r="Q53" i="2" s="1"/>
  <c r="Q36" i="2"/>
  <c r="Q52" i="2" s="1"/>
  <c r="Q38" i="2"/>
  <c r="Q54" i="2" s="1"/>
  <c r="H39" i="2"/>
  <c r="H55" i="2" s="1"/>
  <c r="H41" i="2"/>
  <c r="H57" i="2" s="1"/>
  <c r="G51" i="2"/>
  <c r="H36" i="2"/>
  <c r="H52" i="2" s="1"/>
  <c r="H37" i="2"/>
  <c r="H53" i="2" s="1"/>
  <c r="H38" i="2"/>
  <c r="H54" i="2" s="1"/>
  <c r="H42" i="2"/>
  <c r="H58" i="2" s="1"/>
  <c r="U56" i="2"/>
  <c r="T51" i="2"/>
  <c r="U50" i="2"/>
  <c r="U49" i="2"/>
  <c r="U47" i="2"/>
  <c r="U55" i="2" s="1"/>
  <c r="U46" i="2"/>
  <c r="U54" i="2" s="1"/>
  <c r="U45" i="2"/>
  <c r="U53" i="2" s="1"/>
  <c r="U44" i="2"/>
  <c r="U52" i="2" s="1"/>
  <c r="F43" i="2"/>
  <c r="Q40" i="2"/>
  <c r="L35" i="2" l="1"/>
  <c r="N35" i="2"/>
  <c r="U43" i="2"/>
  <c r="H35" i="2"/>
  <c r="Q35" i="2"/>
  <c r="Q56" i="2"/>
  <c r="AN2" i="27" l="1"/>
  <c r="AO2" i="27"/>
  <c r="AP2" i="27"/>
  <c r="AJ3" i="30"/>
  <c r="AK3" i="32"/>
  <c r="AK3" i="30"/>
  <c r="AI3" i="32"/>
  <c r="AI3" i="30"/>
  <c r="AJ3" i="32"/>
  <c r="AD51" i="34" l="1"/>
  <c r="AF51" i="34" s="1"/>
  <c r="G43" i="33"/>
  <c r="F50" i="33"/>
  <c r="AA46" i="34"/>
  <c r="AC46" i="34" s="1"/>
  <c r="AA45" i="34"/>
  <c r="AC45" i="34" s="1"/>
  <c r="AA44" i="34"/>
  <c r="AC44" i="34" s="1"/>
  <c r="AA47" i="34"/>
  <c r="AC47" i="34" s="1"/>
  <c r="F49" i="33"/>
  <c r="AL37" i="30"/>
  <c r="AM37" i="30" s="1"/>
  <c r="AL36" i="30"/>
  <c r="AM36" i="30" s="1"/>
  <c r="G42" i="33"/>
  <c r="G41" i="33"/>
  <c r="G52" i="33"/>
  <c r="AL35" i="30"/>
  <c r="AM35" i="30" s="1"/>
  <c r="G46" i="33"/>
  <c r="AL40" i="30"/>
  <c r="AM40" i="30" s="1"/>
  <c r="G45" i="33"/>
  <c r="AL38" i="30"/>
  <c r="AM38" i="30" s="1"/>
  <c r="G44" i="33"/>
  <c r="F48" i="33"/>
  <c r="F47" i="33"/>
  <c r="F59" i="33" l="1"/>
  <c r="AA30" i="34"/>
  <c r="AC30" i="34" s="1"/>
  <c r="AA39" i="34"/>
  <c r="AC39" i="34" s="1"/>
  <c r="AA25" i="34"/>
  <c r="AC25" i="34" s="1"/>
  <c r="AA29" i="34"/>
  <c r="AC29" i="34" s="1"/>
  <c r="AA51" i="34"/>
  <c r="AC51" i="34" s="1"/>
  <c r="AA56" i="34"/>
  <c r="AC56" i="34" s="1"/>
  <c r="AA24" i="34"/>
  <c r="AC24" i="34" s="1"/>
  <c r="F20" i="33"/>
  <c r="AA35" i="34"/>
  <c r="AC35" i="34" s="1"/>
  <c r="AA57" i="34"/>
  <c r="AC57" i="34" s="1"/>
  <c r="AA34" i="34"/>
  <c r="AC34" i="34" s="1"/>
  <c r="AA40" i="34"/>
  <c r="AC40" i="34" s="1"/>
  <c r="AA33" i="34"/>
  <c r="AC33" i="34" s="1"/>
  <c r="AA55" i="34"/>
  <c r="AC55" i="34" s="1"/>
  <c r="AA32" i="34"/>
  <c r="AC32" i="34" s="1"/>
  <c r="AA41" i="34"/>
  <c r="AC41" i="34" s="1"/>
  <c r="AA38" i="34"/>
  <c r="AC38" i="34" s="1"/>
  <c r="F22" i="33"/>
  <c r="AD39" i="34"/>
  <c r="AF39" i="34" s="1"/>
  <c r="F24" i="33"/>
  <c r="F21" i="33"/>
  <c r="AD52" i="34"/>
  <c r="AF52" i="34" s="1"/>
  <c r="F23" i="33"/>
  <c r="AD55" i="34"/>
  <c r="AF55" i="34" s="1"/>
  <c r="F52" i="33"/>
  <c r="E52" i="33" s="1"/>
  <c r="F53" i="33"/>
  <c r="F25" i="33"/>
  <c r="AA23" i="34"/>
  <c r="AC23" i="34" s="1"/>
  <c r="AA49" i="34"/>
  <c r="AC49" i="34" s="1"/>
  <c r="G20" i="33"/>
  <c r="AD43" i="34"/>
  <c r="AF43" i="34" s="1"/>
  <c r="AD41" i="34"/>
  <c r="AF41" i="34" s="1"/>
  <c r="F54" i="33"/>
  <c r="AD40" i="34"/>
  <c r="AF40" i="34" s="1"/>
  <c r="AD57" i="34"/>
  <c r="AF57" i="34" s="1"/>
  <c r="AD26" i="34"/>
  <c r="AF26" i="34" s="1"/>
  <c r="AD29" i="34"/>
  <c r="AF29" i="34" s="1"/>
  <c r="AD56" i="34"/>
  <c r="AF56" i="34" s="1"/>
  <c r="AD38" i="34"/>
  <c r="AF38" i="34" s="1"/>
  <c r="AA26" i="34"/>
  <c r="AC26" i="34" s="1"/>
  <c r="AD50" i="34"/>
  <c r="AF50" i="34" s="1"/>
  <c r="AD25" i="34"/>
  <c r="AF25" i="34" s="1"/>
  <c r="AD24" i="34"/>
  <c r="AF24" i="34" s="1"/>
  <c r="AD47" i="34"/>
  <c r="AF47" i="34" s="1"/>
  <c r="AD34" i="34"/>
  <c r="AF34" i="34" s="1"/>
  <c r="AD35" i="34"/>
  <c r="AF35" i="34" s="1"/>
  <c r="AD45" i="34"/>
  <c r="AF45" i="34" s="1"/>
  <c r="AD23" i="34"/>
  <c r="AF23" i="34" s="1"/>
  <c r="AD46" i="34"/>
  <c r="AF46" i="34" s="1"/>
  <c r="AD33" i="34"/>
  <c r="AF33" i="34" s="1"/>
  <c r="AA52" i="34"/>
  <c r="AC52" i="34" s="1"/>
  <c r="AD44" i="34"/>
  <c r="AF44" i="34" s="1"/>
  <c r="AD32" i="34"/>
  <c r="AF32" i="34" s="1"/>
  <c r="AA50" i="34"/>
  <c r="AC50" i="34" s="1"/>
  <c r="G35" i="33"/>
  <c r="F51" i="33"/>
  <c r="F14" i="33" s="1"/>
  <c r="G54" i="33"/>
  <c r="G53" i="33"/>
  <c r="F55" i="33"/>
  <c r="G55" i="33"/>
  <c r="G36" i="33"/>
  <c r="G37" i="33"/>
  <c r="G39" i="33"/>
  <c r="G31" i="33"/>
  <c r="G33" i="33"/>
  <c r="G32" i="33"/>
  <c r="G21" i="33"/>
  <c r="G23" i="33"/>
  <c r="G26" i="33"/>
  <c r="G13" i="33"/>
  <c r="AL9" i="30"/>
  <c r="AM9" i="30" s="1"/>
  <c r="AL10" i="30"/>
  <c r="AM10" i="30" s="1"/>
  <c r="AL24" i="30"/>
  <c r="AM24" i="30" s="1"/>
  <c r="AD28" i="34"/>
  <c r="AL7" i="30"/>
  <c r="AM7" i="30" s="1"/>
  <c r="G60" i="33"/>
  <c r="G59" i="33"/>
  <c r="G58" i="33"/>
  <c r="F35" i="33"/>
  <c r="AL22" i="30"/>
  <c r="AM22" i="30" s="1"/>
  <c r="AL14" i="30"/>
  <c r="AM14" i="30" s="1"/>
  <c r="F37" i="33"/>
  <c r="AL21" i="30"/>
  <c r="AM21" i="30" s="1"/>
  <c r="F43" i="33"/>
  <c r="E43" i="33" s="1"/>
  <c r="F39" i="33"/>
  <c r="AL16" i="30"/>
  <c r="AM16" i="30" s="1"/>
  <c r="F41" i="33"/>
  <c r="F29" i="33"/>
  <c r="AL20" i="30"/>
  <c r="AM20" i="30" s="1"/>
  <c r="G27" i="33"/>
  <c r="AL17" i="30"/>
  <c r="AM17" i="30" s="1"/>
  <c r="AA28" i="34"/>
  <c r="AA22" i="34"/>
  <c r="F36" i="33"/>
  <c r="F38" i="33"/>
  <c r="AA31" i="34"/>
  <c r="AL40" i="32"/>
  <c r="AM40" i="32" s="1"/>
  <c r="AL23" i="30"/>
  <c r="AM23" i="30" s="1"/>
  <c r="G24" i="33"/>
  <c r="AA37" i="34"/>
  <c r="AD22" i="34"/>
  <c r="AL15" i="30"/>
  <c r="AM15" i="30" s="1"/>
  <c r="F42" i="33"/>
  <c r="E42" i="33" s="1"/>
  <c r="F32" i="33"/>
  <c r="AL13" i="30"/>
  <c r="AM13" i="30" s="1"/>
  <c r="F45" i="33"/>
  <c r="E45" i="33" s="1"/>
  <c r="F31" i="33"/>
  <c r="G29" i="33"/>
  <c r="AL35" i="32"/>
  <c r="AM35" i="32" s="1"/>
  <c r="F30" i="33"/>
  <c r="AL34" i="30"/>
  <c r="AM34" i="30" s="1"/>
  <c r="AL6" i="30"/>
  <c r="AM6" i="30" s="1"/>
  <c r="F44" i="33"/>
  <c r="E44" i="33" s="1"/>
  <c r="G50" i="33"/>
  <c r="E50" i="33" s="1"/>
  <c r="F33" i="33"/>
  <c r="AD49" i="34"/>
  <c r="F26" i="33"/>
  <c r="AL36" i="32"/>
  <c r="AM36" i="32" s="1"/>
  <c r="AL45" i="30"/>
  <c r="AM45" i="30" s="1"/>
  <c r="AL37" i="32"/>
  <c r="AM37" i="32" s="1"/>
  <c r="G48" i="33"/>
  <c r="E48" i="33" s="1"/>
  <c r="AL30" i="30"/>
  <c r="AM30" i="30" s="1"/>
  <c r="AA43" i="34"/>
  <c r="AL26" i="30"/>
  <c r="AM26" i="30" s="1"/>
  <c r="AD31" i="34"/>
  <c r="AL43" i="30"/>
  <c r="AM43" i="30" s="1"/>
  <c r="G49" i="33"/>
  <c r="E49" i="33" s="1"/>
  <c r="AL31" i="30"/>
  <c r="AM31" i="30" s="1"/>
  <c r="AL5" i="30"/>
  <c r="AM5" i="30" s="1"/>
  <c r="AL38" i="32"/>
  <c r="AM38" i="32" s="1"/>
  <c r="F27" i="33"/>
  <c r="AL44" i="30"/>
  <c r="AM44" i="30" s="1"/>
  <c r="G47" i="33"/>
  <c r="AL33" i="30"/>
  <c r="AM33" i="30" s="1"/>
  <c r="AL39" i="30"/>
  <c r="AM39" i="30" s="1"/>
  <c r="AD37" i="34"/>
  <c r="AL4" i="30"/>
  <c r="AM4" i="30" s="1"/>
  <c r="G38" i="33"/>
  <c r="AA54" i="34"/>
  <c r="G22" i="33"/>
  <c r="AA48" i="34"/>
  <c r="AC48" i="34" s="1"/>
  <c r="AD54" i="34"/>
  <c r="AL11" i="30"/>
  <c r="AM11" i="30" s="1"/>
  <c r="AL41" i="30"/>
  <c r="AM41" i="30" s="1"/>
  <c r="G30" i="33"/>
  <c r="E20" i="33" l="1"/>
  <c r="AL26" i="32"/>
  <c r="AM26" i="32" s="1"/>
  <c r="AA36" i="34"/>
  <c r="AC36" i="34" s="1"/>
  <c r="AA58" i="34"/>
  <c r="AC58" i="34" s="1"/>
  <c r="AA42" i="34"/>
  <c r="AC42" i="34" s="1"/>
  <c r="F60" i="33"/>
  <c r="E60" i="33" s="1"/>
  <c r="AD53" i="34"/>
  <c r="AF53" i="34" s="1"/>
  <c r="E24" i="33"/>
  <c r="F57" i="33"/>
  <c r="E23" i="33"/>
  <c r="E39" i="33"/>
  <c r="E21" i="33"/>
  <c r="AD60" i="34"/>
  <c r="AF60" i="34" s="1"/>
  <c r="F56" i="33"/>
  <c r="F15" i="33" s="1"/>
  <c r="AA27" i="34"/>
  <c r="AC27" i="34" s="1"/>
  <c r="AD61" i="34"/>
  <c r="AF61" i="34" s="1"/>
  <c r="F58" i="33"/>
  <c r="E58" i="33" s="1"/>
  <c r="E53" i="33"/>
  <c r="E36" i="33"/>
  <c r="E37" i="33"/>
  <c r="E54" i="33"/>
  <c r="AD62" i="34"/>
  <c r="AF62" i="34" s="1"/>
  <c r="AA59" i="34"/>
  <c r="AC59" i="34" s="1"/>
  <c r="AD36" i="34"/>
  <c r="AF36" i="34" s="1"/>
  <c r="AD30" i="34"/>
  <c r="AF30" i="34" s="1"/>
  <c r="AA61" i="34"/>
  <c r="AC61" i="34" s="1"/>
  <c r="AA53" i="34"/>
  <c r="AA62" i="34"/>
  <c r="AC62" i="34" s="1"/>
  <c r="AD27" i="34"/>
  <c r="AF27" i="34" s="1"/>
  <c r="AD48" i="34"/>
  <c r="AD42" i="34"/>
  <c r="AF42" i="34" s="1"/>
  <c r="AD58" i="34"/>
  <c r="AF58" i="34" s="1"/>
  <c r="AA60" i="34"/>
  <c r="AC60" i="34" s="1"/>
  <c r="AL32" i="30"/>
  <c r="AM32" i="30" s="1"/>
  <c r="E59" i="33"/>
  <c r="F28" i="33"/>
  <c r="F10" i="33" s="1"/>
  <c r="G40" i="33"/>
  <c r="G12" i="33" s="1"/>
  <c r="G5" i="33" s="1"/>
  <c r="AL28" i="30"/>
  <c r="AM28" i="30" s="1"/>
  <c r="AL27" i="30"/>
  <c r="AM27" i="30" s="1"/>
  <c r="AL29" i="30"/>
  <c r="AM29" i="30" s="1"/>
  <c r="E27" i="33"/>
  <c r="E33" i="33"/>
  <c r="F34" i="33"/>
  <c r="F11" i="33" s="1"/>
  <c r="F4" i="33" s="1"/>
  <c r="G56" i="33"/>
  <c r="G15" i="33" s="1"/>
  <c r="AL12" i="30"/>
  <c r="AM12" i="30" s="1"/>
  <c r="E55" i="33"/>
  <c r="F46" i="33"/>
  <c r="E46" i="33" s="1"/>
  <c r="G28" i="33"/>
  <c r="G10" i="33" s="1"/>
  <c r="E31" i="33"/>
  <c r="E32" i="33"/>
  <c r="G34" i="33"/>
  <c r="G25" i="33"/>
  <c r="E25" i="33" s="1"/>
  <c r="AF54" i="34"/>
  <c r="E38" i="33"/>
  <c r="AL19" i="30"/>
  <c r="AM19" i="30" s="1"/>
  <c r="AF37" i="34"/>
  <c r="AL18" i="30"/>
  <c r="AM18" i="30" s="1"/>
  <c r="F40" i="33"/>
  <c r="AL5" i="32"/>
  <c r="AM5" i="32" s="1"/>
  <c r="AL34" i="32"/>
  <c r="AM34" i="32" s="1"/>
  <c r="E35" i="33"/>
  <c r="AL24" i="32"/>
  <c r="AM24" i="32" s="1"/>
  <c r="AL45" i="32"/>
  <c r="AM45" i="32" s="1"/>
  <c r="AC37" i="34"/>
  <c r="E22" i="33"/>
  <c r="AL7" i="32"/>
  <c r="AM7" i="32" s="1"/>
  <c r="E29" i="33"/>
  <c r="AL21" i="32"/>
  <c r="AM21" i="32" s="1"/>
  <c r="AL41" i="32"/>
  <c r="AM41" i="32" s="1"/>
  <c r="AL39" i="32"/>
  <c r="AM39" i="32" s="1"/>
  <c r="E30" i="33"/>
  <c r="AL15" i="32"/>
  <c r="AM15" i="32" s="1"/>
  <c r="AL23" i="32"/>
  <c r="AM23" i="32" s="1"/>
  <c r="AL10" i="32"/>
  <c r="AM10" i="32" s="1"/>
  <c r="AD59" i="34"/>
  <c r="AL33" i="32"/>
  <c r="AM33" i="32" s="1"/>
  <c r="AL6" i="32"/>
  <c r="AM6" i="32" s="1"/>
  <c r="AC22" i="34"/>
  <c r="AL9" i="32"/>
  <c r="AM9" i="32" s="1"/>
  <c r="AL31" i="32"/>
  <c r="AM31" i="32" s="1"/>
  <c r="AL13" i="32"/>
  <c r="AM13" i="32" s="1"/>
  <c r="AF28" i="34"/>
  <c r="AL11" i="32"/>
  <c r="AM11" i="32" s="1"/>
  <c r="G51" i="33"/>
  <c r="E51" i="33" s="1"/>
  <c r="E26" i="33"/>
  <c r="AC28" i="34"/>
  <c r="AC10" i="34" s="1"/>
  <c r="AA10" i="34"/>
  <c r="E47" i="33"/>
  <c r="AL17" i="32"/>
  <c r="AM17" i="32" s="1"/>
  <c r="AL8" i="30"/>
  <c r="AM8" i="30" s="1"/>
  <c r="AC54" i="34"/>
  <c r="AL44" i="32"/>
  <c r="AM44" i="32" s="1"/>
  <c r="AC43" i="34"/>
  <c r="AC13" i="34" s="1"/>
  <c r="AA13" i="34"/>
  <c r="E41" i="33"/>
  <c r="AL14" i="32"/>
  <c r="AM14" i="32" s="1"/>
  <c r="G57" i="33"/>
  <c r="AL42" i="30"/>
  <c r="AM42" i="30" s="1"/>
  <c r="AL43" i="32"/>
  <c r="AM43" i="32" s="1"/>
  <c r="AF49" i="34"/>
  <c r="G61" i="33"/>
  <c r="AL30" i="32"/>
  <c r="AM30" i="32" s="1"/>
  <c r="AC31" i="34"/>
  <c r="AL20" i="32"/>
  <c r="AM20" i="32" s="1"/>
  <c r="AL4" i="32"/>
  <c r="AM4" i="32" s="1"/>
  <c r="AF31" i="34"/>
  <c r="AF22" i="34"/>
  <c r="AL16" i="32"/>
  <c r="AM16" i="32" s="1"/>
  <c r="AL22" i="32"/>
  <c r="AM22" i="32" s="1"/>
  <c r="AC11" i="34" l="1"/>
  <c r="AA11" i="34"/>
  <c r="AC15" i="34"/>
  <c r="AA12" i="34"/>
  <c r="AA15" i="34"/>
  <c r="AC12" i="34"/>
  <c r="AD14" i="34"/>
  <c r="AF14" i="34"/>
  <c r="AD63" i="34"/>
  <c r="AF63" i="34" s="1"/>
  <c r="AD12" i="34"/>
  <c r="AF12" i="34"/>
  <c r="AF15" i="34"/>
  <c r="F9" i="33"/>
  <c r="F3" i="33" s="1"/>
  <c r="AA9" i="34"/>
  <c r="AD11" i="34"/>
  <c r="AF10" i="34"/>
  <c r="AD10" i="34"/>
  <c r="E13" i="33"/>
  <c r="F13" i="33"/>
  <c r="F6" i="33" s="1"/>
  <c r="F61" i="33"/>
  <c r="F16" i="33" s="1"/>
  <c r="F7" i="33" s="1"/>
  <c r="E34" i="33"/>
  <c r="E11" i="33" s="1"/>
  <c r="E4" i="33" s="1"/>
  <c r="AF11" i="34"/>
  <c r="AD9" i="34"/>
  <c r="AL12" i="32"/>
  <c r="AM12" i="32" s="1"/>
  <c r="AD15" i="34"/>
  <c r="AL32" i="32"/>
  <c r="AM32" i="32" s="1"/>
  <c r="AF48" i="34"/>
  <c r="AF13" i="34" s="1"/>
  <c r="AD13" i="34"/>
  <c r="AA63" i="34"/>
  <c r="AC53" i="34"/>
  <c r="AC14" i="34" s="1"/>
  <c r="AA14" i="34"/>
  <c r="E40" i="33"/>
  <c r="E12" i="33" s="1"/>
  <c r="E5" i="33" s="1"/>
  <c r="AL29" i="32"/>
  <c r="AM29" i="32" s="1"/>
  <c r="AL27" i="32"/>
  <c r="AM27" i="32" s="1"/>
  <c r="AL28" i="32"/>
  <c r="AM28" i="32" s="1"/>
  <c r="G11" i="33"/>
  <c r="G4" i="33" s="1"/>
  <c r="E56" i="33"/>
  <c r="E15" i="33" s="1"/>
  <c r="E28" i="33"/>
  <c r="E10" i="33" s="1"/>
  <c r="G9" i="33"/>
  <c r="G3" i="33" s="1"/>
  <c r="G14" i="33"/>
  <c r="G6" i="33" s="1"/>
  <c r="G16" i="33"/>
  <c r="G7" i="33" s="1"/>
  <c r="E14" i="33"/>
  <c r="F12" i="33"/>
  <c r="F5" i="33" s="1"/>
  <c r="AF9" i="34"/>
  <c r="AC9" i="34"/>
  <c r="AL42" i="32"/>
  <c r="AM42" i="32" s="1"/>
  <c r="AL8" i="32"/>
  <c r="AM8" i="32" s="1"/>
  <c r="AL18" i="32"/>
  <c r="AM18" i="32" s="1"/>
  <c r="E57" i="33"/>
  <c r="AF59" i="34"/>
  <c r="AL25" i="30"/>
  <c r="AM25" i="30" s="1"/>
  <c r="AL19" i="32"/>
  <c r="AM19" i="32" s="1"/>
  <c r="AD16" i="34" l="1"/>
  <c r="AD8" i="34" s="1"/>
  <c r="AF16" i="34"/>
  <c r="AF8" i="34" s="1"/>
  <c r="AD21" i="34"/>
  <c r="E9" i="33"/>
  <c r="E3" i="33" s="1"/>
  <c r="E6" i="33"/>
  <c r="E61" i="33"/>
  <c r="E16" i="33" s="1"/>
  <c r="AC63" i="34"/>
  <c r="AA16" i="34"/>
  <c r="AA8" i="34" s="1"/>
  <c r="AA21" i="34"/>
  <c r="G8" i="33"/>
  <c r="F8" i="33"/>
  <c r="AF21" i="34"/>
  <c r="AL25" i="32"/>
  <c r="AM25" i="32" s="1"/>
  <c r="E8" i="33" l="1"/>
  <c r="E7" i="33"/>
  <c r="AC16" i="34"/>
  <c r="AC8" i="34" s="1"/>
  <c r="AC21" i="34"/>
  <c r="AG59" i="34" l="1"/>
  <c r="AI59" i="34" s="1"/>
  <c r="AG63" i="34"/>
  <c r="AI63" i="34" s="1"/>
  <c r="AG48" i="34"/>
  <c r="AI48" i="34" s="1"/>
  <c r="AG54" i="34"/>
  <c r="AI54" i="34" s="1"/>
  <c r="AG37" i="34"/>
  <c r="AI37" i="34" s="1"/>
  <c r="AG31" i="34"/>
  <c r="AI31" i="34" s="1"/>
  <c r="AG50" i="34"/>
  <c r="AI50" i="34" s="1"/>
  <c r="AG42" i="34"/>
  <c r="AI42" i="34" s="1"/>
  <c r="AG53" i="34"/>
  <c r="AI53" i="34" s="1"/>
  <c r="AG36" i="34"/>
  <c r="AI36" i="34" s="1"/>
  <c r="AG28" i="34"/>
  <c r="AI28" i="34" s="1"/>
  <c r="AG58" i="34"/>
  <c r="AI58" i="34" s="1"/>
  <c r="AG49" i="34"/>
  <c r="AG30" i="34"/>
  <c r="AI30" i="34" s="1"/>
  <c r="AG62" i="34"/>
  <c r="AI62" i="34" s="1"/>
  <c r="AG60" i="34"/>
  <c r="AI60" i="34" s="1"/>
  <c r="AG61" i="34"/>
  <c r="AI61" i="34" s="1"/>
  <c r="AG43" i="34"/>
  <c r="AI43" i="34" s="1"/>
  <c r="AG22" i="34"/>
  <c r="AI22" i="34" s="1"/>
  <c r="AG38" i="34"/>
  <c r="AG39" i="34"/>
  <c r="AI39" i="34" s="1"/>
  <c r="AG41" i="34"/>
  <c r="AI41" i="34" s="1"/>
  <c r="AG40" i="34"/>
  <c r="AI40" i="34" s="1"/>
  <c r="AG25" i="34"/>
  <c r="AI25" i="34" s="1"/>
  <c r="AG33" i="34"/>
  <c r="AI33" i="34" s="1"/>
  <c r="AG26" i="34"/>
  <c r="AI26" i="34" s="1"/>
  <c r="AG29" i="34"/>
  <c r="AI29" i="34" s="1"/>
  <c r="AG23" i="34"/>
  <c r="AG51" i="34"/>
  <c r="AI51" i="34" s="1"/>
  <c r="AG52" i="34"/>
  <c r="AI52" i="34" s="1"/>
  <c r="AG44" i="34"/>
  <c r="AI44" i="34" s="1"/>
  <c r="AG27" i="34"/>
  <c r="AI27" i="34" s="1"/>
  <c r="AG32" i="34"/>
  <c r="AI32" i="34" s="1"/>
  <c r="AG34" i="34"/>
  <c r="AI34" i="34" s="1"/>
  <c r="AG56" i="34"/>
  <c r="AI56" i="34" s="1"/>
  <c r="AG47" i="34"/>
  <c r="AI47" i="34" s="1"/>
  <c r="AG55" i="34"/>
  <c r="AI55" i="34" s="1"/>
  <c r="AG57" i="34"/>
  <c r="AI57" i="34" s="1"/>
  <c r="AG46" i="34"/>
  <c r="AI46" i="34" s="1"/>
  <c r="AG24" i="34"/>
  <c r="AI24" i="34" s="1"/>
  <c r="AG35" i="34"/>
  <c r="AI35" i="34" s="1"/>
  <c r="AG45" i="34"/>
  <c r="AI45" i="34" s="1"/>
  <c r="AI16" i="34" l="1"/>
  <c r="AG12" i="34"/>
  <c r="AI11" i="34"/>
  <c r="AI13" i="34"/>
  <c r="AI15" i="34"/>
  <c r="AG21" i="34"/>
  <c r="AG14" i="34"/>
  <c r="AG15" i="34"/>
  <c r="AI10" i="34"/>
  <c r="AI23" i="34"/>
  <c r="AI38" i="34"/>
  <c r="AI12" i="34" s="1"/>
  <c r="AG11" i="34"/>
  <c r="AG10" i="34"/>
  <c r="AG13" i="34"/>
  <c r="AG16" i="34"/>
  <c r="AG9" i="34"/>
  <c r="AI49" i="34"/>
  <c r="AI14" i="34" s="1"/>
  <c r="AI21" i="34" l="1"/>
  <c r="AG8" i="34"/>
  <c r="AI9" i="34"/>
  <c r="AI8" i="34" s="1"/>
</calcChain>
</file>

<file path=xl/sharedStrings.xml><?xml version="1.0" encoding="utf-8"?>
<sst xmlns="http://schemas.openxmlformats.org/spreadsheetml/2006/main" count="8859" uniqueCount="1482">
  <si>
    <t>클린 재고 관리</t>
    <phoneticPr fontId="1" type="noConversion"/>
  </si>
  <si>
    <t>중고폰 BM 단계별 확장</t>
    <phoneticPr fontId="1" type="noConversion"/>
  </si>
  <si>
    <t>액세서리 유통시장 진출</t>
    <phoneticPr fontId="1" type="noConversion"/>
  </si>
  <si>
    <t>완.전.무.결 KPI 관리체계 가동</t>
    <phoneticPr fontId="1" type="noConversion"/>
  </si>
  <si>
    <t>DB기반 유무선 타켓 영업 강화</t>
    <phoneticPr fontId="1" type="noConversion"/>
  </si>
  <si>
    <t>RPA(지표 자동화) 2.0 추진</t>
    <phoneticPr fontId="1" type="noConversion"/>
  </si>
  <si>
    <t>One Store (On-Offline Mix)</t>
    <phoneticPr fontId="1" type="noConversion"/>
  </si>
  <si>
    <t>유무선 7-UP Expension</t>
    <phoneticPr fontId="1" type="noConversion"/>
  </si>
  <si>
    <t>확판 확성기 "VOLUME 5.6.7"</t>
    <phoneticPr fontId="1" type="noConversion"/>
  </si>
  <si>
    <t>무선 불완전판매 관리체계 보완</t>
  </si>
  <si>
    <t>판매사원 QCI 프로세스 운영</t>
  </si>
  <si>
    <t>판매접점 QCI 프로세스 운영</t>
  </si>
  <si>
    <t>MNS-in(人) 시스템 구축</t>
  </si>
  <si>
    <t>On-line 신입 사관학교</t>
  </si>
  <si>
    <t>1:1 맞춤 학습 My Class</t>
  </si>
  <si>
    <t>FAS 백인제</t>
  </si>
  <si>
    <t>질적 지표 강화</t>
  </si>
  <si>
    <t>협력사 Volume 확대</t>
    <phoneticPr fontId="1" type="noConversion"/>
  </si>
  <si>
    <t>담당자</t>
    <phoneticPr fontId="1" type="noConversion"/>
  </si>
  <si>
    <t>1월</t>
    <phoneticPr fontId="1" type="noConversion"/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</si>
  <si>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</si>
  <si>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</si>
  <si>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</si>
  <si>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</si>
  <si>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</si>
  <si>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</si>
  <si>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</si>
  <si>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</si>
  <si>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</si>
  <si>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</si>
  <si>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</si>
  <si>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 별 목표</t>
    <phoneticPr fontId="1" type="noConversion"/>
  </si>
  <si>
    <t>전략영업강화TF</t>
    <phoneticPr fontId="1" type="noConversion"/>
  </si>
  <si>
    <t>소매
강화팀</t>
    <phoneticPr fontId="1" type="noConversion"/>
  </si>
  <si>
    <t>20년 실적</t>
    <phoneticPr fontId="1" type="noConversion"/>
  </si>
  <si>
    <t>21년 목표</t>
    <phoneticPr fontId="1" type="noConversion"/>
  </si>
  <si>
    <t>-</t>
  </si>
  <si>
    <t>홍영표</t>
    <phoneticPr fontId="1" type="noConversion"/>
  </si>
  <si>
    <t>신석호</t>
    <phoneticPr fontId="1" type="noConversion"/>
  </si>
  <si>
    <t>-</t>
    <phoneticPr fontId="1" type="noConversion"/>
  </si>
  <si>
    <t>현장 주문 운영 역량 향상</t>
    <phoneticPr fontId="1" type="noConversion"/>
  </si>
  <si>
    <t>KT 다이렉트 CAPA 확대</t>
    <phoneticPr fontId="1" type="noConversion"/>
  </si>
  <si>
    <t>이수민</t>
    <phoneticPr fontId="1" type="noConversion"/>
  </si>
  <si>
    <t>장미</t>
    <phoneticPr fontId="1" type="noConversion"/>
  </si>
  <si>
    <t>김영수</t>
    <phoneticPr fontId="1" type="noConversion"/>
  </si>
  <si>
    <t>전홍준</t>
    <phoneticPr fontId="1" type="noConversion"/>
  </si>
  <si>
    <t>김민석</t>
    <phoneticPr fontId="1" type="noConversion"/>
  </si>
  <si>
    <t>IoT 단말 유통 총판 제휴 추진</t>
  </si>
  <si>
    <t>권순욱</t>
    <phoneticPr fontId="1" type="noConversion"/>
  </si>
  <si>
    <t>양화진</t>
    <phoneticPr fontId="1" type="noConversion"/>
  </si>
  <si>
    <t>남기세</t>
    <phoneticPr fontId="1" type="noConversion"/>
  </si>
  <si>
    <t>MVP(M&amp;S Sales Vital Performance) 구축</t>
    <phoneticPr fontId="1" type="noConversion"/>
  </si>
  <si>
    <t>기업영업팀</t>
    <phoneticPr fontId="1" type="noConversion"/>
  </si>
  <si>
    <t>류세종</t>
    <phoneticPr fontId="1" type="noConversion"/>
  </si>
  <si>
    <t>류병재</t>
    <phoneticPr fontId="1" type="noConversion"/>
  </si>
  <si>
    <t>배병모</t>
    <phoneticPr fontId="1" type="noConversion"/>
  </si>
  <si>
    <t>흑자 전환</t>
  </si>
  <si>
    <t>이경호</t>
    <phoneticPr fontId="1" type="noConversion"/>
  </si>
  <si>
    <t>이혜수</t>
    <phoneticPr fontId="1" type="noConversion"/>
  </si>
  <si>
    <t>류세종</t>
  </si>
  <si>
    <t xml:space="preserve">김현지 </t>
  </si>
  <si>
    <t>김지은</t>
  </si>
  <si>
    <t xml:space="preserve">김기태 </t>
  </si>
  <si>
    <t xml:space="preserve">김세현 </t>
  </si>
  <si>
    <t xml:space="preserve">백지은 </t>
  </si>
  <si>
    <t xml:space="preserve">이광호 </t>
  </si>
  <si>
    <t>정병훈</t>
  </si>
  <si>
    <t xml:space="preserve">이철욱 </t>
  </si>
  <si>
    <t xml:space="preserve">정윤석 </t>
  </si>
  <si>
    <t>이환희</t>
  </si>
  <si>
    <t>성장률</t>
    <phoneticPr fontId="1" type="noConversion"/>
  </si>
  <si>
    <t>김세현</t>
    <phoneticPr fontId="1" type="noConversion"/>
  </si>
  <si>
    <t>이철욱</t>
    <phoneticPr fontId="1" type="noConversion"/>
  </si>
  <si>
    <t>전영업담당</t>
    <phoneticPr fontId="1" type="noConversion"/>
  </si>
  <si>
    <t>3%P</t>
    <phoneticPr fontId="1" type="noConversion"/>
  </si>
  <si>
    <t>신규</t>
    <phoneticPr fontId="1" type="noConversion"/>
  </si>
  <si>
    <t>2단계 완료</t>
    <phoneticPr fontId="1" type="noConversion"/>
  </si>
  <si>
    <t>3단계 완료</t>
    <phoneticPr fontId="1" type="noConversion"/>
  </si>
  <si>
    <t>1단계 완료</t>
    <phoneticPr fontId="1" type="noConversion"/>
  </si>
  <si>
    <t>항목도출</t>
    <phoneticPr fontId="1" type="noConversion"/>
  </si>
  <si>
    <t>개발완료</t>
    <phoneticPr fontId="1" type="noConversion"/>
  </si>
  <si>
    <t>MIP(M&amp;S Sales Important Product) 구축</t>
    <phoneticPr fontId="1" type="noConversion"/>
  </si>
  <si>
    <t>개발착수</t>
    <phoneticPr fontId="1" type="noConversion"/>
  </si>
  <si>
    <t>영업품질팀</t>
    <phoneticPr fontId="1" type="noConversion"/>
  </si>
  <si>
    <t>김인식</t>
    <phoneticPr fontId="1" type="noConversion"/>
  </si>
  <si>
    <t>10%축소</t>
    <phoneticPr fontId="1" type="noConversion"/>
  </si>
  <si>
    <t>20%축소</t>
    <phoneticPr fontId="1" type="noConversion"/>
  </si>
  <si>
    <t>30%축소</t>
    <phoneticPr fontId="1" type="noConversion"/>
  </si>
  <si>
    <t>도매강화팀</t>
    <phoneticPr fontId="1" type="noConversion"/>
  </si>
  <si>
    <t>이인기</t>
  </si>
  <si>
    <t>김현철</t>
  </si>
  <si>
    <t>유선 SUM.MIT 활동 생산성 향상</t>
    <phoneticPr fontId="1" type="noConversion"/>
  </si>
  <si>
    <t>노쥬리</t>
    <phoneticPr fontId="1" type="noConversion"/>
  </si>
  <si>
    <t>골목/취약 상권 정복 (I.C.B.M)</t>
    <phoneticPr fontId="1" type="noConversion"/>
  </si>
  <si>
    <t>임태영</t>
    <phoneticPr fontId="1" type="noConversion"/>
  </si>
  <si>
    <t>하이 파이브 2.1 “一當百＂</t>
    <phoneticPr fontId="1" type="noConversion"/>
  </si>
  <si>
    <t>캠페인 활성화_CRM 캠페인</t>
    <phoneticPr fontId="1" type="noConversion"/>
  </si>
  <si>
    <t>김기태</t>
    <phoneticPr fontId="1" type="noConversion"/>
  </si>
  <si>
    <t xml:space="preserve">홍성용 </t>
    <phoneticPr fontId="1" type="noConversion"/>
  </si>
  <si>
    <t>'21년 전사 도전목표 수립</t>
    <phoneticPr fontId="1" type="noConversion"/>
  </si>
  <si>
    <t>구분</t>
  </si>
  <si>
    <t>무선</t>
    <phoneticPr fontId="1" type="noConversion"/>
  </si>
  <si>
    <t>유선</t>
    <phoneticPr fontId="1" type="noConversion"/>
  </si>
  <si>
    <t>순증</t>
  </si>
  <si>
    <t>후불</t>
  </si>
  <si>
    <t>5G</t>
  </si>
  <si>
    <t>무선 신규</t>
  </si>
  <si>
    <t>순신규</t>
  </si>
  <si>
    <t>일반후불</t>
    <phoneticPr fontId="1" type="noConversion"/>
  </si>
  <si>
    <t>중고제외</t>
    <phoneticPr fontId="1" type="noConversion"/>
  </si>
  <si>
    <t>`20년(e)</t>
  </si>
  <si>
    <t>계</t>
    <phoneticPr fontId="1" type="noConversion"/>
  </si>
  <si>
    <t>소매</t>
  </si>
  <si>
    <t>찾아</t>
    <phoneticPr fontId="1" type="noConversion"/>
  </si>
  <si>
    <t>도매</t>
    <phoneticPr fontId="1" type="noConversion"/>
  </si>
  <si>
    <t>온라인</t>
    <phoneticPr fontId="1" type="noConversion"/>
  </si>
  <si>
    <t>B2B</t>
  </si>
  <si>
    <t>Biz</t>
  </si>
  <si>
    <t>기업</t>
  </si>
  <si>
    <t>`21년 도전 목표(안)</t>
  </si>
  <si>
    <t>도매</t>
  </si>
  <si>
    <t>온라인</t>
  </si>
  <si>
    <t>Biz</t>
    <phoneticPr fontId="1" type="noConversion"/>
  </si>
  <si>
    <t>기업</t>
    <phoneticPr fontId="1" type="noConversion"/>
  </si>
  <si>
    <t>증감</t>
    <phoneticPr fontId="1" type="noConversion"/>
  </si>
  <si>
    <t>※ 무선 신규/ 5G는 중고 및 데이터 쉐어링 제외</t>
    <phoneticPr fontId="1" type="noConversion"/>
  </si>
  <si>
    <t>2020. 12. 15</t>
    <phoneticPr fontId="1" type="noConversion"/>
  </si>
  <si>
    <r>
      <t xml:space="preserve">- </t>
    </r>
    <r>
      <rPr>
        <b/>
        <sz val="14"/>
        <color theme="1"/>
        <rFont val="맑은 고딕"/>
        <family val="3"/>
        <charset val="129"/>
        <scheme val="minor"/>
      </rPr>
      <t>목표 설정 기준</t>
    </r>
    <r>
      <rPr>
        <sz val="14"/>
        <color theme="1"/>
        <rFont val="맑은 고딕"/>
        <family val="3"/>
        <charset val="129"/>
        <scheme val="minor"/>
      </rPr>
      <t xml:space="preserve"> : 전년 대비 </t>
    </r>
    <r>
      <rPr>
        <b/>
        <u/>
        <sz val="14"/>
        <color theme="1"/>
        <rFont val="맑은 고딕"/>
        <family val="3"/>
        <charset val="129"/>
        <scheme val="minor"/>
      </rPr>
      <t>15% 성장 목표</t>
    </r>
    <r>
      <rPr>
        <sz val="14"/>
        <color theme="1"/>
        <rFont val="맑은 고딕"/>
        <family val="3"/>
        <charset val="129"/>
        <scheme val="minor"/>
      </rPr>
      <t xml:space="preserve">,  후불 일반 </t>
    </r>
    <r>
      <rPr>
        <b/>
        <u/>
        <sz val="14"/>
        <color theme="1"/>
        <rFont val="맑은 고딕"/>
        <family val="3"/>
        <charset val="129"/>
        <scheme val="minor"/>
      </rPr>
      <t>80만</t>
    </r>
    <r>
      <rPr>
        <sz val="14"/>
        <color theme="1"/>
        <rFont val="맑은 고딕"/>
        <family val="3"/>
        <charset val="129"/>
        <scheme val="minor"/>
      </rPr>
      <t xml:space="preserve">, 중고제외 </t>
    </r>
    <r>
      <rPr>
        <b/>
        <u/>
        <sz val="14"/>
        <color theme="1"/>
        <rFont val="맑은 고딕"/>
        <family val="3"/>
        <charset val="129"/>
        <scheme val="minor"/>
      </rPr>
      <t>75만</t>
    </r>
    <r>
      <rPr>
        <sz val="14"/>
        <color theme="1"/>
        <rFont val="맑은 고딕"/>
        <family val="3"/>
        <charset val="129"/>
        <scheme val="minor"/>
      </rPr>
      <t xml:space="preserve"> / 5G </t>
    </r>
    <r>
      <rPr>
        <b/>
        <u/>
        <sz val="14"/>
        <color theme="1"/>
        <rFont val="맑은 고딕"/>
        <family val="3"/>
        <charset val="129"/>
        <scheme val="minor"/>
      </rPr>
      <t>56만</t>
    </r>
    <r>
      <rPr>
        <sz val="14"/>
        <color theme="1"/>
        <rFont val="맑은 고딕"/>
        <family val="3"/>
        <charset val="129"/>
        <scheme val="minor"/>
      </rPr>
      <t xml:space="preserve">(5G ISS 70%) / 유선 순신규 </t>
    </r>
    <r>
      <rPr>
        <b/>
        <u/>
        <sz val="14"/>
        <color theme="1"/>
        <rFont val="맑은 고딕"/>
        <family val="3"/>
        <charset val="129"/>
        <scheme val="minor"/>
      </rPr>
      <t>12.3만</t>
    </r>
    <r>
      <rPr>
        <sz val="14"/>
        <color theme="1"/>
        <rFont val="맑은 고딕"/>
        <family val="3"/>
        <charset val="129"/>
        <scheme val="minor"/>
      </rPr>
      <t xml:space="preserve">   </t>
    </r>
    <phoneticPr fontId="1" type="noConversion"/>
  </si>
  <si>
    <t xml:space="preserve">※경영계획 후불(중고제외) 69만, 유선 순신규 11.5만 </t>
  </si>
  <si>
    <r>
      <t xml:space="preserve">- </t>
    </r>
    <r>
      <rPr>
        <b/>
        <sz val="14"/>
        <color theme="1"/>
        <rFont val="맑은 고딕"/>
        <family val="3"/>
        <charset val="129"/>
        <scheme val="minor"/>
      </rPr>
      <t>채널 배분 기준</t>
    </r>
    <r>
      <rPr>
        <sz val="14"/>
        <color theme="1"/>
        <rFont val="맑은 고딕"/>
        <family val="3"/>
        <charset val="129"/>
        <scheme val="minor"/>
      </rPr>
      <t xml:space="preserve"> : 최근 2개년 반기별</t>
    </r>
    <r>
      <rPr>
        <b/>
        <u/>
        <sz val="14"/>
        <color theme="1"/>
        <rFont val="맑은 고딕"/>
        <family val="3"/>
        <charset val="129"/>
        <scheme val="minor"/>
      </rPr>
      <t xml:space="preserve"> 4:3:2:1 비중 적용</t>
    </r>
    <phoneticPr fontId="1" type="noConversion"/>
  </si>
  <si>
    <t>단위: 건, 원</t>
    <phoneticPr fontId="1" type="noConversion"/>
  </si>
  <si>
    <t>무선</t>
    <phoneticPr fontId="1" type="noConversion"/>
  </si>
  <si>
    <t>유선</t>
    <phoneticPr fontId="1" type="noConversion"/>
  </si>
  <si>
    <r>
      <t xml:space="preserve">순증
</t>
    </r>
    <r>
      <rPr>
        <b/>
        <sz val="10"/>
        <color rgb="FF000000"/>
        <rFont val="맑은 고딕"/>
        <family val="3"/>
        <charset val="129"/>
        <scheme val="minor"/>
      </rPr>
      <t>(일반후불)</t>
    </r>
    <phoneticPr fontId="1" type="noConversion"/>
  </si>
  <si>
    <t>5G*</t>
    <phoneticPr fontId="1" type="noConversion"/>
  </si>
  <si>
    <t>무선 신규*</t>
    <phoneticPr fontId="1" type="noConversion"/>
  </si>
  <si>
    <t>ARPU</t>
    <phoneticPr fontId="1" type="noConversion"/>
  </si>
  <si>
    <t>약정갱신</t>
    <phoneticPr fontId="1" type="noConversion"/>
  </si>
  <si>
    <t>내부(%)</t>
    <phoneticPr fontId="1" type="noConversion"/>
  </si>
  <si>
    <t>유통 계</t>
    <phoneticPr fontId="1" type="noConversion"/>
  </si>
  <si>
    <t>`21년 도전
목표(안)</t>
    <phoneticPr fontId="1" type="noConversion"/>
  </si>
  <si>
    <t>찾아</t>
    <phoneticPr fontId="1" type="noConversion"/>
  </si>
  <si>
    <t>Biz</t>
    <phoneticPr fontId="1" type="noConversion"/>
  </si>
  <si>
    <t>기업</t>
    <phoneticPr fontId="1" type="noConversion"/>
  </si>
  <si>
    <t>증감</t>
    <phoneticPr fontId="1" type="noConversion"/>
  </si>
  <si>
    <t>계</t>
    <phoneticPr fontId="1" type="noConversion"/>
  </si>
  <si>
    <t>-</t>
    <phoneticPr fontId="1" type="noConversion"/>
  </si>
  <si>
    <t>찾아</t>
    <phoneticPr fontId="1" type="noConversion"/>
  </si>
  <si>
    <t>Biz</t>
    <phoneticPr fontId="1" type="noConversion"/>
  </si>
  <si>
    <t>* 실적 기준 : 무선 신규/ 5G는 중고 및 데이터 쉐어링 제외</t>
    <phoneticPr fontId="1" type="noConversion"/>
  </si>
  <si>
    <t xml:space="preserve">    - Capa : 최근 2개년 반기별 4:3:2:1 비중 적용</t>
    <phoneticPr fontId="1" type="noConversion"/>
  </si>
  <si>
    <t xml:space="preserve">    - 순증 : 신규 15% 상승, 해지 5% 상승 반영 (신규-해지)</t>
    <phoneticPr fontId="1" type="noConversion"/>
  </si>
  <si>
    <t xml:space="preserve">    - 5G : 부문 ISS 목표 동기화(전사 70%) - 소매 80%/ 찾아 36%/ 도매 70%/온라인 70%/ 단, Biz 70%(중고제외) 반영</t>
    <phoneticPr fontId="1" type="noConversion"/>
  </si>
  <si>
    <t>※ 일부 채널별 Balance일부 조정 (전년 대비 감소 이루어지는 채널및 많은 상승이 이루어지는 채널 일부 조정 진행)</t>
    <phoneticPr fontId="1" type="noConversion"/>
  </si>
  <si>
    <t>전사</t>
    <phoneticPr fontId="1" type="noConversion"/>
  </si>
  <si>
    <t>소매</t>
    <phoneticPr fontId="1" type="noConversion"/>
  </si>
  <si>
    <t>찾아가는영업</t>
    <phoneticPr fontId="1" type="noConversion"/>
  </si>
  <si>
    <t>도매</t>
    <phoneticPr fontId="1" type="noConversion"/>
  </si>
  <si>
    <t>온라인</t>
    <phoneticPr fontId="1" type="noConversion"/>
  </si>
  <si>
    <t>Biz</t>
    <phoneticPr fontId="1" type="noConversion"/>
  </si>
  <si>
    <t>기업</t>
    <phoneticPr fontId="1" type="noConversion"/>
  </si>
  <si>
    <t>전사</t>
    <phoneticPr fontId="1" type="noConversion"/>
  </si>
  <si>
    <t>전사</t>
    <phoneticPr fontId="1" type="noConversion"/>
  </si>
  <si>
    <t>소매</t>
    <phoneticPr fontId="1" type="noConversion"/>
  </si>
  <si>
    <t>유선
순신규</t>
    <phoneticPr fontId="1" type="noConversion"/>
  </si>
  <si>
    <t>소매</t>
    <phoneticPr fontId="1" type="noConversion"/>
  </si>
  <si>
    <t>찾아가는영업</t>
    <phoneticPr fontId="1" type="noConversion"/>
  </si>
  <si>
    <t>약정갱신</t>
    <phoneticPr fontId="1" type="noConversion"/>
  </si>
  <si>
    <t>온라인</t>
    <phoneticPr fontId="1" type="noConversion"/>
  </si>
  <si>
    <t>현장&amp;STAFF 정례 미팅</t>
    <phoneticPr fontId="1" type="noConversion"/>
  </si>
  <si>
    <t>효율성 중심의 조직 개편 추진</t>
    <phoneticPr fontId="1" type="noConversion"/>
  </si>
  <si>
    <t>박경은</t>
    <phoneticPr fontId="1" type="noConversion"/>
  </si>
  <si>
    <t>VP 2.0</t>
    <phoneticPr fontId="1" type="noConversion"/>
  </si>
  <si>
    <t>재고 회전일</t>
    <phoneticPr fontId="1" type="noConversion"/>
  </si>
  <si>
    <t>부진재고</t>
    <phoneticPr fontId="1" type="noConversion"/>
  </si>
  <si>
    <t>충당금 금액</t>
    <phoneticPr fontId="1" type="noConversion"/>
  </si>
  <si>
    <t>블루폰 매출</t>
    <phoneticPr fontId="1" type="noConversion"/>
  </si>
  <si>
    <t>ACC 매출</t>
    <phoneticPr fontId="1" type="noConversion"/>
  </si>
  <si>
    <t>경영 KPI</t>
    <phoneticPr fontId="1" type="noConversion"/>
  </si>
  <si>
    <t>동시판매</t>
    <phoneticPr fontId="1" type="noConversion"/>
  </si>
  <si>
    <t>무선</t>
    <phoneticPr fontId="1" type="noConversion"/>
  </si>
  <si>
    <t>유선 순신규</t>
    <phoneticPr fontId="1" type="noConversion"/>
  </si>
  <si>
    <t>손익</t>
    <phoneticPr fontId="1" type="noConversion"/>
  </si>
  <si>
    <t>1G 비중</t>
    <phoneticPr fontId="1" type="noConversion"/>
  </si>
  <si>
    <t>에센스 비중</t>
    <phoneticPr fontId="1" type="noConversion"/>
  </si>
  <si>
    <t>무선 신규</t>
    <phoneticPr fontId="1" type="noConversion"/>
  </si>
  <si>
    <t>수익</t>
    <phoneticPr fontId="1" type="noConversion"/>
  </si>
  <si>
    <t>osms비중</t>
  </si>
  <si>
    <t>확판 세트수</t>
  </si>
  <si>
    <t>후불실적</t>
    <phoneticPr fontId="1" type="noConversion"/>
  </si>
  <si>
    <t>연계판매</t>
    <phoneticPr fontId="1" type="noConversion"/>
  </si>
  <si>
    <t>완전센터 수</t>
    <phoneticPr fontId="1" type="noConversion"/>
  </si>
  <si>
    <t>인당 생산성</t>
    <phoneticPr fontId="1" type="noConversion"/>
  </si>
  <si>
    <t>유무선실적</t>
    <phoneticPr fontId="1" type="noConversion"/>
  </si>
  <si>
    <t>무선실적</t>
    <phoneticPr fontId="1" type="noConversion"/>
  </si>
  <si>
    <t>제휴실적</t>
    <phoneticPr fontId="1" type="noConversion"/>
  </si>
  <si>
    <t>기가비중</t>
    <phoneticPr fontId="1" type="noConversion"/>
  </si>
  <si>
    <t>에신스비중</t>
    <phoneticPr fontId="1" type="noConversion"/>
  </si>
  <si>
    <t>5G</t>
    <phoneticPr fontId="1" type="noConversion"/>
  </si>
  <si>
    <t>IOT실적</t>
    <phoneticPr fontId="1" type="noConversion"/>
  </si>
  <si>
    <t>총판수익</t>
    <phoneticPr fontId="1" type="noConversion"/>
  </si>
  <si>
    <t>단기해지</t>
    <phoneticPr fontId="1" type="noConversion"/>
  </si>
  <si>
    <t>선개통</t>
    <phoneticPr fontId="1" type="noConversion"/>
  </si>
  <si>
    <t>서식지</t>
    <phoneticPr fontId="1" type="noConversion"/>
  </si>
  <si>
    <t>요금제하향</t>
    <phoneticPr fontId="1" type="noConversion"/>
  </si>
  <si>
    <t>시재불부합</t>
    <phoneticPr fontId="1" type="noConversion"/>
  </si>
  <si>
    <t>도매오정산</t>
    <phoneticPr fontId="1" type="noConversion"/>
  </si>
  <si>
    <t>220억</t>
    <phoneticPr fontId="1" type="noConversion"/>
  </si>
  <si>
    <t>2.5억</t>
    <phoneticPr fontId="1" type="noConversion"/>
  </si>
  <si>
    <t>평균</t>
  </si>
  <si>
    <t>평균</t>
    <phoneticPr fontId="1" type="noConversion"/>
  </si>
  <si>
    <t>누적</t>
    <phoneticPr fontId="1" type="noConversion"/>
  </si>
  <si>
    <t>마감</t>
    <phoneticPr fontId="1" type="noConversion"/>
  </si>
  <si>
    <t>불완전비중</t>
    <phoneticPr fontId="1" type="noConversion"/>
  </si>
  <si>
    <t>20% 축소</t>
    <phoneticPr fontId="1" type="noConversion"/>
  </si>
  <si>
    <t>박상우/이준엽</t>
  </si>
  <si>
    <t>박상우/이준엽</t>
    <phoneticPr fontId="1" type="noConversion"/>
  </si>
  <si>
    <t>양영빈/고새봄</t>
  </si>
  <si>
    <t>양영빈/고새봄</t>
    <phoneticPr fontId="1" type="noConversion"/>
  </si>
  <si>
    <t>이준엽/양영빈</t>
    <phoneticPr fontId="1" type="noConversion"/>
  </si>
  <si>
    <t>찾아가는 시재/정산 현장교육</t>
  </si>
  <si>
    <t>김영기/김윤희</t>
  </si>
  <si>
    <t>김영기/김윤희</t>
    <phoneticPr fontId="1" type="noConversion"/>
  </si>
  <si>
    <t>오승익</t>
    <phoneticPr fontId="1" type="noConversion"/>
  </si>
  <si>
    <t>누적</t>
    <phoneticPr fontId="1" type="noConversion"/>
  </si>
  <si>
    <t>80% 육성</t>
    <phoneticPr fontId="1" type="noConversion"/>
  </si>
  <si>
    <t>2배 성장</t>
    <phoneticPr fontId="1" type="noConversion"/>
  </si>
  <si>
    <t>30% 축소</t>
    <phoneticPr fontId="1" type="noConversion"/>
  </si>
  <si>
    <t>95% (39점)</t>
    <phoneticPr fontId="1" type="noConversion"/>
  </si>
  <si>
    <t>관리기준</t>
    <phoneticPr fontId="1" type="noConversion"/>
  </si>
  <si>
    <t>평균</t>
    <phoneticPr fontId="1" type="noConversion"/>
  </si>
  <si>
    <t>평균</t>
    <phoneticPr fontId="1" type="noConversion"/>
  </si>
  <si>
    <t>누적</t>
    <phoneticPr fontId="1" type="noConversion"/>
  </si>
  <si>
    <t>마감</t>
    <phoneticPr fontId="1" type="noConversion"/>
  </si>
  <si>
    <t>누적</t>
    <phoneticPr fontId="1" type="noConversion"/>
  </si>
  <si>
    <t>4개항목 도입</t>
    <phoneticPr fontId="1" type="noConversion"/>
  </si>
  <si>
    <t>유통혁신팀</t>
    <phoneticPr fontId="1" type="noConversion"/>
  </si>
  <si>
    <t>교육훈련팀</t>
    <phoneticPr fontId="1" type="noConversion"/>
  </si>
  <si>
    <t>전략유통팀</t>
    <phoneticPr fontId="1" type="noConversion"/>
  </si>
  <si>
    <t>BIZ영업팀</t>
    <phoneticPr fontId="1" type="noConversion"/>
  </si>
  <si>
    <t>미회신</t>
    <phoneticPr fontId="1" type="noConversion"/>
  </si>
  <si>
    <t>전 채널 ABC 2.0 도약</t>
    <phoneticPr fontId="1" type="noConversion"/>
  </si>
  <si>
    <t>이수민</t>
    <phoneticPr fontId="1" type="noConversion"/>
  </si>
  <si>
    <t>언택트 플랫폼 타켓제휴 확대</t>
    <phoneticPr fontId="1" type="noConversion"/>
  </si>
  <si>
    <t>코칭 상 등급
 점장 비중</t>
    <phoneticPr fontId="1" type="noConversion"/>
  </si>
  <si>
    <t>스페셜 
초이스 비중</t>
    <phoneticPr fontId="1" type="noConversion"/>
  </si>
  <si>
    <t>악성채권 
발생 접점</t>
    <phoneticPr fontId="1" type="noConversion"/>
  </si>
  <si>
    <t>A그룹 
점장 비중</t>
    <phoneticPr fontId="1" type="noConversion"/>
  </si>
  <si>
    <t>A그룹 
신입 비중</t>
    <phoneticPr fontId="1" type="noConversion"/>
  </si>
  <si>
    <t>성장
인력 비중</t>
    <phoneticPr fontId="1" type="noConversion"/>
  </si>
  <si>
    <t>MNP 
부진 비중</t>
    <phoneticPr fontId="1" type="noConversion"/>
  </si>
  <si>
    <t>유무선 
AS 실적</t>
    <phoneticPr fontId="1" type="noConversion"/>
  </si>
  <si>
    <t>액세서리
매출</t>
    <phoneticPr fontId="1" type="noConversion"/>
  </si>
  <si>
    <t>자체 
영업실적</t>
    <phoneticPr fontId="1" type="noConversion"/>
  </si>
  <si>
    <t>유선 
순신규</t>
    <phoneticPr fontId="1" type="noConversion"/>
  </si>
  <si>
    <t>저장소 
항목 수</t>
    <phoneticPr fontId="1" type="noConversion"/>
  </si>
  <si>
    <t>자산화 
자료 수</t>
    <phoneticPr fontId="1" type="noConversion"/>
  </si>
  <si>
    <t>부진AC 이전 / 기존 불완전센터 
공백상권 및 완전센터 전환</t>
    <phoneticPr fontId="1" type="noConversion"/>
  </si>
  <si>
    <t>액세서리 라인업 지속 확장으로
고객 인입 확대</t>
    <phoneticPr fontId="1" type="noConversion"/>
  </si>
  <si>
    <t>M&amp;S만의 차별화 서비스 제공
(CP사/애플DEP)</t>
    <phoneticPr fontId="1" type="noConversion"/>
  </si>
  <si>
    <t>솔루션 영업 확대 추진
(솔루션 영업 2.0)</t>
    <phoneticPr fontId="1" type="noConversion"/>
  </si>
  <si>
    <t xml:space="preserve"> Total 솔루션 영업
(모바일+IT기기)</t>
    <phoneticPr fontId="1" type="noConversion"/>
  </si>
  <si>
    <t>IoT 온라인 서식지 도입
및 외부영업 강화</t>
    <phoneticPr fontId="1" type="noConversion"/>
  </si>
  <si>
    <t>자체 영업기회 활용한 
직접영업 확대</t>
    <phoneticPr fontId="1" type="noConversion"/>
  </si>
  <si>
    <t>치밀한 영업 및 
커뮤니케이션 확대/강화</t>
    <phoneticPr fontId="1" type="noConversion"/>
  </si>
  <si>
    <t>매장 서비스 확대_
당일배송, 1시간배송</t>
    <phoneticPr fontId="1" type="noConversion"/>
  </si>
  <si>
    <t>직영점 근무시간 Align 및 
인력 재배치</t>
    <phoneticPr fontId="1" type="noConversion"/>
  </si>
  <si>
    <t>유선(MIT) 불완전판매 
관리체계 구축</t>
    <phoneticPr fontId="1" type="noConversion"/>
  </si>
  <si>
    <t>특화상권공략 
- 공백상권 침투( 3건 미만점)</t>
    <phoneticPr fontId="1" type="noConversion"/>
  </si>
  <si>
    <t>특화상권공략 
- 독거래 성장 (4건 미만점)</t>
    <phoneticPr fontId="1" type="noConversion"/>
  </si>
  <si>
    <t>N-Store 확장판 운영 
"꿀켐어플"</t>
    <phoneticPr fontId="1" type="noConversion"/>
  </si>
  <si>
    <t>현장 주문 시스템 개선 
및 Pilot 확대</t>
    <phoneticPr fontId="1" type="noConversion"/>
  </si>
  <si>
    <t>임파워먼트 강화 &amp;
 독립채산제 도입</t>
    <phoneticPr fontId="1" type="noConversion"/>
  </si>
  <si>
    <t>직영매장 B2B 
Collaboration 추진</t>
    <phoneticPr fontId="1" type="noConversion"/>
  </si>
  <si>
    <t>영업활성화 판촉 및 
프로모션 확대</t>
    <phoneticPr fontId="1" type="noConversion"/>
  </si>
  <si>
    <t>담당부서</t>
    <phoneticPr fontId="1" type="noConversion"/>
  </si>
  <si>
    <t>21년 중점 추진 계획 진척 현황</t>
    <phoneticPr fontId="1" type="noConversion"/>
  </si>
  <si>
    <t>21년 사업 아이템</t>
    <phoneticPr fontId="1" type="noConversion"/>
  </si>
  <si>
    <t>관리지표</t>
    <phoneticPr fontId="1" type="noConversion"/>
  </si>
  <si>
    <t>자산화 
10개 ↑</t>
    <phoneticPr fontId="1" type="noConversion"/>
  </si>
  <si>
    <t>저장소 
10개 ↑</t>
    <phoneticPr fontId="1" type="noConversion"/>
  </si>
  <si>
    <t>10개 항목
도입</t>
    <phoneticPr fontId="1" type="noConversion"/>
  </si>
  <si>
    <t>목표</t>
  </si>
  <si>
    <t>목표</t>
    <phoneticPr fontId="1" type="noConversion"/>
  </si>
  <si>
    <t>실적</t>
    <phoneticPr fontId="1" type="noConversion"/>
  </si>
  <si>
    <t>달성률</t>
    <phoneticPr fontId="1" type="noConversion"/>
  </si>
  <si>
    <t>사전준비
단계 완료</t>
    <phoneticPr fontId="1" type="noConversion"/>
  </si>
  <si>
    <t>RPA도입 
항목</t>
    <phoneticPr fontId="1" type="noConversion"/>
  </si>
  <si>
    <t>MRA-02 
수익</t>
    <phoneticPr fontId="1" type="noConversion"/>
  </si>
  <si>
    <t>찾아가는
영업팀</t>
    <phoneticPr fontId="1" type="noConversion"/>
  </si>
  <si>
    <t>운영 후불
(중고, OPMD 제외)</t>
    <phoneticPr fontId="1" type="noConversion"/>
  </si>
  <si>
    <t>운영 5G
(중고, OPMD 제외)</t>
    <phoneticPr fontId="1" type="noConversion"/>
  </si>
  <si>
    <t>운영 무선 신규
(중고, OPMD 제외)</t>
    <phoneticPr fontId="1" type="noConversion"/>
  </si>
  <si>
    <t>전사</t>
  </si>
  <si>
    <t>누적</t>
  </si>
  <si>
    <t>찾아가는영업</t>
  </si>
  <si>
    <t>일반 후불
(중고 포함, OPMD 제외)
* kt 운영 기준</t>
    <phoneticPr fontId="1" type="noConversion"/>
  </si>
  <si>
    <t>도매</t>
    <phoneticPr fontId="1" type="noConversion"/>
  </si>
  <si>
    <t>항목</t>
    <phoneticPr fontId="1" type="noConversion"/>
  </si>
  <si>
    <t xml:space="preserve">    - 순증 : 신규 15% 상승, 해지 5% 상승 반영 (신규-해지)</t>
  </si>
  <si>
    <r>
      <t xml:space="preserve">② </t>
    </r>
    <r>
      <rPr>
        <b/>
        <sz val="14"/>
        <color theme="1"/>
        <rFont val="KT서체 Light"/>
        <family val="3"/>
        <charset val="129"/>
      </rPr>
      <t>채널 배분 기준</t>
    </r>
    <r>
      <rPr>
        <sz val="14"/>
        <color theme="1"/>
        <rFont val="KT서체 Light"/>
        <family val="3"/>
        <charset val="129"/>
      </rPr>
      <t xml:space="preserve"> : 최근 2개년 반기별</t>
    </r>
    <r>
      <rPr>
        <b/>
        <u/>
        <sz val="14"/>
        <color theme="1"/>
        <rFont val="KT서체 Light"/>
        <family val="3"/>
        <charset val="129"/>
      </rPr>
      <t xml:space="preserve"> 4:3:2:1 비중 적용</t>
    </r>
    <phoneticPr fontId="1" type="noConversion"/>
  </si>
  <si>
    <t>③ 실적 기준 : 무선 신규/ 5G는 중고 및 데이터 쉐어링 제외</t>
    <phoneticPr fontId="1" type="noConversion"/>
  </si>
  <si>
    <r>
      <t xml:space="preserve">① </t>
    </r>
    <r>
      <rPr>
        <b/>
        <sz val="14"/>
        <color theme="1"/>
        <rFont val="KT서체 Light"/>
        <family val="3"/>
        <charset val="129"/>
      </rPr>
      <t>목표 설정 기준</t>
    </r>
    <r>
      <rPr>
        <sz val="14"/>
        <color theme="1"/>
        <rFont val="KT서체 Light"/>
        <family val="3"/>
        <charset val="129"/>
      </rPr>
      <t xml:space="preserve"> : 전년 대비 </t>
    </r>
    <r>
      <rPr>
        <b/>
        <u/>
        <sz val="14"/>
        <color theme="1"/>
        <rFont val="KT서체 Light"/>
        <family val="3"/>
        <charset val="129"/>
      </rPr>
      <t>15% 성장 목표</t>
    </r>
    <r>
      <rPr>
        <sz val="14"/>
        <color theme="1"/>
        <rFont val="KT서체 Light"/>
        <family val="3"/>
        <charset val="129"/>
      </rPr>
      <t xml:space="preserve">,  일반 후불 </t>
    </r>
    <r>
      <rPr>
        <b/>
        <u/>
        <sz val="14"/>
        <color theme="1"/>
        <rFont val="KT서체 Light"/>
        <family val="3"/>
        <charset val="129"/>
      </rPr>
      <t>80만</t>
    </r>
    <r>
      <rPr>
        <sz val="14"/>
        <color theme="1"/>
        <rFont val="KT서체 Light"/>
        <family val="3"/>
        <charset val="129"/>
      </rPr>
      <t xml:space="preserve">, 운영 후불(중고제외) </t>
    </r>
    <r>
      <rPr>
        <b/>
        <u/>
        <sz val="14"/>
        <color theme="1"/>
        <rFont val="KT서체 Light"/>
        <family val="3"/>
        <charset val="129"/>
      </rPr>
      <t>75만</t>
    </r>
    <r>
      <rPr>
        <sz val="14"/>
        <color theme="1"/>
        <rFont val="KT서체 Light"/>
        <family val="3"/>
        <charset val="129"/>
      </rPr>
      <t xml:space="preserve"> / 5G </t>
    </r>
    <r>
      <rPr>
        <b/>
        <u/>
        <sz val="14"/>
        <color theme="1"/>
        <rFont val="KT서체 Light"/>
        <family val="3"/>
        <charset val="129"/>
      </rPr>
      <t>56만</t>
    </r>
    <r>
      <rPr>
        <sz val="14"/>
        <color theme="1"/>
        <rFont val="KT서체 Light"/>
        <family val="3"/>
        <charset val="129"/>
      </rPr>
      <t xml:space="preserve">(5G ISS 70%) / 유선 순신규 </t>
    </r>
    <r>
      <rPr>
        <b/>
        <u/>
        <sz val="14"/>
        <color theme="1"/>
        <rFont val="KT서체 Light"/>
        <family val="3"/>
        <charset val="129"/>
      </rPr>
      <t>12.3만</t>
    </r>
    <r>
      <rPr>
        <sz val="14"/>
        <color theme="1"/>
        <rFont val="KT서체 Light"/>
        <family val="3"/>
        <charset val="129"/>
      </rPr>
      <t xml:space="preserve">   </t>
    </r>
    <phoneticPr fontId="1" type="noConversion"/>
  </si>
  <si>
    <r>
      <t xml:space="preserve">일반 후불
(중고 포함, OPMD 제외)
</t>
    </r>
    <r>
      <rPr>
        <sz val="12"/>
        <color theme="1"/>
        <rFont val="KT서체 Light"/>
        <family val="3"/>
        <charset val="129"/>
      </rPr>
      <t>* kt 운영 기준</t>
    </r>
    <phoneticPr fontId="1" type="noConversion"/>
  </si>
  <si>
    <r>
      <t xml:space="preserve">운영 후불
(중고, OPMD 제외)
</t>
    </r>
    <r>
      <rPr>
        <sz val="12"/>
        <color theme="1"/>
        <rFont val="KT서체 Light"/>
        <family val="3"/>
        <charset val="129"/>
      </rPr>
      <t>* 내부 운영 기준</t>
    </r>
    <phoneticPr fontId="1" type="noConversion"/>
  </si>
  <si>
    <r>
      <t xml:space="preserve">운영 5G
(중고, OPMD 제외)
</t>
    </r>
    <r>
      <rPr>
        <sz val="12"/>
        <color theme="1"/>
        <rFont val="KT서체 Light"/>
        <family val="3"/>
        <charset val="129"/>
      </rPr>
      <t>* 내부 운영 기준</t>
    </r>
    <phoneticPr fontId="1" type="noConversion"/>
  </si>
  <si>
    <r>
      <t xml:space="preserve">운영 무선 신규
(중고, OPMD 제외)
</t>
    </r>
    <r>
      <rPr>
        <sz val="12"/>
        <color theme="1"/>
        <rFont val="KT서체 Light"/>
        <family val="3"/>
        <charset val="129"/>
      </rPr>
      <t>* 내부 운영 기준</t>
    </r>
    <phoneticPr fontId="1" type="noConversion"/>
  </si>
  <si>
    <r>
      <t xml:space="preserve">    - Capa : </t>
    </r>
    <r>
      <rPr>
        <b/>
        <u/>
        <sz val="14"/>
        <color theme="1"/>
        <rFont val="KT서체 Light"/>
        <family val="3"/>
        <charset val="129"/>
      </rPr>
      <t>최근 2개년 반기별 4:3:2:1 비중 적용</t>
    </r>
    <phoneticPr fontId="1" type="noConversion"/>
  </si>
  <si>
    <r>
      <t xml:space="preserve">21년 채널별 운영목표 기준 </t>
    </r>
    <r>
      <rPr>
        <sz val="18"/>
        <color theme="0"/>
        <rFont val="KT서체 Bold"/>
        <family val="3"/>
        <charset val="129"/>
      </rPr>
      <t>(12/15일 최종 확정 후 채널 공유)</t>
    </r>
    <phoneticPr fontId="1" type="noConversion"/>
  </si>
  <si>
    <t>운영후불</t>
    <phoneticPr fontId="1" type="noConversion"/>
  </si>
  <si>
    <t>구분</t>
    <phoneticPr fontId="1" type="noConversion"/>
  </si>
  <si>
    <t>1월</t>
  </si>
  <si>
    <t>1월</t>
    <phoneticPr fontId="1" type="noConversion"/>
  </si>
  <si>
    <t>유선 순신규</t>
    <phoneticPr fontId="1" type="noConversion"/>
  </si>
  <si>
    <t xml:space="preserve"> 인터넷+TV(biz형 포함) / 순신규</t>
    <phoneticPr fontId="1" type="noConversion"/>
  </si>
  <si>
    <t>(1) 본부별 CAPA</t>
    <phoneticPr fontId="42" type="noConversion"/>
  </si>
  <si>
    <t>M&amp;S
본부</t>
    <phoneticPr fontId="1" type="noConversion"/>
  </si>
  <si>
    <t>6월</t>
    <phoneticPr fontId="1" type="noConversion"/>
  </si>
  <si>
    <t>8월</t>
    <phoneticPr fontId="1" type="noConversion"/>
  </si>
  <si>
    <t>9월</t>
    <phoneticPr fontId="1" type="noConversion"/>
  </si>
  <si>
    <t>10월</t>
    <phoneticPr fontId="1" type="noConversion"/>
  </si>
  <si>
    <t>11월</t>
    <phoneticPr fontId="1" type="noConversion"/>
  </si>
  <si>
    <t>12월</t>
    <phoneticPr fontId="1" type="noConversion"/>
  </si>
  <si>
    <t>7월</t>
    <phoneticPr fontId="1" type="noConversion"/>
  </si>
  <si>
    <t>11월</t>
    <phoneticPr fontId="1" type="noConversion"/>
  </si>
  <si>
    <t>2월</t>
    <phoneticPr fontId="1" type="noConversion"/>
  </si>
  <si>
    <t>3월</t>
    <phoneticPr fontId="1" type="noConversion"/>
  </si>
  <si>
    <t>4월</t>
    <phoneticPr fontId="1" type="noConversion"/>
  </si>
  <si>
    <t>5월</t>
    <phoneticPr fontId="1" type="noConversion"/>
  </si>
  <si>
    <t>6월</t>
    <phoneticPr fontId="1" type="noConversion"/>
  </si>
  <si>
    <t>전사</t>
    <phoneticPr fontId="42" type="noConversion"/>
  </si>
  <si>
    <t>강북</t>
    <phoneticPr fontId="1" type="noConversion"/>
  </si>
  <si>
    <t>강남</t>
    <phoneticPr fontId="1" type="noConversion"/>
  </si>
  <si>
    <t>동부</t>
    <phoneticPr fontId="1" type="noConversion"/>
  </si>
  <si>
    <t>서부</t>
    <phoneticPr fontId="1" type="noConversion"/>
  </si>
  <si>
    <t xml:space="preserve">(2) 지사별 CAPA </t>
    <phoneticPr fontId="42" type="noConversion"/>
  </si>
  <si>
    <t>M&amp;S
지사</t>
    <phoneticPr fontId="1" type="noConversion"/>
  </si>
  <si>
    <t>8월</t>
    <phoneticPr fontId="1" type="noConversion"/>
  </si>
  <si>
    <t>10월</t>
    <phoneticPr fontId="1" type="noConversion"/>
  </si>
  <si>
    <t>6월</t>
    <phoneticPr fontId="1" type="noConversion"/>
  </si>
  <si>
    <t>2월</t>
    <phoneticPr fontId="1" type="noConversion"/>
  </si>
  <si>
    <t>3월</t>
    <phoneticPr fontId="1" type="noConversion"/>
  </si>
  <si>
    <t>7월</t>
    <phoneticPr fontId="1" type="noConversion"/>
  </si>
  <si>
    <t>9월</t>
    <phoneticPr fontId="1" type="noConversion"/>
  </si>
  <si>
    <t>12월</t>
    <phoneticPr fontId="1" type="noConversion"/>
  </si>
  <si>
    <t>전사</t>
    <phoneticPr fontId="1" type="noConversion"/>
  </si>
  <si>
    <t>강북</t>
  </si>
  <si>
    <t>강원</t>
    <phoneticPr fontId="1" type="noConversion"/>
  </si>
  <si>
    <t>강남</t>
  </si>
  <si>
    <t>남부</t>
    <phoneticPr fontId="1" type="noConversion"/>
  </si>
  <si>
    <t>동부</t>
  </si>
  <si>
    <t>부산</t>
    <phoneticPr fontId="1" type="noConversion"/>
  </si>
  <si>
    <t>대구</t>
    <phoneticPr fontId="1" type="noConversion"/>
  </si>
  <si>
    <t>서부</t>
  </si>
  <si>
    <t>충청</t>
    <phoneticPr fontId="1" type="noConversion"/>
  </si>
  <si>
    <t>호남</t>
    <phoneticPr fontId="1" type="noConversion"/>
  </si>
  <si>
    <t>3월</t>
    <phoneticPr fontId="1" type="noConversion"/>
  </si>
  <si>
    <t>강원</t>
  </si>
  <si>
    <t>남부</t>
  </si>
  <si>
    <t>부산</t>
  </si>
  <si>
    <t>대구</t>
  </si>
  <si>
    <t>충청</t>
  </si>
  <si>
    <t>호남</t>
  </si>
  <si>
    <t>전사</t>
    <phoneticPr fontId="42" type="noConversion"/>
  </si>
  <si>
    <t>4월</t>
    <phoneticPr fontId="1" type="noConversion"/>
  </si>
  <si>
    <t>5월</t>
    <phoneticPr fontId="1" type="noConversion"/>
  </si>
  <si>
    <t>YC20134</t>
  </si>
  <si>
    <t>고양</t>
  </si>
  <si>
    <t>YC20113</t>
  </si>
  <si>
    <t>광화문</t>
  </si>
  <si>
    <t>YC20105</t>
  </si>
  <si>
    <t>서대문</t>
  </si>
  <si>
    <t>YC20649</t>
  </si>
  <si>
    <t>중앙</t>
  </si>
  <si>
    <t>YC20108</t>
  </si>
  <si>
    <t>광진</t>
  </si>
  <si>
    <t>강북</t>
    <phoneticPr fontId="1" type="noConversion"/>
  </si>
  <si>
    <t>YC20141</t>
  </si>
  <si>
    <t>구리</t>
  </si>
  <si>
    <t>YC20631</t>
  </si>
  <si>
    <t>노원</t>
  </si>
  <si>
    <t>YC20142</t>
  </si>
  <si>
    <t>의정부</t>
  </si>
  <si>
    <t>YC20115</t>
  </si>
  <si>
    <t>강릉</t>
  </si>
  <si>
    <t>YC20110</t>
  </si>
  <si>
    <t>원주</t>
  </si>
  <si>
    <t>YC20694</t>
  </si>
  <si>
    <t>춘천</t>
  </si>
  <si>
    <t>YC20106</t>
  </si>
  <si>
    <t>YC00038</t>
  </si>
  <si>
    <t>서초</t>
  </si>
  <si>
    <t>YC20117</t>
  </si>
  <si>
    <t>송파</t>
  </si>
  <si>
    <t>강남</t>
    <phoneticPr fontId="1" type="noConversion"/>
  </si>
  <si>
    <t>YC20137</t>
  </si>
  <si>
    <t>화성</t>
    <phoneticPr fontId="51" type="noConversion"/>
  </si>
  <si>
    <t>YC20140</t>
  </si>
  <si>
    <t>분당</t>
    <phoneticPr fontId="1" type="noConversion"/>
  </si>
  <si>
    <t>YC20101</t>
  </si>
  <si>
    <t>수원</t>
  </si>
  <si>
    <t>YC20187</t>
  </si>
  <si>
    <t>용인</t>
  </si>
  <si>
    <t>YC20636</t>
  </si>
  <si>
    <t>평택</t>
  </si>
  <si>
    <t>YC20648</t>
  </si>
  <si>
    <t>강서</t>
  </si>
  <si>
    <t>YC20109</t>
  </si>
  <si>
    <t>구로</t>
  </si>
  <si>
    <t>YC20650</t>
  </si>
  <si>
    <t>동작</t>
  </si>
  <si>
    <t>YC20107</t>
  </si>
  <si>
    <t>안양</t>
  </si>
  <si>
    <t>YC20111</t>
  </si>
  <si>
    <t>부천</t>
  </si>
  <si>
    <t>YC20178</t>
  </si>
  <si>
    <t>서인천</t>
  </si>
  <si>
    <t>YC20195</t>
  </si>
  <si>
    <t>안산</t>
  </si>
  <si>
    <t>YC20104</t>
  </si>
  <si>
    <t>인천</t>
  </si>
  <si>
    <t>YC20204</t>
  </si>
  <si>
    <t>동부산</t>
  </si>
  <si>
    <t>YC20223</t>
  </si>
  <si>
    <t>북부산</t>
  </si>
  <si>
    <t>YC20201</t>
  </si>
  <si>
    <t>서부산</t>
  </si>
  <si>
    <t>YC20221</t>
  </si>
  <si>
    <t>남부산</t>
    <phoneticPr fontId="51" type="noConversion"/>
  </si>
  <si>
    <t>YC20202</t>
  </si>
  <si>
    <t>울산</t>
  </si>
  <si>
    <t>YC00015</t>
  </si>
  <si>
    <t>거제</t>
  </si>
  <si>
    <t>YC20203</t>
  </si>
  <si>
    <t>마산</t>
  </si>
  <si>
    <t>YC20205</t>
  </si>
  <si>
    <t>진주</t>
  </si>
  <si>
    <t>동부</t>
    <phoneticPr fontId="1" type="noConversion"/>
  </si>
  <si>
    <t>YC20206</t>
  </si>
  <si>
    <t>창원</t>
  </si>
  <si>
    <t>YC20304</t>
  </si>
  <si>
    <t>구미</t>
  </si>
  <si>
    <t>YC20301</t>
  </si>
  <si>
    <t>달서</t>
  </si>
  <si>
    <t>YC20312</t>
  </si>
  <si>
    <t>동대구</t>
  </si>
  <si>
    <t>YC20303</t>
  </si>
  <si>
    <t>서대구</t>
  </si>
  <si>
    <t>YC20305</t>
  </si>
  <si>
    <t>안동</t>
  </si>
  <si>
    <t>YC20302</t>
  </si>
  <si>
    <t>포항</t>
  </si>
  <si>
    <t>YC20504</t>
  </si>
  <si>
    <t>논산</t>
  </si>
  <si>
    <t>서부</t>
    <phoneticPr fontId="1" type="noConversion"/>
  </si>
  <si>
    <t>YC20513</t>
  </si>
  <si>
    <t>동대전</t>
  </si>
  <si>
    <t>YC20501</t>
  </si>
  <si>
    <t>서대전</t>
  </si>
  <si>
    <t>YC20510</t>
  </si>
  <si>
    <t>서산</t>
  </si>
  <si>
    <t>YC20502</t>
  </si>
  <si>
    <t>천안</t>
  </si>
  <si>
    <t>YC20503</t>
  </si>
  <si>
    <t>청주</t>
  </si>
  <si>
    <t>YC20506</t>
  </si>
  <si>
    <t>충주</t>
  </si>
  <si>
    <t>YD20001</t>
  </si>
  <si>
    <t>목포</t>
  </si>
  <si>
    <t>YC20428</t>
  </si>
  <si>
    <t>북광주</t>
  </si>
  <si>
    <t>YC20405</t>
  </si>
  <si>
    <t>서광주</t>
  </si>
  <si>
    <t>YC20404</t>
  </si>
  <si>
    <t>순천</t>
  </si>
  <si>
    <t>YC20402</t>
  </si>
  <si>
    <t>익산</t>
  </si>
  <si>
    <t>YC20407</t>
  </si>
  <si>
    <t>전주</t>
  </si>
  <si>
    <t>제주</t>
  </si>
  <si>
    <t>YC20403</t>
  </si>
  <si>
    <t xml:space="preserve">(3) 센터별 CAPA </t>
    <phoneticPr fontId="42" type="noConversion"/>
  </si>
  <si>
    <t>1H</t>
    <phoneticPr fontId="1" type="noConversion"/>
  </si>
  <si>
    <t>2H</t>
    <phoneticPr fontId="1" type="noConversion"/>
  </si>
  <si>
    <t>2H</t>
    <phoneticPr fontId="1" type="noConversion"/>
  </si>
  <si>
    <t>기준
실적</t>
    <phoneticPr fontId="1" type="noConversion"/>
  </si>
  <si>
    <t>비중</t>
    <phoneticPr fontId="1" type="noConversion"/>
  </si>
  <si>
    <t>비중</t>
    <phoneticPr fontId="1" type="noConversion"/>
  </si>
  <si>
    <t>지사내
센터비중</t>
    <phoneticPr fontId="1" type="noConversion"/>
  </si>
  <si>
    <t>호남</t>
    <phoneticPr fontId="1" type="noConversion"/>
  </si>
  <si>
    <t>MIT동시판매</t>
    <phoneticPr fontId="1" type="noConversion"/>
  </si>
  <si>
    <t>M+I+T 동판매 (무선기준) / 11월 재약정 MIT 포함</t>
  </si>
  <si>
    <t>유선 약정갱신</t>
    <phoneticPr fontId="1" type="noConversion"/>
  </si>
  <si>
    <t xml:space="preserve"> 인터넷+TV(biz형 포함) / 약정갱신</t>
    <phoneticPr fontId="1" type="noConversion"/>
  </si>
  <si>
    <t>무선 CAPA (중고제외)</t>
    <phoneticPr fontId="1" type="noConversion"/>
  </si>
  <si>
    <t xml:space="preserve">  중고/PPS/쉐어링/OPMD/IoT K-Code 제외, 2nd 포함</t>
    <phoneticPr fontId="1" type="noConversion"/>
  </si>
  <si>
    <t>5G 모바일</t>
    <phoneticPr fontId="1" type="noConversion"/>
  </si>
  <si>
    <t xml:space="preserve">  중고/PPS/쉐어링/OPMD/K-Code 제외한 5G 모델실적</t>
    <phoneticPr fontId="1" type="noConversion"/>
  </si>
  <si>
    <t>010+MNP 신규</t>
    <phoneticPr fontId="1" type="noConversion"/>
  </si>
  <si>
    <t xml:space="preserve">  중고/PPS/쉐어링/OPMD/K-Code/2nd 제외한 모바일</t>
    <phoneticPr fontId="1" type="noConversion"/>
  </si>
  <si>
    <t>무선 CAPA (중고포함)</t>
    <phoneticPr fontId="1" type="noConversion"/>
  </si>
  <si>
    <t xml:space="preserve">  PPS/쉐어링/OPMD/IoT K-Code 제외, 중고/2nd 포함</t>
    <phoneticPr fontId="1" type="noConversion"/>
  </si>
  <si>
    <t>총합계</t>
    <phoneticPr fontId="1" type="noConversion"/>
  </si>
  <si>
    <t>무선 실적점</t>
    <phoneticPr fontId="1" type="noConversion"/>
  </si>
  <si>
    <t xml:space="preserve">  중고/PPS/쉐어링/OPMD/IoT K-Code 제외, 2nd 포함</t>
    <phoneticPr fontId="1" type="noConversion"/>
  </si>
  <si>
    <t>유효점</t>
    <phoneticPr fontId="1" type="noConversion"/>
  </si>
  <si>
    <t xml:space="preserve">  중고/PPS/쉐어링/OPMD/IoT K-Code 제외한 10건이상 실적 발생점</t>
    <phoneticPr fontId="1" type="noConversion"/>
  </si>
  <si>
    <t>신규점</t>
    <phoneticPr fontId="1" type="noConversion"/>
  </si>
  <si>
    <t xml:space="preserve"> 신규점 출점</t>
    <phoneticPr fontId="1" type="noConversion"/>
  </si>
  <si>
    <t>유선 총 CAPA 실적점</t>
    <phoneticPr fontId="1" type="noConversion"/>
  </si>
  <si>
    <t xml:space="preserve"> 인터넷+TV(biz형 포함) / 순신규 + 약정갱신 + 재가입</t>
    <phoneticPr fontId="1" type="noConversion"/>
  </si>
  <si>
    <t>동시판매 MIT 실적점</t>
    <phoneticPr fontId="1" type="noConversion"/>
  </si>
  <si>
    <t xml:space="preserve"> 동시판매MIT 발생접점 수</t>
    <phoneticPr fontId="1" type="noConversion"/>
  </si>
  <si>
    <t>■ '21년 도매채널 유무선/인프라 운영 목표</t>
    <phoneticPr fontId="1" type="noConversion"/>
  </si>
  <si>
    <t>센터명</t>
    <phoneticPr fontId="1" type="noConversion"/>
  </si>
  <si>
    <t>센터코드</t>
    <phoneticPr fontId="1" type="noConversion"/>
  </si>
  <si>
    <t>지사</t>
    <phoneticPr fontId="1" type="noConversion"/>
  </si>
  <si>
    <t>구분</t>
    <phoneticPr fontId="1" type="noConversion"/>
  </si>
  <si>
    <t>목표비중</t>
    <phoneticPr fontId="1" type="noConversion"/>
  </si>
  <si>
    <t>예약목표</t>
    <phoneticPr fontId="1" type="noConversion"/>
  </si>
  <si>
    <t>개통목표</t>
    <phoneticPr fontId="1" type="noConversion"/>
  </si>
  <si>
    <t>S21 사전
판촉예산(원)</t>
    <phoneticPr fontId="1" type="noConversion"/>
  </si>
  <si>
    <t>No</t>
  </si>
  <si>
    <t>본부ID</t>
  </si>
  <si>
    <t>본부명</t>
  </si>
  <si>
    <t>지사ID</t>
  </si>
  <si>
    <t>지사명</t>
  </si>
  <si>
    <t>점ID</t>
  </si>
  <si>
    <t>점명</t>
  </si>
  <si>
    <t>목표유형</t>
  </si>
  <si>
    <t>실적유형</t>
  </si>
  <si>
    <t>계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</si>
  <si>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</si>
  <si>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</si>
  <si>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</si>
  <si>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</si>
  <si>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</si>
  <si>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</si>
  <si>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</si>
  <si>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</si>
  <si>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</si>
  <si>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</si>
  <si>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</si>
  <si>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</si>
  <si>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</si>
  <si>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</si>
  <si>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</si>
  <si>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</si>
  <si>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</si>
  <si>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</si>
  <si>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</si>
  <si>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</si>
  <si>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</si>
  <si>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</si>
  <si>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</si>
  <si>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</si>
  <si>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</si>
  <si>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</si>
  <si>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</si>
  <si>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</si>
  <si>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</si>
  <si>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</si>
  <si>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</si>
  <si>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금</t>
  </si>
  <si>
    <t>토</t>
  </si>
  <si>
    <t>일</t>
  </si>
  <si>
    <t>월</t>
  </si>
  <si>
    <t>화</t>
  </si>
  <si>
    <t>수</t>
  </si>
  <si>
    <t>목</t>
  </si>
  <si>
    <t>MNS2000</t>
  </si>
  <si>
    <t>강북영업본부</t>
  </si>
  <si>
    <t>MNS2330</t>
  </si>
  <si>
    <t>M&amp;S서대문도매센터</t>
  </si>
  <si>
    <t>M&amp;S광진도매센터</t>
  </si>
  <si>
    <t>M&amp;S광화문도매센터</t>
  </si>
  <si>
    <t>M&amp;S고양도매센터</t>
  </si>
  <si>
    <t>M&amp;S구리도매센터</t>
  </si>
  <si>
    <t>M&amp;S의정부도매센터</t>
  </si>
  <si>
    <t>M&amp;S노원도매센터</t>
  </si>
  <si>
    <t>M&amp;S중앙도매센터</t>
  </si>
  <si>
    <t>MNS2530</t>
  </si>
  <si>
    <t>M&amp;S원주도매센터</t>
  </si>
  <si>
    <t>M&amp;S강릉도매센터</t>
  </si>
  <si>
    <t>M&amp;S춘천도매센터</t>
  </si>
  <si>
    <t>MNS4000</t>
  </si>
  <si>
    <t>강남영업본부</t>
  </si>
  <si>
    <t>MNS4330</t>
  </si>
  <si>
    <t>M&amp;S서초도매센터</t>
  </si>
  <si>
    <t>M&amp;S수원도매센터</t>
  </si>
  <si>
    <t>M&amp;S강남도매센터</t>
  </si>
  <si>
    <t>M&amp;S송파도매센터</t>
  </si>
  <si>
    <t>M&amp;S화성도매센터</t>
  </si>
  <si>
    <t>M&amp;S분당도매센터</t>
  </si>
  <si>
    <t>M&amp;S용인도매센터</t>
  </si>
  <si>
    <t>M&amp;S평택도매센터</t>
  </si>
  <si>
    <t>MNS4530</t>
  </si>
  <si>
    <t>M&amp;S인천도매센터</t>
  </si>
  <si>
    <t>M&amp;S안양도매센터</t>
  </si>
  <si>
    <t>M&amp;S구로도매센터</t>
  </si>
  <si>
    <t>M&amp;S부천도매센터</t>
  </si>
  <si>
    <t>M&amp;S서인천도매센터</t>
  </si>
  <si>
    <t>M&amp;S안산도매센터</t>
  </si>
  <si>
    <t>M&amp;S 강서도매센터</t>
  </si>
  <si>
    <t>M&amp;S동작도매센터</t>
  </si>
  <si>
    <t>MNS5000</t>
  </si>
  <si>
    <t>서부영업본부</t>
  </si>
  <si>
    <t>MNS5230</t>
  </si>
  <si>
    <t>M&amp;S익산도매센터</t>
  </si>
  <si>
    <t>M&amp;S제주도매센터</t>
  </si>
  <si>
    <t>M&amp;S순천도매센터</t>
  </si>
  <si>
    <t>M&amp;S서광주도매센터</t>
  </si>
  <si>
    <t>M&amp;S전주도매센터</t>
  </si>
  <si>
    <t>M&amp;S북광주도매센터</t>
  </si>
  <si>
    <t>M&amp;S목포도매센터</t>
  </si>
  <si>
    <t>MNS5330</t>
  </si>
  <si>
    <t>M&amp;S서대전도매센터</t>
  </si>
  <si>
    <t>M&amp;S천안도매센터</t>
  </si>
  <si>
    <t>M&amp;S청주도매센터</t>
  </si>
  <si>
    <t>M&amp;S논산도매센터</t>
  </si>
  <si>
    <t>M&amp;S충주도매센터</t>
  </si>
  <si>
    <t>M&amp;S서산도매센터</t>
  </si>
  <si>
    <t>M&amp;S동대전도매센터</t>
  </si>
  <si>
    <t>MNS7000</t>
  </si>
  <si>
    <t>동부영업본부</t>
  </si>
  <si>
    <t>MNS7330</t>
  </si>
  <si>
    <t>M&amp;S거제도매센터</t>
  </si>
  <si>
    <t>M&amp;S서부산도매센터</t>
  </si>
  <si>
    <t>M&amp;S울산도매센터</t>
  </si>
  <si>
    <t>M&amp;S마산도매센터</t>
  </si>
  <si>
    <t>M&amp;S동부산도매센터</t>
  </si>
  <si>
    <t>M&amp;S진주도매센터</t>
  </si>
  <si>
    <t>M&amp;S창원도매센터</t>
  </si>
  <si>
    <t>M&amp;S남부산도매센터</t>
  </si>
  <si>
    <t>M&amp;S북부산도매센터</t>
  </si>
  <si>
    <t>MNS7430</t>
  </si>
  <si>
    <t>M&amp;S달서도매센터</t>
  </si>
  <si>
    <t>M&amp;S포항도매센터</t>
  </si>
  <si>
    <t>M&amp;S서대구도매센터</t>
  </si>
  <si>
    <t>M&amp;S구미도매센터</t>
  </si>
  <si>
    <t>M&amp;S안동도매센터</t>
  </si>
  <si>
    <t>M&amp;S동대구도매센터</t>
  </si>
  <si>
    <t>조직</t>
  </si>
  <si>
    <t>조직ID</t>
  </si>
  <si>
    <t>합계</t>
  </si>
  <si>
    <t>강북도매지사</t>
  </si>
  <si>
    <t>강원도매지점</t>
  </si>
  <si>
    <t>남부도매지사</t>
  </si>
  <si>
    <t>서부도매지사</t>
  </si>
  <si>
    <t>호남도매지사</t>
  </si>
  <si>
    <t>충청도매지사</t>
  </si>
  <si>
    <t>부산도매지사</t>
  </si>
  <si>
    <t>대구도매지사</t>
  </si>
  <si>
    <t>일자별 합</t>
    <phoneticPr fontId="1" type="noConversion"/>
  </si>
  <si>
    <t>검증</t>
    <phoneticPr fontId="1" type="noConversion"/>
  </si>
  <si>
    <t>5G</t>
    <phoneticPr fontId="1" type="noConversion"/>
  </si>
  <si>
    <t>합계</t>
    <phoneticPr fontId="1" type="noConversion"/>
  </si>
  <si>
    <t xml:space="preserve">■ 유무선 이익목표 </t>
    <phoneticPr fontId="1" type="noConversion"/>
  </si>
  <si>
    <t>■ 지사 목표 검증</t>
    <phoneticPr fontId="1" type="noConversion"/>
  </si>
  <si>
    <t>사번</t>
  </si>
  <si>
    <t>성명</t>
  </si>
  <si>
    <t>직책</t>
  </si>
  <si>
    <t>코드</t>
    <phoneticPr fontId="1" type="noConversion"/>
  </si>
  <si>
    <t>센터</t>
    <phoneticPr fontId="1" type="noConversion"/>
  </si>
  <si>
    <t>지사</t>
    <phoneticPr fontId="1" type="noConversion"/>
  </si>
  <si>
    <t>목표</t>
    <phoneticPr fontId="1" type="noConversion"/>
  </si>
  <si>
    <t>입력값</t>
    <phoneticPr fontId="1" type="noConversion"/>
  </si>
  <si>
    <t>GAP</t>
    <phoneticPr fontId="1" type="noConversion"/>
  </si>
  <si>
    <t>GAP</t>
    <phoneticPr fontId="1" type="noConversion"/>
  </si>
  <si>
    <t>■ 센터 목표 검증</t>
    <phoneticPr fontId="1" type="noConversion"/>
  </si>
  <si>
    <t>코드</t>
    <phoneticPr fontId="1" type="noConversion"/>
  </si>
  <si>
    <t>분당</t>
  </si>
  <si>
    <t>개통실장</t>
  </si>
  <si>
    <t>입력 목표 검증 (수식임)</t>
    <phoneticPr fontId="1" type="noConversion"/>
  </si>
  <si>
    <t>무선 이익</t>
    <phoneticPr fontId="1" type="noConversion"/>
  </si>
  <si>
    <t>1. 무선 이익목표</t>
    <phoneticPr fontId="1" type="noConversion"/>
  </si>
  <si>
    <t>로직</t>
    <phoneticPr fontId="1" type="noConversion"/>
  </si>
  <si>
    <t>2. 유선 이익목표</t>
    <phoneticPr fontId="1" type="noConversion"/>
  </si>
  <si>
    <t>후불목표 * 40,000원 * 2% * 5.5(개월)</t>
    <phoneticPr fontId="1" type="noConversion"/>
  </si>
  <si>
    <t>산출식</t>
    <phoneticPr fontId="1" type="noConversion"/>
  </si>
  <si>
    <t>▼개인별 목표 입력하는 곳▼</t>
    <phoneticPr fontId="1" type="noConversion"/>
  </si>
  <si>
    <t>광주</t>
  </si>
  <si>
    <t>전북</t>
  </si>
  <si>
    <t>충북</t>
  </si>
  <si>
    <t>개통매니저</t>
  </si>
  <si>
    <t>도매센터장</t>
  </si>
  <si>
    <t>부센터장</t>
  </si>
  <si>
    <t>영업매니저</t>
  </si>
  <si>
    <t>총합계</t>
  </si>
  <si>
    <t>서대문도매센터</t>
  </si>
  <si>
    <t>충북도매센터</t>
  </si>
  <si>
    <t>센터장+부센터장+영업M</t>
    <phoneticPr fontId="1" type="noConversion"/>
  </si>
  <si>
    <t>광주도매센터</t>
  </si>
  <si>
    <r>
      <t xml:space="preserve">(센터장 제외, </t>
    </r>
    <r>
      <rPr>
        <b/>
        <sz val="36"/>
        <color rgb="FF0000FF"/>
        <rFont val="맑은 고딕"/>
        <family val="3"/>
        <charset val="129"/>
        <scheme val="minor"/>
      </rPr>
      <t>부센터장,인턴 포함</t>
    </r>
    <r>
      <rPr>
        <b/>
        <sz val="36"/>
        <color rgb="FFFF0000"/>
        <rFont val="맑은 고딕"/>
        <family val="3"/>
        <charset val="129"/>
        <scheme val="minor"/>
      </rPr>
      <t>)</t>
    </r>
    <phoneticPr fontId="1" type="noConversion"/>
  </si>
  <si>
    <t>1188217</t>
  </si>
  <si>
    <t>김세미</t>
  </si>
  <si>
    <t>1198057</t>
  </si>
  <si>
    <t>김명현</t>
  </si>
  <si>
    <t>1088542</t>
  </si>
  <si>
    <t>조대형</t>
  </si>
  <si>
    <t>1178418</t>
  </si>
  <si>
    <t>권선화</t>
  </si>
  <si>
    <t>1118304</t>
  </si>
  <si>
    <t>이정미</t>
  </si>
  <si>
    <t>1198210</t>
  </si>
  <si>
    <t>김규호</t>
  </si>
  <si>
    <t>1208433</t>
  </si>
  <si>
    <t>김하늘</t>
  </si>
  <si>
    <t>1148126</t>
  </si>
  <si>
    <t>구은지</t>
  </si>
  <si>
    <t>1168164</t>
  </si>
  <si>
    <t>남예슬</t>
  </si>
  <si>
    <t>1178083</t>
  </si>
  <si>
    <t>박경일</t>
  </si>
  <si>
    <t>1178405</t>
  </si>
  <si>
    <t>김형록</t>
  </si>
  <si>
    <t>1138693</t>
  </si>
  <si>
    <t>박남두</t>
  </si>
  <si>
    <t>1218073</t>
  </si>
  <si>
    <t>이세훈</t>
  </si>
  <si>
    <t>1178502</t>
  </si>
  <si>
    <t>유소연</t>
  </si>
  <si>
    <t>1138768</t>
  </si>
  <si>
    <t>이소라</t>
  </si>
  <si>
    <t>1138642</t>
  </si>
  <si>
    <t>조선나</t>
  </si>
  <si>
    <t>1178624</t>
  </si>
  <si>
    <t>이용승</t>
  </si>
  <si>
    <t>1218359</t>
  </si>
  <si>
    <t>김한솔</t>
  </si>
  <si>
    <t>1228185</t>
  </si>
  <si>
    <t>손세빈</t>
  </si>
  <si>
    <t>1168083</t>
  </si>
  <si>
    <t>백경호</t>
  </si>
  <si>
    <t>1178105</t>
  </si>
  <si>
    <t>최호연</t>
  </si>
  <si>
    <t>1198130</t>
  </si>
  <si>
    <t>유승준</t>
  </si>
  <si>
    <t>1218474</t>
  </si>
  <si>
    <t>허만석</t>
  </si>
  <si>
    <t>1118788</t>
  </si>
  <si>
    <t>김영란</t>
  </si>
  <si>
    <t>1138635</t>
  </si>
  <si>
    <t>안지은</t>
  </si>
  <si>
    <t>1118416</t>
  </si>
  <si>
    <t>이규성</t>
  </si>
  <si>
    <t>1238081</t>
  </si>
  <si>
    <t>최수정</t>
  </si>
  <si>
    <t>1128099</t>
  </si>
  <si>
    <t>최민주</t>
  </si>
  <si>
    <t>1119237</t>
  </si>
  <si>
    <t>김세원</t>
  </si>
  <si>
    <t>1168211</t>
  </si>
  <si>
    <t>윤경식</t>
  </si>
  <si>
    <t>1208432</t>
  </si>
  <si>
    <t>김규민</t>
  </si>
  <si>
    <t>1218092</t>
  </si>
  <si>
    <t>박현수</t>
  </si>
  <si>
    <t>1128592</t>
  </si>
  <si>
    <t>안경희</t>
  </si>
  <si>
    <t>1128169</t>
  </si>
  <si>
    <t>정윤진</t>
  </si>
  <si>
    <t>1198343</t>
  </si>
  <si>
    <t>김경환</t>
  </si>
  <si>
    <t>1218416</t>
  </si>
  <si>
    <t>정여진</t>
  </si>
  <si>
    <t>1238094</t>
  </si>
  <si>
    <t>이인훈</t>
  </si>
  <si>
    <t>1208375</t>
  </si>
  <si>
    <t>정수현</t>
  </si>
  <si>
    <t>1198253</t>
  </si>
  <si>
    <t>홍준기</t>
  </si>
  <si>
    <t>1198015</t>
  </si>
  <si>
    <t>서정원</t>
  </si>
  <si>
    <t>1218222</t>
  </si>
  <si>
    <t>문지훈</t>
  </si>
  <si>
    <t>1178033</t>
  </si>
  <si>
    <t>김명애</t>
  </si>
  <si>
    <t>1228361</t>
  </si>
  <si>
    <t>김바램</t>
  </si>
  <si>
    <t>1218475</t>
  </si>
  <si>
    <t>인기돈</t>
  </si>
  <si>
    <t>1218223</t>
  </si>
  <si>
    <t>윤별하</t>
  </si>
  <si>
    <t>1148944</t>
  </si>
  <si>
    <t>박소라</t>
  </si>
  <si>
    <t>1148010</t>
  </si>
  <si>
    <t>신성호</t>
  </si>
  <si>
    <t>1178003</t>
  </si>
  <si>
    <t>최정민</t>
  </si>
  <si>
    <t>1218393</t>
  </si>
  <si>
    <t>최윤경</t>
  </si>
  <si>
    <t>1088787</t>
  </si>
  <si>
    <t>김희연</t>
  </si>
  <si>
    <t>1148845</t>
  </si>
  <si>
    <t>박은성</t>
  </si>
  <si>
    <t>1188177</t>
  </si>
  <si>
    <t>권용민</t>
  </si>
  <si>
    <t>1188309</t>
  </si>
  <si>
    <t>진연미</t>
  </si>
  <si>
    <t>1098864</t>
  </si>
  <si>
    <t>김우진</t>
  </si>
  <si>
    <t>1218262</t>
  </si>
  <si>
    <t>김휘율</t>
  </si>
  <si>
    <t>1218286</t>
  </si>
  <si>
    <t>이대현</t>
  </si>
  <si>
    <t>1198200</t>
  </si>
  <si>
    <t>오예림</t>
  </si>
  <si>
    <t>1138501</t>
  </si>
  <si>
    <t>문아름</t>
  </si>
  <si>
    <t>1108020</t>
  </si>
  <si>
    <t>권지훈</t>
  </si>
  <si>
    <t>1188658</t>
  </si>
  <si>
    <t>이수민</t>
  </si>
  <si>
    <t>1238074</t>
  </si>
  <si>
    <t>박성준</t>
  </si>
  <si>
    <t>1138550</t>
  </si>
  <si>
    <t>이예슬</t>
  </si>
  <si>
    <t>1138765</t>
  </si>
  <si>
    <t>정승환</t>
  </si>
  <si>
    <t>1198113</t>
  </si>
  <si>
    <t>이충만</t>
  </si>
  <si>
    <t>1198577</t>
  </si>
  <si>
    <t>박경묵</t>
  </si>
  <si>
    <t>1198560</t>
  </si>
  <si>
    <t>강미진</t>
  </si>
  <si>
    <t>1208556</t>
  </si>
  <si>
    <t>김이슬</t>
  </si>
  <si>
    <t>김정은</t>
  </si>
  <si>
    <t>1149380</t>
  </si>
  <si>
    <t>김성엽</t>
  </si>
  <si>
    <t>1159070</t>
  </si>
  <si>
    <t>엄명식</t>
  </si>
  <si>
    <t>1208156</t>
  </si>
  <si>
    <t>김원영</t>
  </si>
  <si>
    <t>1188623</t>
  </si>
  <si>
    <t>오윤미</t>
  </si>
  <si>
    <t>1148111</t>
  </si>
  <si>
    <t>윤은희</t>
  </si>
  <si>
    <t>1118563</t>
  </si>
  <si>
    <t>정은희</t>
  </si>
  <si>
    <t>1158352</t>
  </si>
  <si>
    <t>김경진</t>
  </si>
  <si>
    <t>1118255</t>
  </si>
  <si>
    <t>한종석</t>
  </si>
  <si>
    <t>1198626</t>
  </si>
  <si>
    <t>박성우</t>
  </si>
  <si>
    <t>1118387</t>
  </si>
  <si>
    <t>송현호</t>
  </si>
  <si>
    <t>1078115</t>
  </si>
  <si>
    <t>안기영</t>
  </si>
  <si>
    <t>1178562</t>
  </si>
  <si>
    <t>이종진</t>
  </si>
  <si>
    <t>1178354</t>
  </si>
  <si>
    <t>배운이</t>
  </si>
  <si>
    <t>1149489</t>
  </si>
  <si>
    <t>김병탁</t>
  </si>
  <si>
    <t>1198091</t>
  </si>
  <si>
    <t>황지훈</t>
  </si>
  <si>
    <t>1218125</t>
  </si>
  <si>
    <t>곽성민</t>
  </si>
  <si>
    <t>1198164</t>
  </si>
  <si>
    <t>이성대</t>
  </si>
  <si>
    <t>1218316</t>
  </si>
  <si>
    <t>김나경</t>
  </si>
  <si>
    <t>1218476</t>
  </si>
  <si>
    <t>이정주</t>
  </si>
  <si>
    <t>1158704</t>
  </si>
  <si>
    <t>김나은</t>
  </si>
  <si>
    <t>1138298</t>
  </si>
  <si>
    <t>이채영</t>
  </si>
  <si>
    <t>1148782</t>
  </si>
  <si>
    <t>박휘원</t>
  </si>
  <si>
    <t>1228249</t>
  </si>
  <si>
    <t>박주영</t>
  </si>
  <si>
    <t>1218421</t>
  </si>
  <si>
    <t>이준호</t>
  </si>
  <si>
    <t>1098825</t>
  </si>
  <si>
    <t>김명리</t>
  </si>
  <si>
    <t>1198061</t>
  </si>
  <si>
    <t>류지혜</t>
  </si>
  <si>
    <t>1188682</t>
  </si>
  <si>
    <t>박수경</t>
  </si>
  <si>
    <t>1098771</t>
  </si>
  <si>
    <t>권아은</t>
  </si>
  <si>
    <t>1128718</t>
  </si>
  <si>
    <t>맹상영</t>
  </si>
  <si>
    <t>1138576</t>
  </si>
  <si>
    <t>박현룡</t>
  </si>
  <si>
    <t>1119274</t>
  </si>
  <si>
    <t>김수미</t>
  </si>
  <si>
    <t>1118254</t>
  </si>
  <si>
    <t>이기형</t>
  </si>
  <si>
    <t>1208402</t>
  </si>
  <si>
    <t>권은지</t>
  </si>
  <si>
    <t>1228340</t>
  </si>
  <si>
    <t>권혜영</t>
  </si>
  <si>
    <t>1148557</t>
  </si>
  <si>
    <t>최다영</t>
  </si>
  <si>
    <t>1168250</t>
  </si>
  <si>
    <t>노지선</t>
  </si>
  <si>
    <t>1149076</t>
  </si>
  <si>
    <t>탁근영</t>
  </si>
  <si>
    <t>1218512</t>
  </si>
  <si>
    <t>조유진</t>
  </si>
  <si>
    <t>1208652</t>
  </si>
  <si>
    <t>주언영</t>
  </si>
  <si>
    <t>1138107</t>
  </si>
  <si>
    <t>박보람</t>
  </si>
  <si>
    <t>1218541</t>
  </si>
  <si>
    <t>윤성빈</t>
  </si>
  <si>
    <t>1228342</t>
  </si>
  <si>
    <t>김광웅</t>
  </si>
  <si>
    <t>1158603</t>
  </si>
  <si>
    <t>김재헌</t>
  </si>
  <si>
    <t>1228119</t>
  </si>
  <si>
    <t>최창훈</t>
  </si>
  <si>
    <t>1218364</t>
  </si>
  <si>
    <t>김여진</t>
  </si>
  <si>
    <t>1218542</t>
  </si>
  <si>
    <t>조예슬</t>
  </si>
  <si>
    <t>1159489</t>
  </si>
  <si>
    <t>강현주</t>
  </si>
  <si>
    <t>1198192</t>
  </si>
  <si>
    <t>최준혁</t>
  </si>
  <si>
    <t>1228279</t>
  </si>
  <si>
    <t>변재인</t>
  </si>
  <si>
    <t>1159080</t>
  </si>
  <si>
    <t>원차돌</t>
  </si>
  <si>
    <t>1208572</t>
  </si>
  <si>
    <t>한송이</t>
  </si>
  <si>
    <t>1138380</t>
  </si>
  <si>
    <t>정해성</t>
  </si>
  <si>
    <t>1228539</t>
  </si>
  <si>
    <t>이우성</t>
  </si>
  <si>
    <t>1228393</t>
  </si>
  <si>
    <t>장철민</t>
  </si>
  <si>
    <t>1228551</t>
  </si>
  <si>
    <t>이한별</t>
  </si>
  <si>
    <t>1208651</t>
  </si>
  <si>
    <t>조아란</t>
  </si>
  <si>
    <t>1148705</t>
  </si>
  <si>
    <t>이민희</t>
  </si>
  <si>
    <t>1088520</t>
  </si>
  <si>
    <t>장래훈</t>
  </si>
  <si>
    <t>1108502</t>
  </si>
  <si>
    <t>이재걸</t>
  </si>
  <si>
    <t>1218293</t>
  </si>
  <si>
    <t>정규석</t>
  </si>
  <si>
    <t>1159252</t>
  </si>
  <si>
    <t>조예은</t>
  </si>
  <si>
    <t>1208534</t>
  </si>
  <si>
    <t>하소라</t>
  </si>
  <si>
    <t>1078057</t>
  </si>
  <si>
    <t>김은화</t>
  </si>
  <si>
    <t>1138487</t>
  </si>
  <si>
    <t>진봉조</t>
  </si>
  <si>
    <t>1158034</t>
  </si>
  <si>
    <t>윤철웅</t>
  </si>
  <si>
    <t>1188091</t>
  </si>
  <si>
    <t>박상호</t>
  </si>
  <si>
    <t>1178109</t>
  </si>
  <si>
    <t>최민욱</t>
  </si>
  <si>
    <t>1228156</t>
  </si>
  <si>
    <t>이수빈</t>
  </si>
  <si>
    <t>1228248</t>
  </si>
  <si>
    <t>전란</t>
  </si>
  <si>
    <t>1078385</t>
  </si>
  <si>
    <t>박호자</t>
  </si>
  <si>
    <t>1178472</t>
  </si>
  <si>
    <t>정형수</t>
  </si>
  <si>
    <t>1168604</t>
  </si>
  <si>
    <t>이세정</t>
  </si>
  <si>
    <t>1228411</t>
  </si>
  <si>
    <t>홍영록</t>
  </si>
  <si>
    <t>1198504</t>
  </si>
  <si>
    <t>강금희</t>
  </si>
  <si>
    <t>1168484</t>
  </si>
  <si>
    <t>김혜선</t>
  </si>
  <si>
    <t>1128503</t>
  </si>
  <si>
    <t>신민경</t>
  </si>
  <si>
    <t>1108422</t>
  </si>
  <si>
    <t>이희숙</t>
  </si>
  <si>
    <t>1238154</t>
  </si>
  <si>
    <t>박송이</t>
  </si>
  <si>
    <t>1168174</t>
  </si>
  <si>
    <t>최수희</t>
  </si>
  <si>
    <t>1198044</t>
  </si>
  <si>
    <t>김지훈</t>
  </si>
  <si>
    <t>1218039</t>
  </si>
  <si>
    <t>송민규</t>
  </si>
  <si>
    <t>1228437</t>
  </si>
  <si>
    <t>김영우</t>
  </si>
  <si>
    <t>1128344</t>
  </si>
  <si>
    <t>천원상</t>
  </si>
  <si>
    <t>1228499</t>
  </si>
  <si>
    <t>정유영</t>
  </si>
  <si>
    <t>1168298</t>
  </si>
  <si>
    <t>서주형</t>
  </si>
  <si>
    <t>1148663</t>
  </si>
  <si>
    <t>김기현</t>
  </si>
  <si>
    <t>1168636</t>
  </si>
  <si>
    <t>길지현</t>
  </si>
  <si>
    <t>1228309</t>
  </si>
  <si>
    <t>황미경</t>
  </si>
  <si>
    <t>1178395</t>
  </si>
  <si>
    <t>이정아</t>
  </si>
  <si>
    <t>1188699</t>
  </si>
  <si>
    <t>김희종</t>
  </si>
  <si>
    <t>1208624</t>
  </si>
  <si>
    <t>최승일</t>
  </si>
  <si>
    <t>1228160</t>
  </si>
  <si>
    <t>이형경</t>
  </si>
  <si>
    <t>1218395</t>
  </si>
  <si>
    <t>남다은</t>
  </si>
  <si>
    <t>1218084</t>
  </si>
  <si>
    <t>손보람</t>
  </si>
  <si>
    <t>1238059</t>
  </si>
  <si>
    <t>박서영</t>
  </si>
  <si>
    <t>1178172</t>
  </si>
  <si>
    <t>강미영</t>
  </si>
  <si>
    <t>1098671</t>
  </si>
  <si>
    <t>허태욱</t>
  </si>
  <si>
    <t>1178512</t>
  </si>
  <si>
    <t>박건희</t>
  </si>
  <si>
    <t>1218135</t>
  </si>
  <si>
    <t>임승준</t>
  </si>
  <si>
    <t>1138125</t>
  </si>
  <si>
    <t>이은정</t>
  </si>
  <si>
    <t>1218284</t>
  </si>
  <si>
    <t>임희령</t>
  </si>
  <si>
    <t>1188461</t>
  </si>
  <si>
    <t>최경환</t>
  </si>
  <si>
    <t>1218430</t>
  </si>
  <si>
    <t>송준혁</t>
  </si>
  <si>
    <t>1178708</t>
  </si>
  <si>
    <t>윤지효</t>
  </si>
  <si>
    <t>1149460</t>
  </si>
  <si>
    <t>조영주</t>
  </si>
  <si>
    <t>1178270</t>
  </si>
  <si>
    <t>석경은</t>
  </si>
  <si>
    <t>1128165</t>
  </si>
  <si>
    <t>고진영</t>
  </si>
  <si>
    <t>1218050</t>
  </si>
  <si>
    <t>유청</t>
  </si>
  <si>
    <t>1228391</t>
  </si>
  <si>
    <t>이승준</t>
  </si>
  <si>
    <t>1228187</t>
  </si>
  <si>
    <t>이초아</t>
  </si>
  <si>
    <t>1188348</t>
  </si>
  <si>
    <t>소수현</t>
  </si>
  <si>
    <t>1108247</t>
  </si>
  <si>
    <t>허현호</t>
  </si>
  <si>
    <t>1188540</t>
  </si>
  <si>
    <t>김선태</t>
  </si>
  <si>
    <t>1178727</t>
  </si>
  <si>
    <t>공민준</t>
  </si>
  <si>
    <t>1198308</t>
  </si>
  <si>
    <t>서은정</t>
  </si>
  <si>
    <t>1138356</t>
  </si>
  <si>
    <t>김기욱</t>
  </si>
  <si>
    <t>1208463</t>
  </si>
  <si>
    <t>백승호</t>
  </si>
  <si>
    <t>1078424</t>
  </si>
  <si>
    <t>김복란</t>
  </si>
  <si>
    <t>1228031</t>
  </si>
  <si>
    <t>김예림</t>
  </si>
  <si>
    <t>1178640</t>
  </si>
  <si>
    <t>양희현</t>
  </si>
  <si>
    <t>1118054</t>
  </si>
  <si>
    <t>박정환</t>
  </si>
  <si>
    <t>1198365</t>
  </si>
  <si>
    <t>오인영</t>
  </si>
  <si>
    <t>1208465</t>
  </si>
  <si>
    <t>염태건</t>
  </si>
  <si>
    <t>1188546</t>
  </si>
  <si>
    <t>도햇살</t>
  </si>
  <si>
    <t>1198114</t>
  </si>
  <si>
    <t>임슬기</t>
  </si>
  <si>
    <t>1158385</t>
  </si>
  <si>
    <t>남성현</t>
  </si>
  <si>
    <t>1159098</t>
  </si>
  <si>
    <t>1178155</t>
  </si>
  <si>
    <t>손영덕</t>
  </si>
  <si>
    <t>1218163</t>
  </si>
  <si>
    <t>강동민</t>
  </si>
  <si>
    <t>1158684</t>
  </si>
  <si>
    <t>김주희</t>
  </si>
  <si>
    <t>1208409</t>
  </si>
  <si>
    <t>이재범</t>
  </si>
  <si>
    <t>1218554</t>
  </si>
  <si>
    <t>최유비</t>
  </si>
  <si>
    <t>1208468</t>
  </si>
  <si>
    <t>신이슬</t>
  </si>
  <si>
    <t>1138855</t>
  </si>
  <si>
    <t>이슬비</t>
  </si>
  <si>
    <t>1228485</t>
  </si>
  <si>
    <t>1128576</t>
  </si>
  <si>
    <t>윤재원</t>
  </si>
  <si>
    <t>1168024</t>
  </si>
  <si>
    <t>박지성</t>
  </si>
  <si>
    <t>1128351</t>
  </si>
  <si>
    <t>이지숙</t>
  </si>
  <si>
    <t>1148366</t>
  </si>
  <si>
    <t>김인석</t>
  </si>
  <si>
    <t>1208015</t>
  </si>
  <si>
    <t>김지웅</t>
  </si>
  <si>
    <t>1158871</t>
  </si>
  <si>
    <t>박재성</t>
  </si>
  <si>
    <t>1228280</t>
  </si>
  <si>
    <t>정보금</t>
  </si>
  <si>
    <t>1218166</t>
  </si>
  <si>
    <t>조혜인</t>
  </si>
  <si>
    <t>1188240</t>
  </si>
  <si>
    <t>안정욱</t>
  </si>
  <si>
    <t>1208077</t>
  </si>
  <si>
    <t>김영균</t>
  </si>
  <si>
    <t>1198618</t>
  </si>
  <si>
    <t>김용진</t>
  </si>
  <si>
    <t>1218033</t>
  </si>
  <si>
    <t>김경희</t>
  </si>
  <si>
    <t>1208583</t>
  </si>
  <si>
    <t>김정동</t>
  </si>
  <si>
    <t>--</t>
  </si>
  <si>
    <t>고양도매센터</t>
  </si>
  <si>
    <t>광진도매센터</t>
  </si>
  <si>
    <t>구리도매센터</t>
  </si>
  <si>
    <t>노원도매센터</t>
  </si>
  <si>
    <t>의정부도매센터</t>
  </si>
  <si>
    <t>강릉도매센터</t>
  </si>
  <si>
    <t>원주도매센터</t>
  </si>
  <si>
    <t>춘천도매센터</t>
  </si>
  <si>
    <t>강남도매센터</t>
  </si>
  <si>
    <t>분당도매센터</t>
  </si>
  <si>
    <t>송파도매센터</t>
  </si>
  <si>
    <t>수원도매센터</t>
  </si>
  <si>
    <t>용인도매센터</t>
  </si>
  <si>
    <t>평택도매센터</t>
  </si>
  <si>
    <t>구미도매센터</t>
  </si>
  <si>
    <t>동대구도매센터</t>
  </si>
  <si>
    <t>서대구도매센터</t>
  </si>
  <si>
    <t>안동도매센터</t>
  </si>
  <si>
    <t>포항도매센터</t>
  </si>
  <si>
    <t>동부산도매센터</t>
  </si>
  <si>
    <t>북부산도매센터</t>
  </si>
  <si>
    <t>서부산도매센터</t>
  </si>
  <si>
    <t>울산도매센터</t>
  </si>
  <si>
    <t>진주도매센터</t>
  </si>
  <si>
    <t>창원도매센터</t>
  </si>
  <si>
    <t>강서도매센터</t>
  </si>
  <si>
    <t>구로도매센터</t>
  </si>
  <si>
    <t>부천도매센터</t>
  </si>
  <si>
    <t>서인천도매센터</t>
  </si>
  <si>
    <t>안산도매센터</t>
  </si>
  <si>
    <t>인천도매센터</t>
  </si>
  <si>
    <t>동대전도매센터</t>
  </si>
  <si>
    <t>서대전도매센터</t>
  </si>
  <si>
    <t>서산도매센터</t>
  </si>
  <si>
    <t>천안도매센터</t>
  </si>
  <si>
    <t>목포도매센터</t>
  </si>
  <si>
    <t>순천도매센터</t>
  </si>
  <si>
    <t>전북도매센터</t>
  </si>
  <si>
    <t>제주도매센터</t>
  </si>
  <si>
    <t>지사</t>
    <phoneticPr fontId="1" type="noConversion"/>
  </si>
  <si>
    <t>코드</t>
    <phoneticPr fontId="1" type="noConversion"/>
  </si>
  <si>
    <t>센터</t>
    <phoneticPr fontId="1" type="noConversion"/>
  </si>
  <si>
    <t>순신규 목표 * 16,000원 * 10.5% * 5.5개월</t>
    <phoneticPr fontId="1" type="noConversion"/>
  </si>
  <si>
    <t>유선 합산</t>
    <phoneticPr fontId="1" type="noConversion"/>
  </si>
  <si>
    <t>유선 약갱</t>
    <phoneticPr fontId="1" type="noConversion"/>
  </si>
  <si>
    <t>유선 객단가 16,000원은 인터넷 21,000원과 TV 11,000원의 평균 값</t>
    <phoneticPr fontId="1" type="noConversion"/>
  </si>
  <si>
    <t>인터넷, TV 실적비중이 전사 5:5 비율에 수렴하는 점 감안하여 평균 값으로 산정</t>
    <phoneticPr fontId="1" type="noConversion"/>
  </si>
  <si>
    <t>1188002</t>
  </si>
  <si>
    <t>심아롬</t>
  </si>
  <si>
    <t>1118020</t>
  </si>
  <si>
    <t>양승한</t>
  </si>
  <si>
    <t>1118855</t>
  </si>
  <si>
    <t>이보람</t>
  </si>
  <si>
    <t>1238249</t>
  </si>
  <si>
    <t>백성원</t>
  </si>
  <si>
    <t>상위소속</t>
  </si>
  <si>
    <t>소속코드</t>
  </si>
  <si>
    <t>소속</t>
  </si>
  <si>
    <t>1158232</t>
  </si>
  <si>
    <t>김명진</t>
  </si>
  <si>
    <t>1238292</t>
  </si>
  <si>
    <t>홍성훈</t>
  </si>
  <si>
    <t>1238313</t>
  </si>
  <si>
    <t>박수용</t>
  </si>
  <si>
    <t>1238334</t>
  </si>
  <si>
    <t>조영지</t>
  </si>
  <si>
    <t>1138851</t>
  </si>
  <si>
    <t>박고은</t>
  </si>
  <si>
    <t>1178046</t>
  </si>
  <si>
    <t>1238315</t>
  </si>
  <si>
    <t>김택민</t>
  </si>
  <si>
    <t>1238328</t>
  </si>
  <si>
    <t>허준영</t>
  </si>
  <si>
    <t>1238335</t>
  </si>
  <si>
    <t>이상현</t>
  </si>
  <si>
    <t>1238342</t>
  </si>
  <si>
    <t>박준하</t>
  </si>
  <si>
    <t>1188072</t>
  </si>
  <si>
    <t>김태욱</t>
  </si>
  <si>
    <t>1218269</t>
  </si>
  <si>
    <t>박지후</t>
  </si>
  <si>
    <t>1238357</t>
  </si>
  <si>
    <t>유인호</t>
  </si>
  <si>
    <t>직무구분</t>
  </si>
  <si>
    <t>자율예산</t>
    <phoneticPr fontId="1" type="noConversion"/>
  </si>
  <si>
    <t>물류비</t>
    <phoneticPr fontId="1" type="noConversion"/>
  </si>
  <si>
    <t>호남</t>
    <phoneticPr fontId="1" type="noConversion"/>
  </si>
  <si>
    <t>아이폰15
목표비중</t>
    <phoneticPr fontId="1" type="noConversion"/>
  </si>
  <si>
    <t>■ 아이폰15 자율예산 및 특별물류비 배분</t>
    <phoneticPr fontId="1" type="noConversion"/>
  </si>
  <si>
    <t xml:space="preserve">※ 자율예산은 아이폰15 9일차 목표달성률 연동하여 지급 </t>
    <phoneticPr fontId="1" type="noConversion"/>
  </si>
  <si>
    <t xml:space="preserve">    ㄴ ex) 강북도매 최종확보 : 26,455,000원 * 달성률 95% = 25,132,250원</t>
    <phoneticPr fontId="1" type="noConversion"/>
  </si>
  <si>
    <t xml:space="preserve">    ㄴ 목표달성률 100% 초과하여도 할당된 예산만큼 지급</t>
    <phoneticPr fontId="1" type="noConversion"/>
  </si>
  <si>
    <t>김영환</t>
  </si>
  <si>
    <t>1178142</t>
  </si>
  <si>
    <t>1218118</t>
  </si>
  <si>
    <t>김태완</t>
  </si>
  <si>
    <t>1238438</t>
  </si>
  <si>
    <t>심상우</t>
  </si>
  <si>
    <t>1238459</t>
  </si>
  <si>
    <t>배소현</t>
  </si>
  <si>
    <t>1238470</t>
  </si>
  <si>
    <t>조영우</t>
  </si>
  <si>
    <t>1238472</t>
  </si>
  <si>
    <t>양지원</t>
  </si>
  <si>
    <t>M&amp;S강서도매센터</t>
  </si>
  <si>
    <t>M&amp;S광주도매센터</t>
  </si>
  <si>
    <t>M&amp;S전북도매센터</t>
  </si>
  <si>
    <t>M&amp;S충북도매센터</t>
  </si>
  <si>
    <t>1238490</t>
  </si>
  <si>
    <t>임진수</t>
  </si>
  <si>
    <t>1238498</t>
  </si>
  <si>
    <t>윤진수</t>
  </si>
  <si>
    <t>1238508</t>
  </si>
  <si>
    <t>박세용</t>
  </si>
  <si>
    <t>1148529</t>
  </si>
  <si>
    <t>조혜림</t>
  </si>
  <si>
    <t>강서</t>
    <phoneticPr fontId="1" type="noConversion"/>
  </si>
  <si>
    <t>무선신규</t>
  </si>
  <si>
    <t>ITM</t>
    <phoneticPr fontId="1" type="noConversion"/>
  </si>
  <si>
    <t>유선(신규I)취급점</t>
  </si>
  <si>
    <t>1238542</t>
  </si>
  <si>
    <t>김지연</t>
  </si>
  <si>
    <t>1238546</t>
  </si>
  <si>
    <t>정현식</t>
  </si>
  <si>
    <t>1198295</t>
  </si>
  <si>
    <t>김규리</t>
  </si>
  <si>
    <t>1178082</t>
  </si>
  <si>
    <t>김준호</t>
  </si>
  <si>
    <t>강서도매지사</t>
  </si>
  <si>
    <t>강남도매지사</t>
  </si>
  <si>
    <t>유선신규I</t>
    <phoneticPr fontId="1" type="noConversion"/>
  </si>
  <si>
    <t>ITM</t>
    <phoneticPr fontId="1" type="noConversion"/>
  </si>
  <si>
    <t>무선가동점</t>
    <phoneticPr fontId="1" type="noConversion"/>
  </si>
  <si>
    <t>유선(신규I)취급점</t>
    <phoneticPr fontId="1" type="noConversion"/>
  </si>
  <si>
    <t>운영후불</t>
    <phoneticPr fontId="1" type="noConversion"/>
  </si>
  <si>
    <t>무선신규</t>
    <phoneticPr fontId="1" type="noConversion"/>
  </si>
  <si>
    <t>유선신규I</t>
    <phoneticPr fontId="1" type="noConversion"/>
  </si>
  <si>
    <t>강북</t>
    <phoneticPr fontId="1" type="noConversion"/>
  </si>
  <si>
    <t>강원</t>
    <phoneticPr fontId="1" type="noConversion"/>
  </si>
  <si>
    <t>부산</t>
    <phoneticPr fontId="1" type="noConversion"/>
  </si>
  <si>
    <t>대구</t>
    <phoneticPr fontId="1" type="noConversion"/>
  </si>
  <si>
    <t>충청</t>
    <phoneticPr fontId="1" type="noConversion"/>
  </si>
  <si>
    <t>호남</t>
    <phoneticPr fontId="1" type="noConversion"/>
  </si>
  <si>
    <t>■ 24.2월 근무인력 리스트 (0131 추출)</t>
    <phoneticPr fontId="1" type="noConversion"/>
  </si>
  <si>
    <t>1248053</t>
  </si>
  <si>
    <t>김경원</t>
  </si>
  <si>
    <t>1248039</t>
  </si>
  <si>
    <t>하경국</t>
  </si>
  <si>
    <t>1248017</t>
  </si>
  <si>
    <t>홍미연</t>
  </si>
  <si>
    <t>도매개통</t>
  </si>
  <si>
    <t>1248076</t>
  </si>
  <si>
    <t>이하연</t>
  </si>
  <si>
    <t>1248097</t>
  </si>
  <si>
    <t>김미연</t>
  </si>
  <si>
    <t>도매영업</t>
  </si>
  <si>
    <t>1248084</t>
  </si>
  <si>
    <t>김명중</t>
  </si>
  <si>
    <t>1248102</t>
  </si>
  <si>
    <t>박성현</t>
  </si>
  <si>
    <t>1248086</t>
  </si>
  <si>
    <t>범승연</t>
  </si>
  <si>
    <t>1238521</t>
  </si>
  <si>
    <t>박준형</t>
  </si>
  <si>
    <t>1248140</t>
  </si>
  <si>
    <t>정수경</t>
  </si>
  <si>
    <t>1248132</t>
  </si>
  <si>
    <t>고영균</t>
  </si>
  <si>
    <t>1248141</t>
  </si>
  <si>
    <t>이영삼</t>
  </si>
  <si>
    <t>1248170</t>
  </si>
  <si>
    <t>백주용</t>
  </si>
  <si>
    <t>1248171</t>
  </si>
  <si>
    <t>박인호</t>
  </si>
  <si>
    <t>1248172</t>
  </si>
  <si>
    <t>김동영</t>
  </si>
  <si>
    <t>1218002</t>
  </si>
  <si>
    <t>김다래</t>
  </si>
  <si>
    <t>1248209</t>
  </si>
  <si>
    <t>배지은</t>
  </si>
  <si>
    <t>1248233</t>
  </si>
  <si>
    <t>심유나</t>
  </si>
  <si>
    <t>1248259</t>
  </si>
  <si>
    <t>이지현</t>
  </si>
  <si>
    <t>1248274</t>
  </si>
  <si>
    <t>이세림</t>
  </si>
  <si>
    <t>1248218</t>
  </si>
  <si>
    <t>김효은</t>
  </si>
  <si>
    <t>1248194</t>
  </si>
  <si>
    <t>김보경</t>
  </si>
  <si>
    <t>1248286</t>
  </si>
  <si>
    <t>홍윤기</t>
  </si>
  <si>
    <t>1248298</t>
  </si>
  <si>
    <t>빈철민</t>
  </si>
  <si>
    <t>1149193</t>
  </si>
  <si>
    <t>이종대</t>
  </si>
  <si>
    <t>1188224</t>
  </si>
  <si>
    <t>윤동구</t>
  </si>
  <si>
    <t>1238338</t>
  </si>
  <si>
    <t>1078281</t>
  </si>
  <si>
    <t>박상일</t>
  </si>
  <si>
    <t>1248358</t>
  </si>
  <si>
    <t>임재모</t>
  </si>
  <si>
    <t>1248424</t>
  </si>
  <si>
    <t>이선재</t>
  </si>
  <si>
    <t>1248455</t>
  </si>
  <si>
    <t>김영현</t>
  </si>
  <si>
    <t>1248465</t>
  </si>
  <si>
    <t>김선아</t>
  </si>
  <si>
    <t>1208474</t>
  </si>
  <si>
    <t>차민규</t>
  </si>
  <si>
    <t>1238355</t>
  </si>
  <si>
    <t>이경훈</t>
  </si>
  <si>
    <t>강원도매지사</t>
  </si>
  <si>
    <t>약정갱신 목표 * 16,000원 * 5% * 5.5개월</t>
    <phoneticPr fontId="1" type="noConversion"/>
  </si>
  <si>
    <t>직무</t>
  </si>
  <si>
    <t>1149485</t>
  </si>
  <si>
    <t>정은미</t>
  </si>
  <si>
    <t>1248488</t>
  </si>
  <si>
    <t>이솔</t>
  </si>
  <si>
    <t>1248492</t>
  </si>
  <si>
    <t>정수연</t>
  </si>
  <si>
    <t>1248483</t>
  </si>
  <si>
    <t>김희태</t>
  </si>
  <si>
    <t>1248486</t>
  </si>
  <si>
    <t>이재영</t>
  </si>
  <si>
    <t>1248489</t>
  </si>
  <si>
    <t>박종훈</t>
  </si>
  <si>
    <t>1248496</t>
  </si>
  <si>
    <t>이태훈</t>
  </si>
  <si>
    <t>1248523</t>
  </si>
  <si>
    <t>안동훈</t>
  </si>
  <si>
    <t>1248512</t>
  </si>
  <si>
    <t>곽동현</t>
  </si>
  <si>
    <t>1248514</t>
  </si>
  <si>
    <t>방석환</t>
  </si>
  <si>
    <t>1248515</t>
  </si>
  <si>
    <t>성상호</t>
  </si>
  <si>
    <t>1248526</t>
  </si>
  <si>
    <t>송대현</t>
  </si>
  <si>
    <t>1248548</t>
  </si>
  <si>
    <t>이태천</t>
  </si>
  <si>
    <t>1248566</t>
  </si>
  <si>
    <t>임원일</t>
  </si>
  <si>
    <t>1248573</t>
  </si>
  <si>
    <t>김견우</t>
  </si>
  <si>
    <t>1248582</t>
  </si>
  <si>
    <t>최상규</t>
  </si>
  <si>
    <t>1208343</t>
  </si>
  <si>
    <t>주영선</t>
  </si>
  <si>
    <t>1248592</t>
  </si>
  <si>
    <t>서한샘</t>
  </si>
  <si>
    <t>1248624</t>
  </si>
  <si>
    <t>이혜민</t>
  </si>
  <si>
    <t>1248631</t>
  </si>
  <si>
    <t>김현아</t>
  </si>
  <si>
    <t>1248585</t>
  </si>
  <si>
    <t>오지환</t>
  </si>
  <si>
    <t>1248586</t>
  </si>
  <si>
    <t>조지훈</t>
  </si>
  <si>
    <t>1248588</t>
  </si>
  <si>
    <t>김현우</t>
  </si>
  <si>
    <t>1248589</t>
  </si>
  <si>
    <t>박상욱</t>
  </si>
  <si>
    <t>1248598</t>
  </si>
  <si>
    <t>신현석</t>
  </si>
  <si>
    <t>1248604</t>
  </si>
  <si>
    <t>이도빈</t>
  </si>
  <si>
    <t>1248620</t>
  </si>
  <si>
    <t>신익규</t>
  </si>
  <si>
    <t>1248627</t>
  </si>
  <si>
    <t>임진현</t>
  </si>
  <si>
    <t>1248630</t>
  </si>
  <si>
    <t>김필준</t>
  </si>
  <si>
    <t>1248636</t>
  </si>
  <si>
    <t>김주성</t>
  </si>
  <si>
    <t>1238199</t>
  </si>
  <si>
    <t>김문기</t>
  </si>
  <si>
    <t>1248677</t>
  </si>
  <si>
    <t>김송이</t>
  </si>
  <si>
    <t>1248682</t>
  </si>
  <si>
    <t>김소연</t>
  </si>
  <si>
    <t>1248659</t>
  </si>
  <si>
    <t>신명주</t>
  </si>
  <si>
    <t>1248660</t>
  </si>
  <si>
    <t>채승훈</t>
  </si>
  <si>
    <t>1248661</t>
  </si>
  <si>
    <t>황하람</t>
  </si>
  <si>
    <t>1248683</t>
  </si>
  <si>
    <t>1248685</t>
  </si>
  <si>
    <t>고승우</t>
  </si>
  <si>
    <t>1248693</t>
  </si>
  <si>
    <t>김동건</t>
  </si>
  <si>
    <t>1248695</t>
  </si>
  <si>
    <t>장상욱</t>
  </si>
  <si>
    <t>1248697</t>
  </si>
  <si>
    <t>이명서</t>
  </si>
  <si>
    <t>1248708</t>
  </si>
  <si>
    <t>이경민</t>
  </si>
  <si>
    <t>1248711</t>
  </si>
  <si>
    <t>이수혁</t>
  </si>
  <si>
    <t>1248714</t>
  </si>
  <si>
    <t>박건수</t>
  </si>
  <si>
    <t>1208527</t>
  </si>
  <si>
    <t>배예림</t>
  </si>
  <si>
    <t>1148176</t>
  </si>
  <si>
    <t>박찬희</t>
  </si>
  <si>
    <t>1248764</t>
  </si>
  <si>
    <t>김희경</t>
  </si>
  <si>
    <t>1248770</t>
  </si>
  <si>
    <t>이소정</t>
  </si>
  <si>
    <t>1248754</t>
  </si>
  <si>
    <t>김다영</t>
  </si>
  <si>
    <t>1248736</t>
  </si>
  <si>
    <t>안홍비</t>
  </si>
  <si>
    <t>1248767</t>
  </si>
  <si>
    <t>김상민</t>
  </si>
  <si>
    <t>1248772</t>
  </si>
  <si>
    <t>전광호</t>
  </si>
  <si>
    <t>1248760</t>
  </si>
  <si>
    <t>유근진</t>
  </si>
  <si>
    <t>1248747</t>
  </si>
  <si>
    <t>서승현</t>
  </si>
  <si>
    <t>1248750</t>
  </si>
  <si>
    <t>한덕현</t>
  </si>
  <si>
    <t>1248725</t>
  </si>
  <si>
    <t>박성훈</t>
  </si>
  <si>
    <t>1248730</t>
  </si>
  <si>
    <t>배수신</t>
  </si>
  <si>
    <t>1238390</t>
  </si>
  <si>
    <t>최서연</t>
  </si>
  <si>
    <t>윤새봄</t>
  </si>
  <si>
    <t>1238143</t>
  </si>
  <si>
    <t>김미선</t>
  </si>
  <si>
    <t>개통매니저</t>
    <phoneticPr fontId="53" type="noConversion"/>
  </si>
  <si>
    <t>영업매니저</t>
    <phoneticPr fontId="53" type="noConversion"/>
  </si>
  <si>
    <t>개통실장</t>
    <phoneticPr fontId="53" type="noConversion"/>
  </si>
  <si>
    <t>■ '25.1 인원내역조회</t>
    <phoneticPr fontId="1" type="noConversion"/>
  </si>
  <si>
    <t>■ S26 지사별 목표</t>
    <phoneticPr fontId="1" type="noConversion"/>
  </si>
  <si>
    <t>■ S26 지사별 목표비중</t>
    <phoneticPr fontId="1" type="noConversion"/>
  </si>
  <si>
    <t>출시월</t>
    <phoneticPr fontId="1" type="noConversion"/>
  </si>
  <si>
    <t>1일차
3/6</t>
    <phoneticPr fontId="1" type="noConversion"/>
  </si>
  <si>
    <t>2일차
3/7</t>
    <phoneticPr fontId="1" type="noConversion"/>
  </si>
  <si>
    <t>3일차
3/9</t>
    <phoneticPr fontId="1" type="noConversion"/>
  </si>
  <si>
    <t>4일차
3/10</t>
    <phoneticPr fontId="1" type="noConversion"/>
  </si>
  <si>
    <t>5일차
3/11</t>
    <phoneticPr fontId="1" type="noConversion"/>
  </si>
  <si>
    <t>S26 목표비중</t>
    <phoneticPr fontId="1" type="noConversion"/>
  </si>
  <si>
    <t>무선목표비중</t>
    <phoneticPr fontId="1" type="noConversion"/>
  </si>
  <si>
    <t>전작 실적비중</t>
    <phoneticPr fontId="1" type="noConversion"/>
  </si>
  <si>
    <t>■ S26 센터별 목표</t>
    <phoneticPr fontId="1" type="noConversion"/>
  </si>
  <si>
    <t>■ S25 출시월 실적 (25.2월 마감)</t>
    <phoneticPr fontId="1" type="noConversion"/>
  </si>
  <si>
    <t>S26
목표비중</t>
    <phoneticPr fontId="1" type="noConversion"/>
  </si>
  <si>
    <t>갤럭시 S25</t>
    <phoneticPr fontId="1" type="noConversion"/>
  </si>
  <si>
    <t>갤럭시 S25 512GB</t>
    <phoneticPr fontId="1" type="noConversion"/>
  </si>
  <si>
    <t>갤럭시 S25 Plus</t>
    <phoneticPr fontId="1" type="noConversion"/>
  </si>
  <si>
    <t>갤럭시 S25 Plus 512GB</t>
    <phoneticPr fontId="1" type="noConversion"/>
  </si>
  <si>
    <t>갤럭시 S25 Ultra</t>
    <phoneticPr fontId="1" type="noConversion"/>
  </si>
  <si>
    <t>갤럭시 S25 Ultra 512GB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</si>
</sst>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176" formatCode="#,##0_ "/>
    <numFmt numFmtId="177" formatCode="#,##0_);[Red]\(#,##0\)"/>
    <numFmt numFmtId="178" formatCode="0.0%"/>
    <numFmt numFmtId="179" formatCode="\+0.0%;[Red]\-0.0%"/>
    <numFmt numFmtId="180" formatCode="#,##0\ "/>
    <numFmt numFmtId="181" formatCode="General&quot;억&quot;"/>
    <numFmt numFmtId="182" formatCode="General&quot;일&quot;"/>
    <numFmt numFmtId="183" formatCode="#,##0_ ;[Red]\-#,##0\ &quot;억&quot;"/>
    <numFmt numFmtId="184" formatCode="General&quot;만&quot;&quot;원&quot;"/>
    <numFmt numFmtId="185" formatCode="0.000%"/>
    <numFmt numFmtId="186" formatCode="#,##0;\-#,##0;\-"/>
    <numFmt numFmtId="188" formatCode="m&quot;/&quot;d;@"/>
    <numFmt numFmtId="189" formatCode="0_);[Red]\(0\)"/>
    <numFmt numFmtId="190" formatCode="#,##0_ ;[Red]\-#,##0\ "/>
  </numFmts>
  <fonts count="9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KT서체 Light"/>
      <family val="3"/>
      <charset val="129"/>
    </font>
    <font>
      <b/>
      <sz val="12"/>
      <color theme="1"/>
      <name val="KT서체 Light"/>
      <family val="3"/>
      <charset val="129"/>
    </font>
    <font>
      <sz val="11"/>
      <color theme="1"/>
      <name val="맑은 고딕"/>
      <family val="2"/>
      <charset val="129"/>
      <scheme val="minor"/>
    </font>
    <font>
      <sz val="10"/>
      <color theme="1"/>
      <name val="KT서체 Light"/>
      <family val="3"/>
      <charset val="129"/>
    </font>
    <font>
      <sz val="11"/>
      <color theme="1"/>
      <name val="KT서체 Light"/>
      <family val="3"/>
      <charset val="129"/>
    </font>
    <font>
      <b/>
      <sz val="14"/>
      <color theme="1"/>
      <name val="KT서체 Light"/>
      <family val="3"/>
      <charset val="129"/>
    </font>
    <font>
      <sz val="14"/>
      <color theme="1"/>
      <name val="KT서체 Light"/>
      <family val="3"/>
      <charset val="129"/>
    </font>
    <font>
      <b/>
      <sz val="20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 tint="0.14999847407452621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0.5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u/>
      <sz val="14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b/>
      <i/>
      <sz val="9"/>
      <color rgb="FF00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i/>
      <sz val="11"/>
      <color rgb="FF000000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b/>
      <sz val="36"/>
      <color theme="0"/>
      <name val="KT서체 Bold"/>
      <family val="3"/>
      <charset val="129"/>
    </font>
    <font>
      <b/>
      <u/>
      <sz val="14"/>
      <color theme="1"/>
      <name val="KT서체 Light"/>
      <family val="3"/>
      <charset val="129"/>
    </font>
    <font>
      <sz val="20"/>
      <color theme="0"/>
      <name val="KT서체 Bold"/>
      <family val="3"/>
      <charset val="129"/>
    </font>
    <font>
      <sz val="18"/>
      <color theme="0"/>
      <name val="KT서체 Bold"/>
      <family val="3"/>
      <charset val="129"/>
    </font>
    <font>
      <b/>
      <sz val="14"/>
      <color theme="0"/>
      <name val="KT서체 Light"/>
      <family val="3"/>
      <charset val="129"/>
    </font>
    <font>
      <sz val="11"/>
      <color theme="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8"/>
      <color theme="0" tint="-0.1499984740745262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b/>
      <sz val="8"/>
      <color theme="1"/>
      <name val="맑은 고딕"/>
      <family val="3"/>
      <charset val="129"/>
      <scheme val="minor"/>
    </font>
    <font>
      <sz val="10"/>
      <color rgb="FF000000"/>
      <name val="Arial"/>
      <family val="2"/>
    </font>
    <font>
      <b/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8"/>
      <name val="맑은 고딕"/>
      <family val="3"/>
      <charset val="129"/>
      <scheme val="major"/>
    </font>
    <font>
      <sz val="8"/>
      <color theme="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2"/>
      <color rgb="FF3E5E82"/>
      <name val="Dotum"/>
      <family val="2"/>
      <charset val="129"/>
    </font>
    <font>
      <sz val="12"/>
      <color rgb="FF000000"/>
      <name val="Dotum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0"/>
      <color rgb="FF4D5469"/>
      <name val="맑은 고딕"/>
      <family val="3"/>
      <charset val="129"/>
      <scheme val="minor"/>
    </font>
    <font>
      <sz val="10"/>
      <color rgb="FF3D3D3D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color rgb="FF4D5469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11"/>
      <color indexed="8"/>
      <name val="맑은 고딕"/>
      <family val="3"/>
      <charset val="129"/>
      <scheme val="minor"/>
    </font>
    <font>
      <b/>
      <sz val="36"/>
      <color rgb="FFFF0000"/>
      <name val="맑은 고딕"/>
      <family val="3"/>
      <charset val="129"/>
      <scheme val="minor"/>
    </font>
    <font>
      <b/>
      <sz val="36"/>
      <color rgb="FF0000FF"/>
      <name val="맑은 고딕"/>
      <family val="3"/>
      <charset val="129"/>
      <scheme val="minor"/>
    </font>
    <font>
      <sz val="10"/>
      <color theme="0" tint="-0.249977111117893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sz val="10"/>
      <color rgb="FF4D5469"/>
      <name val="맑은 고딕"/>
      <family val="3"/>
      <charset val="129"/>
    </font>
    <font>
      <sz val="10"/>
      <color rgb="FF3D3D3D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0" tint="-4.9989318521683403E-2"/>
      <name val="맑은 고딕"/>
      <family val="2"/>
      <charset val="129"/>
      <scheme val="minor"/>
    </font>
    <font>
      <sz val="10"/>
      <color rgb="FF3E5E82"/>
      <name val="Dotum"/>
      <family val="2"/>
      <charset val="129"/>
    </font>
    <font>
      <sz val="10"/>
      <color rgb="FF000000"/>
      <name val="Dotum"/>
      <family val="2"/>
      <charset val="129"/>
    </font>
    <font>
      <b/>
      <sz val="10"/>
      <color rgb="FF000000"/>
      <name val="Dotum"/>
      <family val="3"/>
      <charset val="129"/>
    </font>
    <font>
      <sz val="10"/>
      <color rgb="FF494949"/>
      <name val="맑은 고딕"/>
      <family val="3"/>
      <charset val="129"/>
    </font>
    <font>
      <sz val="10"/>
      <color theme="1"/>
      <name val="KT Flow Medium"/>
      <family val="3"/>
      <charset val="129"/>
    </font>
    <font>
      <sz val="9"/>
      <color theme="1"/>
      <name val="KT Flow Medium"/>
      <family val="3"/>
      <charset val="129"/>
    </font>
    <font>
      <sz val="18"/>
      <color theme="1"/>
      <name val="KT Flow Medium"/>
      <family val="3"/>
      <charset val="129"/>
    </font>
    <font>
      <sz val="9"/>
      <color rgb="FF3E5E82"/>
      <name val="KT Flow Medium"/>
      <family val="3"/>
      <charset val="129"/>
    </font>
    <font>
      <sz val="9"/>
      <color rgb="FF000000"/>
      <name val="KT Flow Medium"/>
      <family val="3"/>
      <charset val="129"/>
    </font>
    <font>
      <sz val="10"/>
      <color theme="0"/>
      <name val="KT Flow Medium"/>
      <family val="3"/>
      <charset val="129"/>
    </font>
    <font>
      <sz val="12"/>
      <color theme="1"/>
      <name val="KT Flow Medium"/>
      <family val="3"/>
      <charset val="129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</patternFill>
    </fill>
    <fill>
      <patternFill patternType="solid">
        <fgColor rgb="FFF8F8F8"/>
        <bgColor rgb="FFFFFFFF"/>
      </patternFill>
    </fill>
    <fill>
      <patternFill patternType="solid">
        <fgColor rgb="FFEAF1FB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DEFF6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 style="thin">
        <color indexed="64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indexed="64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808080"/>
      </right>
      <top style="medium">
        <color auto="1"/>
      </top>
      <bottom/>
      <diagonal/>
    </border>
    <border>
      <left style="thin">
        <color rgb="FF808080"/>
      </left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rgb="FF808080"/>
      </left>
      <right style="thin">
        <color rgb="FF808080"/>
      </right>
      <top style="thin">
        <color indexed="64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808080"/>
      </right>
      <top/>
      <bottom style="medium">
        <color auto="1"/>
      </bottom>
      <diagonal/>
    </border>
    <border>
      <left style="thin">
        <color rgb="FF808080"/>
      </left>
      <right style="thin">
        <color rgb="FF808080"/>
      </right>
      <top style="medium">
        <color rgb="FF808080"/>
      </top>
      <bottom style="medium">
        <color indexed="64"/>
      </bottom>
      <diagonal/>
    </border>
    <border>
      <left style="thin">
        <color rgb="FF808080"/>
      </left>
      <right style="thin">
        <color rgb="FF808080"/>
      </right>
      <top/>
      <bottom style="medium">
        <color auto="1"/>
      </bottom>
      <diagonal/>
    </border>
    <border>
      <left/>
      <right style="thin">
        <color rgb="FF808080"/>
      </right>
      <top style="thin">
        <color rgb="FF808080"/>
      </top>
      <bottom style="medium">
        <color auto="1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medium">
        <color indexed="64"/>
      </top>
      <bottom style="medium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808080"/>
      </top>
      <bottom/>
      <diagonal/>
    </border>
    <border>
      <left style="thin">
        <color theme="0" tint="-0.499984740745262"/>
      </left>
      <right/>
      <top style="medium">
        <color rgb="FF808080"/>
      </top>
      <bottom/>
      <diagonal/>
    </border>
    <border>
      <left style="thin">
        <color theme="0" tint="-0.499984740745262"/>
      </left>
      <right style="thin">
        <color indexed="64"/>
      </right>
      <top style="medium">
        <color rgb="FF808080"/>
      </top>
      <bottom/>
      <diagonal/>
    </border>
    <border>
      <left/>
      <right style="thin">
        <color theme="0" tint="-0.499984740745262"/>
      </right>
      <top style="medium">
        <color rgb="FF808080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rgb="FF808080"/>
      </left>
      <right/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/>
      <top/>
      <bottom style="medium">
        <color indexed="64"/>
      </bottom>
      <diagonal/>
    </border>
    <border>
      <left style="thin">
        <color theme="0" tint="-0.499984740745262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/>
      <top style="medium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 style="medium">
        <color indexed="64"/>
      </top>
      <bottom/>
      <diagonal/>
    </border>
    <border>
      <left/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rgb="FF808080"/>
      </bottom>
      <diagonal/>
    </border>
    <border>
      <left/>
      <right style="thin">
        <color rgb="FF808080"/>
      </right>
      <top style="thin">
        <color indexed="64"/>
      </top>
      <bottom/>
      <diagonal/>
    </border>
    <border>
      <left style="thin">
        <color theme="1" tint="0.499984740745262"/>
      </left>
      <right/>
      <top style="thin">
        <color rgb="FF808080"/>
      </top>
      <bottom/>
      <diagonal/>
    </border>
    <border>
      <left style="thin">
        <color rgb="FF808080"/>
      </left>
      <right/>
      <top style="medium">
        <color rgb="FF808080"/>
      </top>
      <bottom style="medium">
        <color indexed="64"/>
      </bottom>
      <diagonal/>
    </border>
    <border>
      <left style="hair">
        <color rgb="FF808080"/>
      </left>
      <right style="thin">
        <color rgb="FF808080"/>
      </right>
      <top style="hair">
        <color rgb="FF808080"/>
      </top>
      <bottom style="medium">
        <color auto="1"/>
      </bottom>
      <diagonal/>
    </border>
    <border>
      <left style="thin">
        <color rgb="FF808080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/>
      <right/>
      <top style="thin">
        <color rgb="FF808080"/>
      </top>
      <bottom style="medium">
        <color auto="1"/>
      </bottom>
      <diagonal/>
    </border>
    <border>
      <left style="thin">
        <color theme="1" tint="0.499984740745262"/>
      </left>
      <right/>
      <top style="thin">
        <color rgb="FF808080"/>
      </top>
      <bottom style="medium">
        <color indexed="64"/>
      </bottom>
      <diagonal/>
    </border>
    <border>
      <left style="hair">
        <color rgb="FF808080"/>
      </left>
      <right/>
      <top style="hair">
        <color rgb="FF808080"/>
      </top>
      <bottom style="medium">
        <color indexed="64"/>
      </bottom>
      <diagonal/>
    </border>
    <border>
      <left style="hair">
        <color rgb="FF808080"/>
      </left>
      <right/>
      <top style="medium">
        <color indexed="64"/>
      </top>
      <bottom/>
      <diagonal/>
    </border>
    <border>
      <left style="thin">
        <color rgb="FF808080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rgb="FF808080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rgb="FF808080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hair">
        <color indexed="64"/>
      </right>
      <top style="thin">
        <color theme="0" tint="-0.499984740745262"/>
      </top>
      <bottom/>
      <diagonal/>
    </border>
    <border>
      <left style="hair">
        <color indexed="64"/>
      </left>
      <right style="hair">
        <color indexed="64"/>
      </right>
      <top style="thin">
        <color theme="0" tint="-0.499984740745262"/>
      </top>
      <bottom/>
      <diagonal/>
    </border>
    <border>
      <left style="hair">
        <color indexed="64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hair">
        <color rgb="FF808080"/>
      </left>
      <right/>
      <top style="thin">
        <color theme="0" tint="-0.499984740745262"/>
      </top>
      <bottom/>
      <diagonal/>
    </border>
    <border>
      <left style="hair">
        <color rgb="FF808080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hair">
        <color indexed="64"/>
      </right>
      <top/>
      <bottom/>
      <diagonal/>
    </border>
    <border>
      <left style="hair">
        <color indexed="64"/>
      </left>
      <right style="thin">
        <color theme="0" tint="-0.499984740745262"/>
      </right>
      <top/>
      <bottom/>
      <diagonal/>
    </border>
    <border>
      <left style="hair">
        <color rgb="FF808080"/>
      </left>
      <right/>
      <top/>
      <bottom/>
      <diagonal/>
    </border>
    <border>
      <left style="hair">
        <color rgb="FF808080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hair">
        <color indexed="64"/>
      </right>
      <top style="medium">
        <color indexed="64"/>
      </top>
      <bottom/>
      <diagonal/>
    </border>
    <border>
      <left style="hair">
        <color rgb="FF808080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hair">
        <color rgb="FF808080"/>
      </left>
      <right/>
      <top style="thin">
        <color indexed="64"/>
      </top>
      <bottom/>
      <diagonal/>
    </border>
    <border>
      <left style="thin">
        <color rgb="FF808080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0" tint="-0.499984740745262"/>
      </left>
      <right/>
      <top/>
      <bottom style="medium">
        <color theme="1"/>
      </bottom>
      <diagonal/>
    </border>
    <border>
      <left style="hair">
        <color rgb="FF808080"/>
      </left>
      <right/>
      <top/>
      <bottom style="medium">
        <color theme="1"/>
      </bottom>
      <diagonal/>
    </border>
    <border>
      <left style="thin">
        <color theme="0" tint="-0.499984740745262"/>
      </left>
      <right style="hair">
        <color indexed="64"/>
      </right>
      <top/>
      <bottom style="medium">
        <color theme="1"/>
      </bottom>
      <diagonal/>
    </border>
    <border>
      <left style="hair">
        <color indexed="64"/>
      </left>
      <right style="hair">
        <color indexed="64"/>
      </right>
      <top/>
      <bottom style="medium">
        <color theme="1"/>
      </bottom>
      <diagonal/>
    </border>
    <border>
      <left style="hair">
        <color indexed="64"/>
      </left>
      <right/>
      <top/>
      <bottom style="medium">
        <color theme="1"/>
      </bottom>
      <diagonal/>
    </border>
    <border>
      <left style="thin">
        <color theme="0" tint="-0.499984740745262"/>
      </left>
      <right style="thin">
        <color indexed="64"/>
      </right>
      <top/>
      <bottom style="medium">
        <color theme="1"/>
      </bottom>
      <diagonal/>
    </border>
    <border>
      <left style="thin">
        <color theme="1" tint="0.499984740745262"/>
      </left>
      <right/>
      <top/>
      <bottom/>
      <diagonal/>
    </border>
    <border>
      <left style="hair">
        <color rgb="FF808080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 style="hair">
        <color rgb="FF808080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/>
      <diagonal/>
    </border>
    <border>
      <left style="hair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 style="thin">
        <color indexed="64"/>
      </left>
      <right style="hair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indexed="64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thin">
        <color auto="1"/>
      </bottom>
      <diagonal/>
    </border>
    <border>
      <left/>
      <right style="thin">
        <color indexed="64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 style="hair">
        <color indexed="64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hair">
        <color auto="1"/>
      </top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double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uble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double">
        <color indexed="64"/>
      </bottom>
      <diagonal/>
    </border>
    <border>
      <left/>
      <right style="hair">
        <color auto="1"/>
      </right>
      <top style="hair">
        <color auto="1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hair">
        <color auto="1"/>
      </left>
      <right/>
      <top style="hair">
        <color auto="1"/>
      </top>
      <bottom style="double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thin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 style="hair">
        <color auto="1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ck">
        <color rgb="FFFF0000"/>
      </right>
      <top/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indexed="64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rgb="FFE3E3E3"/>
      </right>
      <top style="thin">
        <color rgb="FFE3E3E3"/>
      </top>
      <bottom style="thin">
        <color rgb="FFE3E3E3"/>
      </bottom>
      <diagonal/>
    </border>
    <border>
      <left/>
      <right style="thin">
        <color rgb="FFF1F1F1"/>
      </right>
      <top/>
      <bottom style="thin">
        <color rgb="FFF1F1F1"/>
      </bottom>
      <diagonal/>
    </border>
    <border>
      <left style="thin">
        <color theme="0" tint="-0.249977111117893"/>
      </left>
      <right/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theme="1" tint="0.499984740745262"/>
      </bottom>
      <diagonal/>
    </border>
    <border>
      <left style="medium">
        <color rgb="FFFF0000"/>
      </left>
      <right style="medium">
        <color rgb="FFFF0000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FF0000"/>
      </left>
      <right style="medium">
        <color rgb="FFFF0000"/>
      </right>
      <top style="thin">
        <color theme="1" tint="0.499984740745262"/>
      </top>
      <bottom style="medium">
        <color rgb="FFFF0000"/>
      </bottom>
      <diagonal/>
    </border>
  </borders>
  <cellStyleXfs count="7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7" fillId="0" borderId="0">
      <alignment vertical="center"/>
    </xf>
    <xf numFmtId="0" fontId="54" fillId="15" borderId="0" applyNumberFormat="0" applyBorder="0" applyAlignment="0" applyProtection="0">
      <alignment vertical="center"/>
    </xf>
  </cellStyleXfs>
  <cellXfs count="10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176" fontId="8" fillId="0" borderId="6" xfId="0" applyNumberFormat="1" applyFont="1" applyFill="1" applyBorder="1" applyAlignment="1">
      <alignment horizontal="center" vertical="center"/>
    </xf>
    <xf numFmtId="9" fontId="8" fillId="0" borderId="6" xfId="0" applyNumberFormat="1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10" fillId="0" borderId="0" xfId="0" applyFont="1" applyAlignment="1">
      <alignment horizontal="right" vertical="center"/>
    </xf>
    <xf numFmtId="0" fontId="12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right" vertical="center"/>
    </xf>
    <xf numFmtId="0" fontId="12" fillId="3" borderId="0" xfId="0" applyFont="1" applyFill="1" applyBorder="1" applyAlignment="1">
      <alignment horizontal="center" vertical="center"/>
    </xf>
    <xf numFmtId="0" fontId="11" fillId="3" borderId="31" xfId="0" applyFont="1" applyFill="1" applyBorder="1" applyAlignment="1">
      <alignment horizontal="center" vertical="center" wrapText="1" readingOrder="1"/>
    </xf>
    <xf numFmtId="0" fontId="11" fillId="3" borderId="41" xfId="0" applyFont="1" applyFill="1" applyBorder="1" applyAlignment="1">
      <alignment horizontal="center" vertical="center" wrapText="1" readingOrder="1"/>
    </xf>
    <xf numFmtId="0" fontId="11" fillId="3" borderId="41" xfId="0" applyFont="1" applyFill="1" applyBorder="1" applyAlignment="1">
      <alignment horizontal="right" vertical="center" wrapText="1"/>
    </xf>
    <xf numFmtId="0" fontId="11" fillId="3" borderId="42" xfId="0" applyFont="1" applyFill="1" applyBorder="1" applyAlignment="1">
      <alignment horizontal="center" vertical="center" wrapText="1" readingOrder="1"/>
    </xf>
    <xf numFmtId="0" fontId="11" fillId="3" borderId="0" xfId="0" applyFont="1" applyFill="1" applyBorder="1" applyAlignment="1">
      <alignment horizontal="center" vertical="center" wrapText="1" readingOrder="1"/>
    </xf>
    <xf numFmtId="0" fontId="11" fillId="3" borderId="46" xfId="0" applyFont="1" applyFill="1" applyBorder="1" applyAlignment="1">
      <alignment horizontal="center" vertical="center" wrapText="1" readingOrder="1"/>
    </xf>
    <xf numFmtId="0" fontId="13" fillId="3" borderId="46" xfId="0" applyFont="1" applyFill="1" applyBorder="1" applyAlignment="1">
      <alignment horizontal="center" vertical="center" wrapText="1" readingOrder="1"/>
    </xf>
    <xf numFmtId="0" fontId="13" fillId="3" borderId="44" xfId="0" applyFont="1" applyFill="1" applyBorder="1" applyAlignment="1">
      <alignment horizontal="center" vertical="center" wrapText="1" readingOrder="1"/>
    </xf>
    <xf numFmtId="0" fontId="11" fillId="3" borderId="47" xfId="0" applyFont="1" applyFill="1" applyBorder="1" applyAlignment="1">
      <alignment horizontal="center" vertical="center" wrapText="1" readingOrder="1"/>
    </xf>
    <xf numFmtId="0" fontId="11" fillId="3" borderId="48" xfId="0" applyFont="1" applyFill="1" applyBorder="1" applyAlignment="1">
      <alignment horizontal="center" vertical="center" wrapText="1" readingOrder="1"/>
    </xf>
    <xf numFmtId="0" fontId="11" fillId="3" borderId="48" xfId="0" applyFont="1" applyFill="1" applyBorder="1" applyAlignment="1">
      <alignment horizontal="right" vertical="center" wrapText="1"/>
    </xf>
    <xf numFmtId="0" fontId="11" fillId="3" borderId="49" xfId="0" applyFont="1" applyFill="1" applyBorder="1" applyAlignment="1">
      <alignment horizontal="center" vertical="center" wrapText="1" readingOrder="1"/>
    </xf>
    <xf numFmtId="3" fontId="15" fillId="3" borderId="50" xfId="0" applyNumberFormat="1" applyFont="1" applyFill="1" applyBorder="1" applyAlignment="1">
      <alignment horizontal="right" vertical="center" wrapText="1" readingOrder="1"/>
    </xf>
    <xf numFmtId="3" fontId="15" fillId="3" borderId="50" xfId="0" applyNumberFormat="1" applyFont="1" applyFill="1" applyBorder="1" applyAlignment="1">
      <alignment horizontal="right" vertical="center" wrapText="1"/>
    </xf>
    <xf numFmtId="3" fontId="15" fillId="3" borderId="0" xfId="0" applyNumberFormat="1" applyFont="1" applyFill="1" applyBorder="1" applyAlignment="1">
      <alignment horizontal="right" vertical="center" wrapText="1" readingOrder="1"/>
    </xf>
    <xf numFmtId="3" fontId="10" fillId="0" borderId="52" xfId="0" applyNumberFormat="1" applyFont="1" applyBorder="1">
      <alignment vertical="center"/>
    </xf>
    <xf numFmtId="3" fontId="10" fillId="0" borderId="53" xfId="0" applyNumberFormat="1" applyFont="1" applyBorder="1">
      <alignment vertical="center"/>
    </xf>
    <xf numFmtId="3" fontId="10" fillId="0" borderId="55" xfId="0" applyNumberFormat="1" applyFont="1" applyBorder="1">
      <alignment vertical="center"/>
    </xf>
    <xf numFmtId="3" fontId="10" fillId="0" borderId="0" xfId="0" applyNumberFormat="1" applyFont="1" applyBorder="1">
      <alignment vertical="center"/>
    </xf>
    <xf numFmtId="3" fontId="10" fillId="0" borderId="56" xfId="0" applyNumberFormat="1" applyFont="1" applyBorder="1">
      <alignment vertical="center"/>
    </xf>
    <xf numFmtId="3" fontId="10" fillId="0" borderId="57" xfId="0" applyNumberFormat="1" applyFont="1" applyBorder="1">
      <alignment vertical="center"/>
    </xf>
    <xf numFmtId="3" fontId="10" fillId="0" borderId="58" xfId="0" applyNumberFormat="1" applyFont="1" applyBorder="1">
      <alignment vertical="center"/>
    </xf>
    <xf numFmtId="3" fontId="10" fillId="0" borderId="51" xfId="0" applyNumberFormat="1" applyFont="1" applyBorder="1">
      <alignment vertical="center"/>
    </xf>
    <xf numFmtId="3" fontId="10" fillId="0" borderId="59" xfId="0" applyNumberFormat="1" applyFont="1" applyBorder="1" applyAlignment="1">
      <alignment horizontal="right" vertical="center"/>
    </xf>
    <xf numFmtId="177" fontId="10" fillId="0" borderId="51" xfId="0" applyNumberFormat="1" applyFont="1" applyBorder="1">
      <alignment vertical="center"/>
    </xf>
    <xf numFmtId="177" fontId="10" fillId="0" borderId="0" xfId="0" applyNumberFormat="1" applyFont="1" applyBorder="1">
      <alignment vertical="center"/>
    </xf>
    <xf numFmtId="0" fontId="16" fillId="3" borderId="0" xfId="0" applyFont="1" applyFill="1" applyBorder="1" applyAlignment="1">
      <alignment horizontal="right" vertical="center" wrapText="1" readingOrder="1"/>
    </xf>
    <xf numFmtId="0" fontId="16" fillId="3" borderId="43" xfId="0" applyFont="1" applyFill="1" applyBorder="1" applyAlignment="1">
      <alignment horizontal="right" vertical="center" wrapText="1" readingOrder="1"/>
    </xf>
    <xf numFmtId="3" fontId="10" fillId="0" borderId="61" xfId="0" applyNumberFormat="1" applyFont="1" applyBorder="1">
      <alignment vertical="center"/>
    </xf>
    <xf numFmtId="3" fontId="10" fillId="0" borderId="62" xfId="0" applyNumberFormat="1" applyFont="1" applyBorder="1">
      <alignment vertical="center"/>
    </xf>
    <xf numFmtId="3" fontId="10" fillId="0" borderId="63" xfId="0" applyNumberFormat="1" applyFont="1" applyBorder="1" applyAlignment="1">
      <alignment horizontal="right" vertical="center"/>
    </xf>
    <xf numFmtId="3" fontId="10" fillId="0" borderId="64" xfId="0" applyNumberFormat="1" applyFont="1" applyBorder="1">
      <alignment vertical="center"/>
    </xf>
    <xf numFmtId="3" fontId="10" fillId="0" borderId="43" xfId="0" applyNumberFormat="1" applyFont="1" applyBorder="1">
      <alignment vertical="center"/>
    </xf>
    <xf numFmtId="0" fontId="14" fillId="7" borderId="34" xfId="0" applyFont="1" applyFill="1" applyBorder="1" applyAlignment="1">
      <alignment horizontal="right" vertical="center" wrapText="1" readingOrder="1"/>
    </xf>
    <xf numFmtId="0" fontId="14" fillId="7" borderId="32" xfId="0" applyFont="1" applyFill="1" applyBorder="1" applyAlignment="1">
      <alignment horizontal="right" vertical="center" wrapText="1" readingOrder="1"/>
    </xf>
    <xf numFmtId="3" fontId="12" fillId="7" borderId="65" xfId="0" applyNumberFormat="1" applyFont="1" applyFill="1" applyBorder="1">
      <alignment vertical="center"/>
    </xf>
    <xf numFmtId="3" fontId="12" fillId="7" borderId="66" xfId="0" applyNumberFormat="1" applyFont="1" applyFill="1" applyBorder="1">
      <alignment vertical="center"/>
    </xf>
    <xf numFmtId="3" fontId="12" fillId="7" borderId="67" xfId="0" applyNumberFormat="1" applyFont="1" applyFill="1" applyBorder="1" applyAlignment="1">
      <alignment horizontal="right" vertical="center"/>
    </xf>
    <xf numFmtId="3" fontId="12" fillId="7" borderId="68" xfId="0" applyNumberFormat="1" applyFont="1" applyFill="1" applyBorder="1">
      <alignment vertical="center"/>
    </xf>
    <xf numFmtId="3" fontId="12" fillId="7" borderId="32" xfId="0" applyNumberFormat="1" applyFont="1" applyFill="1" applyBorder="1">
      <alignment vertical="center"/>
    </xf>
    <xf numFmtId="3" fontId="12" fillId="7" borderId="0" xfId="0" applyNumberFormat="1" applyFont="1" applyFill="1" applyBorder="1">
      <alignment vertical="center"/>
    </xf>
    <xf numFmtId="3" fontId="10" fillId="0" borderId="69" xfId="0" applyNumberFormat="1" applyFont="1" applyBorder="1">
      <alignment vertical="center"/>
    </xf>
    <xf numFmtId="3" fontId="10" fillId="0" borderId="71" xfId="0" applyNumberFormat="1" applyFont="1" applyBorder="1">
      <alignment vertical="center"/>
    </xf>
    <xf numFmtId="3" fontId="10" fillId="0" borderId="31" xfId="0" applyNumberFormat="1" applyFont="1" applyBorder="1">
      <alignment vertical="center"/>
    </xf>
    <xf numFmtId="0" fontId="17" fillId="7" borderId="0" xfId="0" applyFont="1" applyFill="1" applyBorder="1" applyAlignment="1">
      <alignment horizontal="right" vertical="center" wrapText="1" readingOrder="1"/>
    </xf>
    <xf numFmtId="0" fontId="17" fillId="7" borderId="43" xfId="0" applyFont="1" applyFill="1" applyBorder="1" applyAlignment="1">
      <alignment horizontal="right" vertical="center" wrapText="1" readingOrder="1"/>
    </xf>
    <xf numFmtId="3" fontId="10" fillId="0" borderId="62" xfId="0" applyNumberFormat="1" applyFont="1" applyBorder="1" applyAlignment="1">
      <alignment horizontal="right" vertical="center"/>
    </xf>
    <xf numFmtId="0" fontId="14" fillId="8" borderId="41" xfId="0" applyFont="1" applyFill="1" applyBorder="1" applyAlignment="1">
      <alignment horizontal="right" vertical="center" wrapText="1" readingOrder="1"/>
    </xf>
    <xf numFmtId="0" fontId="14" fillId="8" borderId="0" xfId="0" applyFont="1" applyFill="1" applyBorder="1" applyAlignment="1">
      <alignment horizontal="right" vertical="center" wrapText="1" readingOrder="1"/>
    </xf>
    <xf numFmtId="9" fontId="12" fillId="0" borderId="58" xfId="1" applyFont="1" applyBorder="1">
      <alignment vertical="center"/>
    </xf>
    <xf numFmtId="9" fontId="12" fillId="0" borderId="58" xfId="1" applyFont="1" applyBorder="1" applyAlignment="1">
      <alignment horizontal="right" vertical="center"/>
    </xf>
    <xf numFmtId="178" fontId="12" fillId="0" borderId="57" xfId="1" applyNumberFormat="1" applyFont="1" applyBorder="1">
      <alignment vertical="center"/>
    </xf>
    <xf numFmtId="178" fontId="12" fillId="0" borderId="58" xfId="1" applyNumberFormat="1" applyFont="1" applyBorder="1">
      <alignment vertical="center"/>
    </xf>
    <xf numFmtId="9" fontId="12" fillId="0" borderId="0" xfId="1" applyFont="1" applyBorder="1">
      <alignment vertical="center"/>
    </xf>
    <xf numFmtId="0" fontId="17" fillId="8" borderId="41" xfId="0" applyFont="1" applyFill="1" applyBorder="1" applyAlignment="1">
      <alignment horizontal="right" vertical="center" wrapText="1" readingOrder="1"/>
    </xf>
    <xf numFmtId="0" fontId="17" fillId="8" borderId="0" xfId="0" applyFont="1" applyFill="1" applyBorder="1" applyAlignment="1">
      <alignment horizontal="right" vertical="center" wrapText="1" readingOrder="1"/>
    </xf>
    <xf numFmtId="9" fontId="10" fillId="0" borderId="56" xfId="1" applyFont="1" applyBorder="1">
      <alignment vertical="center"/>
    </xf>
    <xf numFmtId="9" fontId="10" fillId="0" borderId="56" xfId="1" applyFont="1" applyBorder="1" applyAlignment="1">
      <alignment horizontal="right" vertical="center"/>
    </xf>
    <xf numFmtId="178" fontId="10" fillId="0" borderId="69" xfId="1" applyNumberFormat="1" applyFont="1" applyBorder="1">
      <alignment vertical="center"/>
    </xf>
    <xf numFmtId="178" fontId="10" fillId="0" borderId="56" xfId="1" applyNumberFormat="1" applyFont="1" applyBorder="1">
      <alignment vertical="center"/>
    </xf>
    <xf numFmtId="9" fontId="10" fillId="0" borderId="0" xfId="1" applyFont="1" applyBorder="1">
      <alignment vertical="center"/>
    </xf>
    <xf numFmtId="9" fontId="10" fillId="0" borderId="58" xfId="1" applyFont="1" applyBorder="1">
      <alignment vertical="center"/>
    </xf>
    <xf numFmtId="9" fontId="10" fillId="0" borderId="58" xfId="1" applyFont="1" applyBorder="1" applyAlignment="1">
      <alignment horizontal="right" vertical="center"/>
    </xf>
    <xf numFmtId="178" fontId="10" fillId="0" borderId="57" xfId="1" applyNumberFormat="1" applyFont="1" applyBorder="1">
      <alignment vertical="center"/>
    </xf>
    <xf numFmtId="178" fontId="10" fillId="0" borderId="58" xfId="1" applyNumberFormat="1" applyFont="1" applyBorder="1">
      <alignment vertical="center"/>
    </xf>
    <xf numFmtId="0" fontId="17" fillId="8" borderId="60" xfId="0" applyFont="1" applyFill="1" applyBorder="1" applyAlignment="1">
      <alignment horizontal="right" vertical="center" wrapText="1" readingOrder="1"/>
    </xf>
    <xf numFmtId="0" fontId="17" fillId="8" borderId="43" xfId="0" applyFont="1" applyFill="1" applyBorder="1" applyAlignment="1">
      <alignment horizontal="right" vertical="center" wrapText="1" readingOrder="1"/>
    </xf>
    <xf numFmtId="9" fontId="10" fillId="0" borderId="61" xfId="1" applyFont="1" applyBorder="1">
      <alignment vertical="center"/>
    </xf>
    <xf numFmtId="9" fontId="10" fillId="0" borderId="61" xfId="1" applyFont="1" applyBorder="1" applyAlignment="1">
      <alignment horizontal="right" vertical="center"/>
    </xf>
    <xf numFmtId="3" fontId="12" fillId="0" borderId="61" xfId="0" applyNumberFormat="1" applyFont="1" applyBorder="1">
      <alignment vertical="center"/>
    </xf>
    <xf numFmtId="3" fontId="12" fillId="0" borderId="62" xfId="0" applyNumberFormat="1" applyFont="1" applyBorder="1">
      <alignment vertical="center"/>
    </xf>
    <xf numFmtId="3" fontId="12" fillId="0" borderId="0" xfId="0" applyNumberFormat="1" applyFont="1" applyBorder="1">
      <alignment vertical="center"/>
    </xf>
    <xf numFmtId="0" fontId="19" fillId="0" borderId="0" xfId="0" quotePrefix="1" applyFont="1">
      <alignment vertical="center"/>
    </xf>
    <xf numFmtId="0" fontId="11" fillId="3" borderId="73" xfId="0" applyFont="1" applyFill="1" applyBorder="1" applyAlignment="1">
      <alignment horizontal="center" vertical="center" wrapText="1" readingOrder="1"/>
    </xf>
    <xf numFmtId="0" fontId="24" fillId="3" borderId="76" xfId="0" applyFont="1" applyFill="1" applyBorder="1" applyAlignment="1">
      <alignment horizontal="center" vertical="center" wrapText="1" readingOrder="1"/>
    </xf>
    <xf numFmtId="0" fontId="13" fillId="3" borderId="77" xfId="0" applyFont="1" applyFill="1" applyBorder="1" applyAlignment="1">
      <alignment horizontal="center" vertical="center" wrapText="1" readingOrder="1"/>
    </xf>
    <xf numFmtId="0" fontId="13" fillId="3" borderId="78" xfId="0" applyFont="1" applyFill="1" applyBorder="1" applyAlignment="1">
      <alignment horizontal="center" vertical="center" wrapText="1" readingOrder="1"/>
    </xf>
    <xf numFmtId="0" fontId="24" fillId="3" borderId="81" xfId="0" applyFont="1" applyFill="1" applyBorder="1" applyAlignment="1">
      <alignment horizontal="center" vertical="center" wrapText="1" readingOrder="1"/>
    </xf>
    <xf numFmtId="3" fontId="11" fillId="3" borderId="34" xfId="0" applyNumberFormat="1" applyFont="1" applyFill="1" applyBorder="1" applyAlignment="1">
      <alignment horizontal="right" vertical="center" wrapText="1" readingOrder="1"/>
    </xf>
    <xf numFmtId="9" fontId="25" fillId="3" borderId="82" xfId="1" applyFont="1" applyFill="1" applyBorder="1" applyAlignment="1">
      <alignment horizontal="right" vertical="center" wrapText="1" readingOrder="1"/>
    </xf>
    <xf numFmtId="3" fontId="11" fillId="3" borderId="83" xfId="0" applyNumberFormat="1" applyFont="1" applyFill="1" applyBorder="1" applyAlignment="1">
      <alignment horizontal="right" vertical="center" wrapText="1" readingOrder="1"/>
    </xf>
    <xf numFmtId="3" fontId="11" fillId="3" borderId="84" xfId="0" applyNumberFormat="1" applyFont="1" applyFill="1" applyBorder="1" applyAlignment="1">
      <alignment horizontal="right" vertical="center" wrapText="1" readingOrder="1"/>
    </xf>
    <xf numFmtId="3" fontId="11" fillId="3" borderId="85" xfId="0" applyNumberFormat="1" applyFont="1" applyFill="1" applyBorder="1" applyAlignment="1">
      <alignment horizontal="right" vertical="center" wrapText="1"/>
    </xf>
    <xf numFmtId="3" fontId="11" fillId="3" borderId="32" xfId="0" applyNumberFormat="1" applyFont="1" applyFill="1" applyBorder="1" applyAlignment="1">
      <alignment horizontal="right" vertical="center" wrapText="1" readingOrder="1"/>
    </xf>
    <xf numFmtId="3" fontId="10" fillId="0" borderId="86" xfId="0" applyNumberFormat="1" applyFont="1" applyBorder="1">
      <alignment vertical="center"/>
    </xf>
    <xf numFmtId="9" fontId="26" fillId="0" borderId="87" xfId="1" applyFont="1" applyBorder="1">
      <alignment vertical="center"/>
    </xf>
    <xf numFmtId="3" fontId="10" fillId="0" borderId="88" xfId="0" applyNumberFormat="1" applyFont="1" applyBorder="1">
      <alignment vertical="center"/>
    </xf>
    <xf numFmtId="9" fontId="26" fillId="0" borderId="89" xfId="1" applyFont="1" applyBorder="1">
      <alignment vertical="center"/>
    </xf>
    <xf numFmtId="3" fontId="10" fillId="0" borderId="89" xfId="0" applyNumberFormat="1" applyFont="1" applyBorder="1">
      <alignment vertical="center"/>
    </xf>
    <xf numFmtId="9" fontId="26" fillId="0" borderId="90" xfId="1" applyFont="1" applyBorder="1">
      <alignment vertical="center"/>
    </xf>
    <xf numFmtId="3" fontId="10" fillId="0" borderId="91" xfId="0" applyNumberFormat="1" applyFont="1" applyBorder="1" applyAlignment="1">
      <alignment vertical="center"/>
    </xf>
    <xf numFmtId="3" fontId="10" fillId="0" borderId="92" xfId="0" applyNumberFormat="1" applyFont="1" applyBorder="1">
      <alignment vertical="center"/>
    </xf>
    <xf numFmtId="9" fontId="26" fillId="0" borderId="93" xfId="1" applyFont="1" applyBorder="1">
      <alignment vertical="center"/>
    </xf>
    <xf numFmtId="9" fontId="26" fillId="0" borderId="94" xfId="1" applyFont="1" applyBorder="1">
      <alignment vertical="center"/>
    </xf>
    <xf numFmtId="3" fontId="10" fillId="0" borderId="95" xfId="0" applyNumberFormat="1" applyFont="1" applyBorder="1">
      <alignment vertical="center"/>
    </xf>
    <xf numFmtId="9" fontId="26" fillId="0" borderId="10" xfId="1" applyFont="1" applyBorder="1">
      <alignment vertical="center"/>
    </xf>
    <xf numFmtId="3" fontId="10" fillId="0" borderId="10" xfId="0" applyNumberFormat="1" applyFont="1" applyBorder="1">
      <alignment vertical="center"/>
    </xf>
    <xf numFmtId="9" fontId="26" fillId="0" borderId="96" xfId="1" applyFont="1" applyBorder="1">
      <alignment vertical="center"/>
    </xf>
    <xf numFmtId="3" fontId="10" fillId="0" borderId="59" xfId="0" applyNumberFormat="1" applyFont="1" applyBorder="1" applyAlignment="1">
      <alignment vertical="center"/>
    </xf>
    <xf numFmtId="9" fontId="26" fillId="0" borderId="97" xfId="1" applyFont="1" applyBorder="1">
      <alignment vertical="center"/>
    </xf>
    <xf numFmtId="3" fontId="28" fillId="0" borderId="58" xfId="0" applyNumberFormat="1" applyFont="1" applyBorder="1">
      <alignment vertical="center"/>
    </xf>
    <xf numFmtId="3" fontId="28" fillId="0" borderId="95" xfId="0" applyNumberFormat="1" applyFont="1" applyBorder="1">
      <alignment vertical="center"/>
    </xf>
    <xf numFmtId="3" fontId="28" fillId="0" borderId="10" xfId="0" applyNumberFormat="1" applyFont="1" applyBorder="1">
      <alignment vertical="center"/>
    </xf>
    <xf numFmtId="3" fontId="28" fillId="0" borderId="59" xfId="0" applyNumberFormat="1" applyFont="1" applyBorder="1" applyAlignment="1">
      <alignment horizontal="right" vertical="center"/>
    </xf>
    <xf numFmtId="3" fontId="28" fillId="0" borderId="0" xfId="0" applyNumberFormat="1" applyFont="1" applyBorder="1">
      <alignment vertical="center"/>
    </xf>
    <xf numFmtId="3" fontId="10" fillId="0" borderId="63" xfId="0" applyNumberFormat="1" applyFont="1" applyBorder="1" applyAlignment="1">
      <alignment vertical="center"/>
    </xf>
    <xf numFmtId="0" fontId="11" fillId="7" borderId="34" xfId="0" applyFont="1" applyFill="1" applyBorder="1" applyAlignment="1">
      <alignment horizontal="right" vertical="center" wrapText="1" readingOrder="1"/>
    </xf>
    <xf numFmtId="0" fontId="11" fillId="7" borderId="32" xfId="0" applyFont="1" applyFill="1" applyBorder="1" applyAlignment="1">
      <alignment horizontal="right" vertical="center" wrapText="1" readingOrder="1"/>
    </xf>
    <xf numFmtId="9" fontId="29" fillId="8" borderId="98" xfId="1" applyFont="1" applyFill="1" applyBorder="1" applyAlignment="1">
      <alignment horizontal="right" vertical="center"/>
    </xf>
    <xf numFmtId="3" fontId="12" fillId="7" borderId="99" xfId="0" applyNumberFormat="1" applyFont="1" applyFill="1" applyBorder="1">
      <alignment vertical="center"/>
    </xf>
    <xf numFmtId="3" fontId="12" fillId="7" borderId="84" xfId="0" applyNumberFormat="1" applyFont="1" applyFill="1" applyBorder="1">
      <alignment vertical="center"/>
    </xf>
    <xf numFmtId="3" fontId="10" fillId="4" borderId="56" xfId="0" applyNumberFormat="1" applyFont="1" applyFill="1" applyBorder="1">
      <alignment vertical="center"/>
    </xf>
    <xf numFmtId="9" fontId="26" fillId="8" borderId="100" xfId="1" applyFont="1" applyFill="1" applyBorder="1">
      <alignment vertical="center"/>
    </xf>
    <xf numFmtId="3" fontId="10" fillId="4" borderId="101" xfId="0" applyNumberFormat="1" applyFont="1" applyFill="1" applyBorder="1">
      <alignment vertical="center"/>
    </xf>
    <xf numFmtId="9" fontId="26" fillId="8" borderId="17" xfId="1" applyFont="1" applyFill="1" applyBorder="1">
      <alignment vertical="center"/>
    </xf>
    <xf numFmtId="3" fontId="10" fillId="4" borderId="17" xfId="0" applyNumberFormat="1" applyFont="1" applyFill="1" applyBorder="1">
      <alignment vertical="center"/>
    </xf>
    <xf numFmtId="9" fontId="26" fillId="8" borderId="102" xfId="1" applyFont="1" applyFill="1" applyBorder="1">
      <alignment vertical="center"/>
    </xf>
    <xf numFmtId="3" fontId="10" fillId="4" borderId="70" xfId="0" applyNumberFormat="1" applyFont="1" applyFill="1" applyBorder="1" applyAlignment="1">
      <alignment vertical="center"/>
    </xf>
    <xf numFmtId="3" fontId="10" fillId="4" borderId="31" xfId="0" applyNumberFormat="1" applyFont="1" applyFill="1" applyBorder="1">
      <alignment vertical="center"/>
    </xf>
    <xf numFmtId="9" fontId="26" fillId="8" borderId="103" xfId="1" applyFont="1" applyFill="1" applyBorder="1">
      <alignment vertical="center"/>
    </xf>
    <xf numFmtId="3" fontId="10" fillId="4" borderId="58" xfId="0" applyNumberFormat="1" applyFont="1" applyFill="1" applyBorder="1">
      <alignment vertical="center"/>
    </xf>
    <xf numFmtId="9" fontId="26" fillId="8" borderId="94" xfId="1" applyFont="1" applyFill="1" applyBorder="1">
      <alignment vertical="center"/>
    </xf>
    <xf numFmtId="3" fontId="10" fillId="4" borderId="95" xfId="0" applyNumberFormat="1" applyFont="1" applyFill="1" applyBorder="1">
      <alignment vertical="center"/>
    </xf>
    <xf numFmtId="9" fontId="26" fillId="8" borderId="10" xfId="1" applyFont="1" applyFill="1" applyBorder="1">
      <alignment vertical="center"/>
    </xf>
    <xf numFmtId="3" fontId="10" fillId="4" borderId="10" xfId="0" applyNumberFormat="1" applyFont="1" applyFill="1" applyBorder="1">
      <alignment vertical="center"/>
    </xf>
    <xf numFmtId="9" fontId="26" fillId="8" borderId="96" xfId="1" applyFont="1" applyFill="1" applyBorder="1">
      <alignment vertical="center"/>
    </xf>
    <xf numFmtId="3" fontId="10" fillId="4" borderId="59" xfId="0" applyNumberFormat="1" applyFont="1" applyFill="1" applyBorder="1" applyAlignment="1">
      <alignment vertical="center"/>
    </xf>
    <xf numFmtId="3" fontId="10" fillId="4" borderId="0" xfId="0" applyNumberFormat="1" applyFont="1" applyFill="1" applyBorder="1">
      <alignment vertical="center"/>
    </xf>
    <xf numFmtId="9" fontId="26" fillId="8" borderId="97" xfId="1" applyFont="1" applyFill="1" applyBorder="1">
      <alignment vertical="center"/>
    </xf>
    <xf numFmtId="3" fontId="10" fillId="4" borderId="59" xfId="0" applyNumberFormat="1" applyFont="1" applyFill="1" applyBorder="1" applyAlignment="1">
      <alignment horizontal="right" vertical="center"/>
    </xf>
    <xf numFmtId="3" fontId="28" fillId="4" borderId="58" xfId="0" applyNumberFormat="1" applyFont="1" applyFill="1" applyBorder="1">
      <alignment vertical="center"/>
    </xf>
    <xf numFmtId="3" fontId="28" fillId="4" borderId="95" xfId="0" applyNumberFormat="1" applyFont="1" applyFill="1" applyBorder="1">
      <alignment vertical="center"/>
    </xf>
    <xf numFmtId="3" fontId="28" fillId="4" borderId="10" xfId="0" applyNumberFormat="1" applyFont="1" applyFill="1" applyBorder="1">
      <alignment vertical="center"/>
    </xf>
    <xf numFmtId="3" fontId="28" fillId="4" borderId="59" xfId="0" applyNumberFormat="1" applyFont="1" applyFill="1" applyBorder="1" applyAlignment="1">
      <alignment horizontal="right" vertical="center"/>
    </xf>
    <xf numFmtId="3" fontId="28" fillId="4" borderId="0" xfId="0" applyNumberFormat="1" applyFont="1" applyFill="1" applyBorder="1">
      <alignment vertical="center"/>
    </xf>
    <xf numFmtId="0" fontId="16" fillId="7" borderId="0" xfId="0" applyFont="1" applyFill="1" applyBorder="1" applyAlignment="1">
      <alignment horizontal="right" vertical="center" wrapText="1" readingOrder="1"/>
    </xf>
    <xf numFmtId="0" fontId="16" fillId="7" borderId="105" xfId="0" applyFont="1" applyFill="1" applyBorder="1" applyAlignment="1">
      <alignment horizontal="right" vertical="center" wrapText="1" readingOrder="1"/>
    </xf>
    <xf numFmtId="3" fontId="10" fillId="4" borderId="106" xfId="0" applyNumberFormat="1" applyFont="1" applyFill="1" applyBorder="1">
      <alignment vertical="center"/>
    </xf>
    <xf numFmtId="9" fontId="26" fillId="8" borderId="107" xfId="1" applyFont="1" applyFill="1" applyBorder="1">
      <alignment vertical="center"/>
    </xf>
    <xf numFmtId="3" fontId="10" fillId="4" borderId="108" xfId="0" applyNumberFormat="1" applyFont="1" applyFill="1" applyBorder="1">
      <alignment vertical="center"/>
    </xf>
    <xf numFmtId="9" fontId="26" fillId="8" borderId="109" xfId="1" applyFont="1" applyFill="1" applyBorder="1">
      <alignment vertical="center"/>
    </xf>
    <xf numFmtId="3" fontId="10" fillId="4" borderId="109" xfId="0" applyNumberFormat="1" applyFont="1" applyFill="1" applyBorder="1">
      <alignment vertical="center"/>
    </xf>
    <xf numFmtId="9" fontId="26" fillId="8" borderId="110" xfId="1" applyFont="1" applyFill="1" applyBorder="1">
      <alignment vertical="center"/>
    </xf>
    <xf numFmtId="3" fontId="10" fillId="4" borderId="111" xfId="0" applyNumberFormat="1" applyFont="1" applyFill="1" applyBorder="1" applyAlignment="1">
      <alignment vertical="center"/>
    </xf>
    <xf numFmtId="3" fontId="10" fillId="4" borderId="105" xfId="0" applyNumberFormat="1" applyFont="1" applyFill="1" applyBorder="1">
      <alignment vertical="center"/>
    </xf>
    <xf numFmtId="0" fontId="11" fillId="8" borderId="41" xfId="0" applyFont="1" applyFill="1" applyBorder="1" applyAlignment="1">
      <alignment horizontal="right" vertical="center" wrapText="1" readingOrder="1"/>
    </xf>
    <xf numFmtId="0" fontId="11" fillId="8" borderId="0" xfId="0" applyFont="1" applyFill="1" applyBorder="1" applyAlignment="1">
      <alignment horizontal="right" vertical="center" wrapText="1" readingOrder="1"/>
    </xf>
    <xf numFmtId="9" fontId="30" fillId="0" borderId="97" xfId="1" applyFont="1" applyBorder="1" applyAlignment="1">
      <alignment horizontal="right" vertical="center"/>
    </xf>
    <xf numFmtId="9" fontId="12" fillId="0" borderId="95" xfId="1" applyFont="1" applyBorder="1">
      <alignment vertical="center"/>
    </xf>
    <xf numFmtId="9" fontId="30" fillId="0" borderId="10" xfId="1" applyFont="1" applyBorder="1" applyAlignment="1">
      <alignment horizontal="right" vertical="center"/>
    </xf>
    <xf numFmtId="9" fontId="12" fillId="0" borderId="10" xfId="1" applyFont="1" applyBorder="1">
      <alignment vertical="center"/>
    </xf>
    <xf numFmtId="9" fontId="30" fillId="0" borderId="24" xfId="1" applyFont="1" applyBorder="1" applyAlignment="1">
      <alignment horizontal="right" vertical="center"/>
    </xf>
    <xf numFmtId="3" fontId="12" fillId="0" borderId="59" xfId="1" applyNumberFormat="1" applyFont="1" applyBorder="1" applyAlignment="1">
      <alignment horizontal="right" vertical="center"/>
    </xf>
    <xf numFmtId="178" fontId="12" fillId="0" borderId="0" xfId="1" applyNumberFormat="1" applyFont="1" applyBorder="1">
      <alignment vertical="center"/>
    </xf>
    <xf numFmtId="179" fontId="26" fillId="0" borderId="103" xfId="1" applyNumberFormat="1" applyFont="1" applyBorder="1">
      <alignment vertical="center"/>
    </xf>
    <xf numFmtId="9" fontId="10" fillId="0" borderId="101" xfId="1" applyFont="1" applyBorder="1">
      <alignment vertical="center"/>
    </xf>
    <xf numFmtId="179" fontId="26" fillId="0" borderId="17" xfId="1" applyNumberFormat="1" applyFont="1" applyBorder="1">
      <alignment vertical="center"/>
    </xf>
    <xf numFmtId="9" fontId="10" fillId="0" borderId="17" xfId="1" applyFont="1" applyBorder="1">
      <alignment vertical="center"/>
    </xf>
    <xf numFmtId="179" fontId="26" fillId="0" borderId="18" xfId="1" applyNumberFormat="1" applyFont="1" applyBorder="1">
      <alignment vertical="center"/>
    </xf>
    <xf numFmtId="3" fontId="10" fillId="0" borderId="70" xfId="1" applyNumberFormat="1" applyFont="1" applyBorder="1" applyAlignment="1">
      <alignment vertical="center"/>
    </xf>
    <xf numFmtId="178" fontId="10" fillId="0" borderId="31" xfId="1" applyNumberFormat="1" applyFont="1" applyBorder="1">
      <alignment vertical="center"/>
    </xf>
    <xf numFmtId="179" fontId="26" fillId="0" borderId="97" xfId="1" applyNumberFormat="1" applyFont="1" applyBorder="1">
      <alignment vertical="center"/>
    </xf>
    <xf numFmtId="9" fontId="10" fillId="0" borderId="95" xfId="1" applyFont="1" applyBorder="1">
      <alignment vertical="center"/>
    </xf>
    <xf numFmtId="179" fontId="26" fillId="0" borderId="10" xfId="1" applyNumberFormat="1" applyFont="1" applyBorder="1">
      <alignment vertical="center"/>
    </xf>
    <xf numFmtId="9" fontId="10" fillId="0" borderId="10" xfId="1" applyFont="1" applyBorder="1">
      <alignment vertical="center"/>
    </xf>
    <xf numFmtId="179" fontId="26" fillId="0" borderId="24" xfId="1" applyNumberFormat="1" applyFont="1" applyBorder="1">
      <alignment vertical="center"/>
    </xf>
    <xf numFmtId="3" fontId="10" fillId="0" borderId="59" xfId="1" applyNumberFormat="1" applyFont="1" applyBorder="1" applyAlignment="1">
      <alignment vertical="center"/>
    </xf>
    <xf numFmtId="178" fontId="10" fillId="0" borderId="0" xfId="1" applyNumberFormat="1" applyFont="1" applyBorder="1">
      <alignment vertical="center"/>
    </xf>
    <xf numFmtId="9" fontId="28" fillId="8" borderId="58" xfId="1" applyFont="1" applyFill="1" applyBorder="1">
      <alignment vertical="center"/>
    </xf>
    <xf numFmtId="179" fontId="26" fillId="8" borderId="94" xfId="1" applyNumberFormat="1" applyFont="1" applyFill="1" applyBorder="1">
      <alignment vertical="center"/>
    </xf>
    <xf numFmtId="9" fontId="28" fillId="8" borderId="95" xfId="1" applyFont="1" applyFill="1" applyBorder="1">
      <alignment vertical="center"/>
    </xf>
    <xf numFmtId="179" fontId="26" fillId="8" borderId="10" xfId="1" applyNumberFormat="1" applyFont="1" applyFill="1" applyBorder="1">
      <alignment vertical="center"/>
    </xf>
    <xf numFmtId="9" fontId="28" fillId="8" borderId="10" xfId="1" applyFont="1" applyFill="1" applyBorder="1">
      <alignment vertical="center"/>
    </xf>
    <xf numFmtId="179" fontId="26" fillId="8" borderId="96" xfId="1" applyNumberFormat="1" applyFont="1" applyFill="1" applyBorder="1">
      <alignment vertical="center"/>
    </xf>
    <xf numFmtId="9" fontId="28" fillId="8" borderId="0" xfId="1" applyFont="1" applyFill="1" applyBorder="1">
      <alignment vertical="center"/>
    </xf>
    <xf numFmtId="179" fontId="26" fillId="8" borderId="97" xfId="1" applyNumberFormat="1" applyFont="1" applyFill="1" applyBorder="1">
      <alignment vertical="center"/>
    </xf>
    <xf numFmtId="0" fontId="16" fillId="0" borderId="0" xfId="0" applyFont="1" applyFill="1" applyBorder="1" applyAlignment="1">
      <alignment horizontal="right" vertical="center" wrapText="1" readingOrder="1"/>
    </xf>
    <xf numFmtId="0" fontId="10" fillId="0" borderId="112" xfId="0" applyFont="1" applyBorder="1">
      <alignment vertical="center"/>
    </xf>
    <xf numFmtId="0" fontId="16" fillId="0" borderId="105" xfId="0" applyFont="1" applyFill="1" applyBorder="1" applyAlignment="1">
      <alignment horizontal="right" vertical="center" wrapText="1" readingOrder="1"/>
    </xf>
    <xf numFmtId="9" fontId="10" fillId="0" borderId="62" xfId="1" applyFont="1" applyBorder="1">
      <alignment vertical="center"/>
    </xf>
    <xf numFmtId="179" fontId="26" fillId="0" borderId="113" xfId="1" applyNumberFormat="1" applyFont="1" applyBorder="1">
      <alignment vertical="center"/>
    </xf>
    <xf numFmtId="9" fontId="10" fillId="0" borderId="114" xfId="1" applyFont="1" applyBorder="1">
      <alignment vertical="center"/>
    </xf>
    <xf numFmtId="179" fontId="26" fillId="0" borderId="115" xfId="1" applyNumberFormat="1" applyFont="1" applyBorder="1">
      <alignment vertical="center"/>
    </xf>
    <xf numFmtId="9" fontId="10" fillId="0" borderId="115" xfId="1" applyFont="1" applyBorder="1">
      <alignment vertical="center"/>
    </xf>
    <xf numFmtId="179" fontId="26" fillId="0" borderId="116" xfId="1" applyNumberFormat="1" applyFont="1" applyBorder="1">
      <alignment vertical="center"/>
    </xf>
    <xf numFmtId="3" fontId="10" fillId="0" borderId="63" xfId="1" applyNumberFormat="1" applyFont="1" applyBorder="1" applyAlignment="1">
      <alignment vertical="center"/>
    </xf>
    <xf numFmtId="3" fontId="12" fillId="0" borderId="43" xfId="0" applyNumberFormat="1" applyFont="1" applyBorder="1">
      <alignment vertical="center"/>
    </xf>
    <xf numFmtId="179" fontId="26" fillId="0" borderId="117" xfId="1" applyNumberFormat="1" applyFont="1" applyBorder="1">
      <alignment vertical="center"/>
    </xf>
    <xf numFmtId="9" fontId="10" fillId="0" borderId="0" xfId="1" applyFont="1" applyFill="1" applyBorder="1">
      <alignment vertical="center"/>
    </xf>
    <xf numFmtId="9" fontId="6" fillId="0" borderId="0" xfId="1" applyFont="1" applyFill="1" applyBorder="1">
      <alignment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31" fillId="0" borderId="0" xfId="0" applyFont="1">
      <alignment vertical="center"/>
    </xf>
    <xf numFmtId="0" fontId="5" fillId="3" borderId="119" xfId="0" applyFont="1" applyFill="1" applyBorder="1" applyAlignment="1">
      <alignment horizontal="center" vertical="center" wrapText="1" readingOrder="1"/>
    </xf>
    <xf numFmtId="0" fontId="31" fillId="0" borderId="0" xfId="0" applyFont="1" applyBorder="1">
      <alignment vertical="center"/>
    </xf>
    <xf numFmtId="0" fontId="0" fillId="0" borderId="0" xfId="0" applyFont="1" applyBorder="1">
      <alignment vertical="center"/>
    </xf>
    <xf numFmtId="0" fontId="3" fillId="0" borderId="160" xfId="0" applyFont="1" applyBorder="1" applyAlignment="1">
      <alignment horizontal="center" vertical="center" wrapText="1"/>
    </xf>
    <xf numFmtId="0" fontId="3" fillId="0" borderId="160" xfId="0" applyFont="1" applyBorder="1" applyAlignment="1">
      <alignment horizontal="center" vertical="center"/>
    </xf>
    <xf numFmtId="0" fontId="3" fillId="0" borderId="162" xfId="0" applyFont="1" applyBorder="1" applyAlignment="1">
      <alignment horizontal="center" vertical="center"/>
    </xf>
    <xf numFmtId="0" fontId="3" fillId="0" borderId="142" xfId="0" applyFont="1" applyBorder="1" applyAlignment="1">
      <alignment horizontal="center" vertical="center"/>
    </xf>
    <xf numFmtId="0" fontId="3" fillId="0" borderId="140" xfId="0" applyFont="1" applyBorder="1" applyAlignment="1">
      <alignment horizontal="center" vertical="center"/>
    </xf>
    <xf numFmtId="0" fontId="3" fillId="3" borderId="161" xfId="0" applyFont="1" applyFill="1" applyBorder="1" applyAlignment="1">
      <alignment horizontal="center" vertical="center"/>
    </xf>
    <xf numFmtId="0" fontId="3" fillId="3" borderId="160" xfId="0" applyFont="1" applyFill="1" applyBorder="1" applyAlignment="1">
      <alignment horizontal="center" vertical="center"/>
    </xf>
    <xf numFmtId="0" fontId="3" fillId="3" borderId="160" xfId="0" applyFont="1" applyFill="1" applyBorder="1" applyAlignment="1">
      <alignment horizontal="center" vertical="center" wrapText="1"/>
    </xf>
    <xf numFmtId="0" fontId="3" fillId="3" borderId="140" xfId="0" applyFont="1" applyFill="1" applyBorder="1" applyAlignment="1">
      <alignment horizontal="center" vertical="center" wrapText="1"/>
    </xf>
    <xf numFmtId="0" fontId="3" fillId="0" borderId="161" xfId="0" applyFont="1" applyFill="1" applyBorder="1" applyAlignment="1">
      <alignment horizontal="center" vertical="center" wrapText="1"/>
    </xf>
    <xf numFmtId="0" fontId="3" fillId="0" borderId="160" xfId="0" applyFont="1" applyFill="1" applyBorder="1" applyAlignment="1">
      <alignment horizontal="center" vertical="center" wrapText="1"/>
    </xf>
    <xf numFmtId="0" fontId="3" fillId="0" borderId="160" xfId="0" applyFont="1" applyFill="1" applyBorder="1" applyAlignment="1">
      <alignment horizontal="center" vertical="center"/>
    </xf>
    <xf numFmtId="0" fontId="3" fillId="0" borderId="162" xfId="0" applyFont="1" applyFill="1" applyBorder="1" applyAlignment="1">
      <alignment horizontal="center" vertical="center"/>
    </xf>
    <xf numFmtId="0" fontId="3" fillId="3" borderId="144" xfId="0" applyFont="1" applyFill="1" applyBorder="1" applyAlignment="1">
      <alignment horizontal="center" vertical="center"/>
    </xf>
    <xf numFmtId="0" fontId="3" fillId="3" borderId="141" xfId="0" applyFont="1" applyFill="1" applyBorder="1" applyAlignment="1">
      <alignment horizontal="center" vertical="center"/>
    </xf>
    <xf numFmtId="0" fontId="3" fillId="3" borderId="143" xfId="0" applyFont="1" applyFill="1" applyBorder="1" applyAlignment="1">
      <alignment horizontal="center" vertical="center"/>
    </xf>
    <xf numFmtId="0" fontId="3" fillId="0" borderId="142" xfId="0" applyFont="1" applyBorder="1" applyAlignment="1">
      <alignment horizontal="center" vertical="center" wrapText="1" readingOrder="1"/>
    </xf>
    <xf numFmtId="0" fontId="3" fillId="0" borderId="160" xfId="0" applyFont="1" applyBorder="1" applyAlignment="1">
      <alignment horizontal="center" vertical="center" wrapText="1" readingOrder="1"/>
    </xf>
    <xf numFmtId="0" fontId="3" fillId="0" borderId="140" xfId="0" applyFont="1" applyBorder="1" applyAlignment="1">
      <alignment horizontal="center" vertical="center" wrapText="1" readingOrder="1"/>
    </xf>
    <xf numFmtId="0" fontId="3" fillId="3" borderId="161" xfId="0" applyFont="1" applyFill="1" applyBorder="1" applyAlignment="1">
      <alignment horizontal="center" vertical="center" wrapText="1" readingOrder="1"/>
    </xf>
    <xf numFmtId="0" fontId="3" fillId="3" borderId="142" xfId="0" applyFont="1" applyFill="1" applyBorder="1" applyAlignment="1">
      <alignment horizontal="center" vertical="center" wrapText="1" readingOrder="1"/>
    </xf>
    <xf numFmtId="0" fontId="3" fillId="3" borderId="160" xfId="0" applyFont="1" applyFill="1" applyBorder="1" applyAlignment="1">
      <alignment horizontal="center" vertical="center" wrapText="1" readingOrder="1"/>
    </xf>
    <xf numFmtId="0" fontId="3" fillId="3" borderId="162" xfId="0" applyFont="1" applyFill="1" applyBorder="1" applyAlignment="1">
      <alignment horizontal="center" vertical="center" wrapText="1" readingOrder="1"/>
    </xf>
    <xf numFmtId="0" fontId="3" fillId="0" borderId="142" xfId="0" applyFont="1" applyFill="1" applyBorder="1" applyAlignment="1">
      <alignment horizontal="center" vertical="center" wrapText="1" readingOrder="1"/>
    </xf>
    <xf numFmtId="0" fontId="3" fillId="0" borderId="160" xfId="0" applyFont="1" applyFill="1" applyBorder="1" applyAlignment="1">
      <alignment horizontal="center" vertical="center" wrapText="1" readingOrder="1"/>
    </xf>
    <xf numFmtId="0" fontId="3" fillId="0" borderId="140" xfId="0" applyFont="1" applyFill="1" applyBorder="1" applyAlignment="1">
      <alignment horizontal="center" vertical="center" wrapText="1" readingOrder="1"/>
    </xf>
    <xf numFmtId="0" fontId="3" fillId="0" borderId="142" xfId="0" applyFont="1" applyFill="1" applyBorder="1" applyAlignment="1">
      <alignment horizontal="center" vertical="center" wrapText="1"/>
    </xf>
    <xf numFmtId="0" fontId="3" fillId="0" borderId="162" xfId="0" applyFont="1" applyFill="1" applyBorder="1" applyAlignment="1">
      <alignment horizontal="center" vertical="center" wrapText="1"/>
    </xf>
    <xf numFmtId="0" fontId="3" fillId="3" borderId="161" xfId="0" applyFont="1" applyFill="1" applyBorder="1" applyAlignment="1">
      <alignment horizontal="center" vertical="center" wrapText="1"/>
    </xf>
    <xf numFmtId="0" fontId="3" fillId="3" borderId="163" xfId="0" applyFont="1" applyFill="1" applyBorder="1" applyAlignment="1">
      <alignment horizontal="center" vertical="center" wrapText="1"/>
    </xf>
    <xf numFmtId="0" fontId="7" fillId="4" borderId="15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38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2" fillId="0" borderId="129" xfId="0" applyFont="1" applyBorder="1" applyAlignment="1">
      <alignment horizontal="center" vertical="center" wrapText="1"/>
    </xf>
    <xf numFmtId="9" fontId="2" fillId="0" borderId="22" xfId="1" applyFont="1" applyBorder="1" applyAlignment="1">
      <alignment horizontal="center" vertical="center"/>
    </xf>
    <xf numFmtId="0" fontId="2" fillId="0" borderId="13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9" fontId="2" fillId="0" borderId="5" xfId="0" applyNumberFormat="1" applyFont="1" applyBorder="1" applyAlignment="1">
      <alignment horizontal="center" vertical="center" wrapText="1"/>
    </xf>
    <xf numFmtId="9" fontId="2" fillId="0" borderId="5" xfId="0" applyNumberFormat="1" applyFont="1" applyBorder="1" applyAlignment="1">
      <alignment horizontal="center" vertical="center"/>
    </xf>
    <xf numFmtId="9" fontId="2" fillId="0" borderId="29" xfId="1" applyFont="1" applyBorder="1" applyAlignment="1">
      <alignment horizontal="center" vertical="center" wrapText="1"/>
    </xf>
    <xf numFmtId="0" fontId="2" fillId="0" borderId="131" xfId="0" applyFont="1" applyBorder="1" applyAlignment="1">
      <alignment horizontal="center" vertical="center" wrapText="1"/>
    </xf>
    <xf numFmtId="0" fontId="2" fillId="0" borderId="137" xfId="0" applyFont="1" applyBorder="1" applyAlignment="1">
      <alignment horizontal="center" vertical="center"/>
    </xf>
    <xf numFmtId="9" fontId="2" fillId="0" borderId="9" xfId="0" applyNumberFormat="1" applyFont="1" applyBorder="1" applyAlignment="1">
      <alignment horizontal="center" vertical="center" wrapText="1"/>
    </xf>
    <xf numFmtId="180" fontId="8" fillId="0" borderId="19" xfId="3" applyNumberFormat="1" applyFont="1" applyFill="1" applyBorder="1" applyAlignment="1">
      <alignment horizontal="center" vertical="center"/>
    </xf>
    <xf numFmtId="180" fontId="8" fillId="0" borderId="3" xfId="3" applyNumberFormat="1" applyFont="1" applyFill="1" applyBorder="1" applyAlignment="1">
      <alignment horizontal="center" vertical="center"/>
    </xf>
    <xf numFmtId="0" fontId="8" fillId="0" borderId="27" xfId="0" applyFont="1" applyFill="1" applyBorder="1" applyAlignment="1">
      <alignment horizontal="center" vertical="center"/>
    </xf>
    <xf numFmtId="176" fontId="8" fillId="0" borderId="2" xfId="0" applyNumberFormat="1" applyFont="1" applyFill="1" applyBorder="1" applyAlignment="1">
      <alignment horizontal="center" vertical="center"/>
    </xf>
    <xf numFmtId="9" fontId="8" fillId="0" borderId="27" xfId="1" applyFont="1" applyFill="1" applyBorder="1" applyAlignment="1">
      <alignment horizontal="center" vertical="center"/>
    </xf>
    <xf numFmtId="176" fontId="8" fillId="0" borderId="145" xfId="2" applyNumberFormat="1" applyFont="1" applyFill="1" applyBorder="1" applyAlignment="1">
      <alignment horizontal="center" vertical="center"/>
    </xf>
    <xf numFmtId="176" fontId="8" fillId="0" borderId="19" xfId="2" applyNumberFormat="1" applyFont="1" applyFill="1" applyBorder="1" applyAlignment="1">
      <alignment horizontal="center" vertical="center"/>
    </xf>
    <xf numFmtId="176" fontId="8" fillId="0" borderId="3" xfId="2" applyNumberFormat="1" applyFont="1" applyFill="1" applyBorder="1" applyAlignment="1">
      <alignment horizontal="center" vertical="center"/>
    </xf>
    <xf numFmtId="176" fontId="8" fillId="0" borderId="4" xfId="2" applyNumberFormat="1" applyFont="1" applyFill="1" applyBorder="1" applyAlignment="1">
      <alignment horizontal="center" vertical="center"/>
    </xf>
    <xf numFmtId="41" fontId="8" fillId="0" borderId="136" xfId="2" applyFont="1" applyFill="1" applyBorder="1" applyAlignment="1">
      <alignment horizontal="center" vertical="center"/>
    </xf>
    <xf numFmtId="41" fontId="8" fillId="0" borderId="5" xfId="2" applyFont="1" applyFill="1" applyBorder="1" applyAlignment="1">
      <alignment horizontal="center" vertical="center"/>
    </xf>
    <xf numFmtId="0" fontId="8" fillId="0" borderId="22" xfId="0" applyFont="1" applyFill="1" applyBorder="1" applyAlignment="1">
      <alignment horizontal="center" vertical="center"/>
    </xf>
    <xf numFmtId="176" fontId="8" fillId="0" borderId="25" xfId="0" applyNumberFormat="1" applyFont="1" applyFill="1" applyBorder="1" applyAlignment="1">
      <alignment horizontal="center" vertical="center"/>
    </xf>
    <xf numFmtId="9" fontId="8" fillId="0" borderId="22" xfId="1" applyFont="1" applyFill="1" applyBorder="1" applyAlignment="1">
      <alignment horizontal="center" vertical="center"/>
    </xf>
    <xf numFmtId="176" fontId="8" fillId="0" borderId="129" xfId="2" applyNumberFormat="1" applyFont="1" applyFill="1" applyBorder="1" applyAlignment="1">
      <alignment horizontal="center" vertical="center"/>
    </xf>
    <xf numFmtId="176" fontId="8" fillId="0" borderId="136" xfId="2" applyNumberFormat="1" applyFont="1" applyFill="1" applyBorder="1" applyAlignment="1">
      <alignment horizontal="center" vertical="center"/>
    </xf>
    <xf numFmtId="176" fontId="8" fillId="0" borderId="5" xfId="2" applyNumberFormat="1" applyFont="1" applyFill="1" applyBorder="1" applyAlignment="1">
      <alignment horizontal="center" vertical="center"/>
    </xf>
    <xf numFmtId="176" fontId="8" fillId="0" borderId="6" xfId="2" applyNumberFormat="1" applyFont="1" applyFill="1" applyBorder="1" applyAlignment="1">
      <alignment horizontal="center" vertical="center"/>
    </xf>
    <xf numFmtId="0" fontId="8" fillId="0" borderId="136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8" fillId="0" borderId="138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8" fillId="0" borderId="28" xfId="0" applyFont="1" applyFill="1" applyBorder="1" applyAlignment="1">
      <alignment horizontal="center" vertical="center"/>
    </xf>
    <xf numFmtId="176" fontId="8" fillId="0" borderId="30" xfId="0" applyNumberFormat="1" applyFont="1" applyFill="1" applyBorder="1" applyAlignment="1">
      <alignment horizontal="center" vertical="center"/>
    </xf>
    <xf numFmtId="9" fontId="8" fillId="0" borderId="28" xfId="1" applyFont="1" applyFill="1" applyBorder="1" applyAlignment="1">
      <alignment horizontal="center" vertical="center"/>
    </xf>
    <xf numFmtId="176" fontId="8" fillId="0" borderId="130" xfId="2" applyNumberFormat="1" applyFont="1" applyFill="1" applyBorder="1" applyAlignment="1">
      <alignment horizontal="center" vertical="center"/>
    </xf>
    <xf numFmtId="176" fontId="8" fillId="0" borderId="138" xfId="2" applyNumberFormat="1" applyFont="1" applyFill="1" applyBorder="1" applyAlignment="1">
      <alignment horizontal="center" vertical="center"/>
    </xf>
    <xf numFmtId="176" fontId="8" fillId="0" borderId="7" xfId="2" applyNumberFormat="1" applyFont="1" applyFill="1" applyBorder="1" applyAlignment="1">
      <alignment horizontal="center" vertical="center"/>
    </xf>
    <xf numFmtId="176" fontId="8" fillId="0" borderId="8" xfId="2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9" fontId="8" fillId="0" borderId="22" xfId="1" quotePrefix="1" applyFont="1" applyBorder="1" applyAlignment="1">
      <alignment horizontal="center" vertical="center" wrapText="1"/>
    </xf>
    <xf numFmtId="177" fontId="8" fillId="0" borderId="136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 wrapText="1"/>
    </xf>
    <xf numFmtId="9" fontId="8" fillId="0" borderId="22" xfId="1" applyFont="1" applyBorder="1" applyAlignment="1">
      <alignment horizontal="center" vertical="center" wrapText="1"/>
    </xf>
    <xf numFmtId="0" fontId="8" fillId="0" borderId="129" xfId="0" applyFont="1" applyBorder="1" applyAlignment="1">
      <alignment horizontal="center" vertical="center" wrapText="1"/>
    </xf>
    <xf numFmtId="181" fontId="8" fillId="0" borderId="25" xfId="0" applyNumberFormat="1" applyFont="1" applyBorder="1" applyAlignment="1">
      <alignment horizontal="center" vertical="center"/>
    </xf>
    <xf numFmtId="181" fontId="8" fillId="0" borderId="129" xfId="0" applyNumberFormat="1" applyFont="1" applyBorder="1" applyAlignment="1">
      <alignment horizontal="center" vertical="center"/>
    </xf>
    <xf numFmtId="0" fontId="8" fillId="0" borderId="13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9" fontId="8" fillId="0" borderId="22" xfId="1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2" xfId="0" applyFont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 wrapText="1"/>
    </xf>
    <xf numFmtId="178" fontId="8" fillId="0" borderId="134" xfId="1" applyNumberFormat="1" applyFont="1" applyBorder="1" applyAlignment="1">
      <alignment horizontal="center" vertical="center" wrapText="1"/>
    </xf>
    <xf numFmtId="9" fontId="8" fillId="0" borderId="148" xfId="0" applyNumberFormat="1" applyFont="1" applyBorder="1" applyAlignment="1">
      <alignment horizontal="center" vertical="center"/>
    </xf>
    <xf numFmtId="178" fontId="8" fillId="0" borderId="133" xfId="1" applyNumberFormat="1" applyFont="1" applyBorder="1" applyAlignment="1">
      <alignment horizontal="center" vertical="center"/>
    </xf>
    <xf numFmtId="178" fontId="8" fillId="0" borderId="17" xfId="1" applyNumberFormat="1" applyFont="1" applyBorder="1" applyAlignment="1">
      <alignment horizontal="center" vertical="center"/>
    </xf>
    <xf numFmtId="178" fontId="8" fillId="0" borderId="18" xfId="1" applyNumberFormat="1" applyFont="1" applyBorder="1" applyAlignment="1">
      <alignment horizontal="center" vertical="center"/>
    </xf>
    <xf numFmtId="3" fontId="8" fillId="0" borderId="25" xfId="0" applyNumberFormat="1" applyFont="1" applyBorder="1" applyAlignment="1">
      <alignment horizontal="center" vertical="center" wrapText="1"/>
    </xf>
    <xf numFmtId="176" fontId="8" fillId="0" borderId="129" xfId="0" applyNumberFormat="1" applyFont="1" applyBorder="1" applyAlignment="1">
      <alignment horizontal="center" vertical="center"/>
    </xf>
    <xf numFmtId="176" fontId="8" fillId="0" borderId="136" xfId="0" applyNumberFormat="1" applyFont="1" applyBorder="1" applyAlignment="1">
      <alignment horizontal="center" vertical="center"/>
    </xf>
    <xf numFmtId="176" fontId="8" fillId="0" borderId="5" xfId="0" applyNumberFormat="1" applyFont="1" applyBorder="1" applyAlignment="1">
      <alignment horizontal="center" vertical="center"/>
    </xf>
    <xf numFmtId="176" fontId="8" fillId="0" borderId="6" xfId="0" applyNumberFormat="1" applyFont="1" applyBorder="1" applyAlignment="1">
      <alignment horizontal="center" vertical="center"/>
    </xf>
    <xf numFmtId="9" fontId="8" fillId="0" borderId="5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7" xfId="0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78" fontId="8" fillId="3" borderId="27" xfId="1" applyNumberFormat="1" applyFont="1" applyFill="1" applyBorder="1" applyAlignment="1">
      <alignment horizontal="center" vertical="center"/>
    </xf>
    <xf numFmtId="176" fontId="8" fillId="3" borderId="145" xfId="0" applyNumberFormat="1" applyFont="1" applyFill="1" applyBorder="1" applyAlignment="1">
      <alignment horizontal="center" vertical="center"/>
    </xf>
    <xf numFmtId="176" fontId="8" fillId="3" borderId="19" xfId="2" applyNumberFormat="1" applyFont="1" applyFill="1" applyBorder="1" applyAlignment="1">
      <alignment horizontal="center" vertical="center"/>
    </xf>
    <xf numFmtId="176" fontId="8" fillId="3" borderId="3" xfId="2" applyNumberFormat="1" applyFont="1" applyFill="1" applyBorder="1" applyAlignment="1">
      <alignment horizontal="center" vertical="center"/>
    </xf>
    <xf numFmtId="176" fontId="8" fillId="3" borderId="4" xfId="2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178" fontId="8" fillId="3" borderId="22" xfId="1" applyNumberFormat="1" applyFont="1" applyFill="1" applyBorder="1" applyAlignment="1">
      <alignment horizontal="center" vertical="center"/>
    </xf>
    <xf numFmtId="0" fontId="8" fillId="3" borderId="129" xfId="0" applyFont="1" applyFill="1" applyBorder="1" applyAlignment="1">
      <alignment horizontal="center" vertical="center"/>
    </xf>
    <xf numFmtId="176" fontId="8" fillId="3" borderId="136" xfId="2" applyNumberFormat="1" applyFont="1" applyFill="1" applyBorder="1" applyAlignment="1">
      <alignment horizontal="center" vertical="center"/>
    </xf>
    <xf numFmtId="176" fontId="8" fillId="3" borderId="5" xfId="2" applyNumberFormat="1" applyFont="1" applyFill="1" applyBorder="1" applyAlignment="1">
      <alignment horizontal="center" vertical="center"/>
    </xf>
    <xf numFmtId="176" fontId="8" fillId="3" borderId="6" xfId="2" applyNumberFormat="1" applyFont="1" applyFill="1" applyBorder="1" applyAlignment="1">
      <alignment horizontal="center" vertical="center"/>
    </xf>
    <xf numFmtId="183" fontId="8" fillId="3" borderId="25" xfId="0" quotePrefix="1" applyNumberFormat="1" applyFont="1" applyFill="1" applyBorder="1" applyAlignment="1">
      <alignment horizontal="center" vertical="center"/>
    </xf>
    <xf numFmtId="183" fontId="8" fillId="3" borderId="136" xfId="0" quotePrefix="1" applyNumberFormat="1" applyFont="1" applyFill="1" applyBorder="1" applyAlignment="1">
      <alignment horizontal="center" vertical="center"/>
    </xf>
    <xf numFmtId="183" fontId="8" fillId="3" borderId="5" xfId="0" quotePrefix="1" applyNumberFormat="1" applyFont="1" applyFill="1" applyBorder="1" applyAlignment="1">
      <alignment horizontal="center" vertical="center"/>
    </xf>
    <xf numFmtId="181" fontId="8" fillId="3" borderId="5" xfId="0" applyNumberFormat="1" applyFont="1" applyFill="1" applyBorder="1" applyAlignment="1">
      <alignment horizontal="center" vertical="center"/>
    </xf>
    <xf numFmtId="181" fontId="8" fillId="3" borderId="6" xfId="0" applyNumberFormat="1" applyFont="1" applyFill="1" applyBorder="1" applyAlignment="1">
      <alignment horizontal="center" vertical="center"/>
    </xf>
    <xf numFmtId="9" fontId="8" fillId="3" borderId="25" xfId="0" applyNumberFormat="1" applyFont="1" applyFill="1" applyBorder="1" applyAlignment="1">
      <alignment horizontal="center" vertical="center" wrapText="1"/>
    </xf>
    <xf numFmtId="178" fontId="8" fillId="3" borderId="22" xfId="1" applyNumberFormat="1" applyFont="1" applyFill="1" applyBorder="1" applyAlignment="1">
      <alignment horizontal="center" vertical="center" wrapText="1"/>
    </xf>
    <xf numFmtId="9" fontId="8" fillId="3" borderId="129" xfId="0" applyNumberFormat="1" applyFont="1" applyFill="1" applyBorder="1" applyAlignment="1">
      <alignment horizontal="center" vertical="center" wrapText="1"/>
    </xf>
    <xf numFmtId="9" fontId="8" fillId="3" borderId="136" xfId="1" applyNumberFormat="1" applyFont="1" applyFill="1" applyBorder="1" applyAlignment="1">
      <alignment horizontal="center" vertical="center"/>
    </xf>
    <xf numFmtId="9" fontId="8" fillId="3" borderId="5" xfId="1" applyNumberFormat="1" applyFont="1" applyFill="1" applyBorder="1" applyAlignment="1">
      <alignment horizontal="center" vertical="center"/>
    </xf>
    <xf numFmtId="9" fontId="8" fillId="3" borderId="6" xfId="1" applyNumberFormat="1" applyFont="1" applyFill="1" applyBorder="1" applyAlignment="1">
      <alignment horizontal="center" vertical="center"/>
    </xf>
    <xf numFmtId="9" fontId="8" fillId="3" borderId="136" xfId="0" applyNumberFormat="1" applyFont="1" applyFill="1" applyBorder="1" applyAlignment="1">
      <alignment horizontal="center" vertical="center"/>
    </xf>
    <xf numFmtId="9" fontId="8" fillId="3" borderId="5" xfId="0" applyNumberFormat="1" applyFont="1" applyFill="1" applyBorder="1" applyAlignment="1">
      <alignment horizontal="center" vertical="center"/>
    </xf>
    <xf numFmtId="9" fontId="8" fillId="3" borderId="5" xfId="1" applyFont="1" applyFill="1" applyBorder="1" applyAlignment="1">
      <alignment horizontal="center" vertical="center"/>
    </xf>
    <xf numFmtId="9" fontId="8" fillId="3" borderId="6" xfId="1" applyFont="1" applyFill="1" applyBorder="1" applyAlignment="1">
      <alignment horizontal="center" vertical="center"/>
    </xf>
    <xf numFmtId="176" fontId="8" fillId="3" borderId="25" xfId="0" applyNumberFormat="1" applyFont="1" applyFill="1" applyBorder="1" applyAlignment="1">
      <alignment horizontal="center" vertical="center"/>
    </xf>
    <xf numFmtId="3" fontId="8" fillId="3" borderId="129" xfId="0" applyNumberFormat="1" applyFont="1" applyFill="1" applyBorder="1" applyAlignment="1">
      <alignment horizontal="center" vertical="center" wrapText="1"/>
    </xf>
    <xf numFmtId="176" fontId="8" fillId="3" borderId="136" xfId="0" applyNumberFormat="1" applyFont="1" applyFill="1" applyBorder="1" applyAlignment="1">
      <alignment horizontal="center" vertical="center"/>
    </xf>
    <xf numFmtId="176" fontId="8" fillId="3" borderId="5" xfId="0" applyNumberFormat="1" applyFont="1" applyFill="1" applyBorder="1" applyAlignment="1">
      <alignment horizontal="center" vertical="center"/>
    </xf>
    <xf numFmtId="176" fontId="8" fillId="3" borderId="6" xfId="0" applyNumberFormat="1" applyFont="1" applyFill="1" applyBorder="1" applyAlignment="1">
      <alignment horizontal="center" vertical="center"/>
    </xf>
    <xf numFmtId="178" fontId="8" fillId="3" borderId="136" xfId="1" applyNumberFormat="1" applyFont="1" applyFill="1" applyBorder="1" applyAlignment="1">
      <alignment horizontal="center" vertical="center"/>
    </xf>
    <xf numFmtId="178" fontId="8" fillId="3" borderId="5" xfId="1" applyNumberFormat="1" applyFont="1" applyFill="1" applyBorder="1" applyAlignment="1">
      <alignment horizontal="center" vertical="center"/>
    </xf>
    <xf numFmtId="178" fontId="8" fillId="3" borderId="6" xfId="1" applyNumberFormat="1" applyFont="1" applyFill="1" applyBorder="1" applyAlignment="1">
      <alignment horizontal="center" vertical="center"/>
    </xf>
    <xf numFmtId="181" fontId="8" fillId="3" borderId="25" xfId="0" applyNumberFormat="1" applyFont="1" applyFill="1" applyBorder="1" applyAlignment="1">
      <alignment horizontal="center" vertical="center"/>
    </xf>
    <xf numFmtId="181" fontId="8" fillId="3" borderId="129" xfId="0" applyNumberFormat="1" applyFont="1" applyFill="1" applyBorder="1" applyAlignment="1">
      <alignment horizontal="center" vertical="center"/>
    </xf>
    <xf numFmtId="181" fontId="8" fillId="3" borderId="136" xfId="0" applyNumberFormat="1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9" fontId="8" fillId="3" borderId="29" xfId="1" applyFont="1" applyFill="1" applyBorder="1" applyAlignment="1">
      <alignment horizontal="center" vertical="center"/>
    </xf>
    <xf numFmtId="181" fontId="8" fillId="3" borderId="131" xfId="0" applyNumberFormat="1" applyFont="1" applyFill="1" applyBorder="1" applyAlignment="1">
      <alignment horizontal="center" vertical="center"/>
    </xf>
    <xf numFmtId="181" fontId="8" fillId="3" borderId="137" xfId="0" applyNumberFormat="1" applyFont="1" applyFill="1" applyBorder="1" applyAlignment="1">
      <alignment horizontal="center" vertical="center"/>
    </xf>
    <xf numFmtId="181" fontId="8" fillId="3" borderId="9" xfId="0" applyNumberFormat="1" applyFont="1" applyFill="1" applyBorder="1" applyAlignment="1">
      <alignment horizontal="center" vertical="center"/>
    </xf>
    <xf numFmtId="181" fontId="8" fillId="3" borderId="23" xfId="0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176" fontId="8" fillId="0" borderId="145" xfId="0" applyNumberFormat="1" applyFont="1" applyFill="1" applyBorder="1" applyAlignment="1">
      <alignment horizontal="center" vertical="center"/>
    </xf>
    <xf numFmtId="176" fontId="8" fillId="0" borderId="19" xfId="0" applyNumberFormat="1" applyFont="1" applyFill="1" applyBorder="1" applyAlignment="1">
      <alignment horizontal="center" vertical="center"/>
    </xf>
    <xf numFmtId="176" fontId="8" fillId="0" borderId="3" xfId="0" applyNumberFormat="1" applyFont="1" applyFill="1" applyBorder="1" applyAlignment="1">
      <alignment horizontal="center" vertical="center"/>
    </xf>
    <xf numFmtId="176" fontId="8" fillId="0" borderId="4" xfId="0" applyNumberFormat="1" applyFont="1" applyFill="1" applyBorder="1" applyAlignment="1">
      <alignment horizontal="center" vertical="center"/>
    </xf>
    <xf numFmtId="176" fontId="8" fillId="0" borderId="129" xfId="0" applyNumberFormat="1" applyFont="1" applyFill="1" applyBorder="1" applyAlignment="1">
      <alignment horizontal="center" vertical="center"/>
    </xf>
    <xf numFmtId="176" fontId="8" fillId="0" borderId="136" xfId="0" applyNumberFormat="1" applyFont="1" applyFill="1" applyBorder="1" applyAlignment="1">
      <alignment horizontal="center" vertical="center"/>
    </xf>
    <xf numFmtId="176" fontId="8" fillId="0" borderId="5" xfId="0" applyNumberFormat="1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 wrapText="1"/>
    </xf>
    <xf numFmtId="0" fontId="8" fillId="0" borderId="22" xfId="0" applyFont="1" applyFill="1" applyBorder="1" applyAlignment="1">
      <alignment horizontal="center" vertical="center" wrapText="1"/>
    </xf>
    <xf numFmtId="178" fontId="8" fillId="0" borderId="25" xfId="0" applyNumberFormat="1" applyFont="1" applyFill="1" applyBorder="1" applyAlignment="1">
      <alignment horizontal="center" vertical="center" wrapText="1"/>
    </xf>
    <xf numFmtId="9" fontId="8" fillId="0" borderId="129" xfId="0" applyNumberFormat="1" applyFont="1" applyFill="1" applyBorder="1" applyAlignment="1">
      <alignment horizontal="center" vertical="center" wrapText="1"/>
    </xf>
    <xf numFmtId="9" fontId="8" fillId="0" borderId="136" xfId="0" applyNumberFormat="1" applyFont="1" applyFill="1" applyBorder="1" applyAlignment="1">
      <alignment horizontal="center" vertical="center" wrapText="1"/>
    </xf>
    <xf numFmtId="9" fontId="8" fillId="0" borderId="5" xfId="0" applyNumberFormat="1" applyFont="1" applyFill="1" applyBorder="1" applyAlignment="1">
      <alignment horizontal="center" vertical="center" wrapText="1"/>
    </xf>
    <xf numFmtId="0" fontId="8" fillId="0" borderId="30" xfId="0" applyFont="1" applyFill="1" applyBorder="1" applyAlignment="1">
      <alignment horizontal="center" vertical="center"/>
    </xf>
    <xf numFmtId="0" fontId="8" fillId="0" borderId="130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9" fontId="8" fillId="3" borderId="134" xfId="1" applyFont="1" applyFill="1" applyBorder="1" applyAlignment="1">
      <alignment horizontal="center" vertical="center"/>
    </xf>
    <xf numFmtId="0" fontId="8" fillId="3" borderId="148" xfId="0" applyFont="1" applyFill="1" applyBorder="1" applyAlignment="1">
      <alignment horizontal="center" vertical="center"/>
    </xf>
    <xf numFmtId="0" fontId="8" fillId="3" borderId="133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2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9" fontId="8" fillId="3" borderId="122" xfId="1" applyFont="1" applyFill="1" applyBorder="1" applyAlignment="1">
      <alignment horizontal="center" vertical="center"/>
    </xf>
    <xf numFmtId="0" fontId="8" fillId="3" borderId="127" xfId="0" applyFont="1" applyFill="1" applyBorder="1" applyAlignment="1">
      <alignment horizontal="center" vertical="center"/>
    </xf>
    <xf numFmtId="0" fontId="8" fillId="3" borderId="146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47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9" fontId="8" fillId="3" borderId="147" xfId="1" applyFont="1" applyFill="1" applyBorder="1" applyAlignment="1">
      <alignment horizontal="center" vertical="center"/>
    </xf>
    <xf numFmtId="0" fontId="8" fillId="3" borderId="118" xfId="0" applyFont="1" applyFill="1" applyBorder="1" applyAlignment="1">
      <alignment horizontal="center" vertical="center"/>
    </xf>
    <xf numFmtId="0" fontId="8" fillId="3" borderId="149" xfId="0" applyFont="1" applyFill="1" applyBorder="1" applyAlignment="1">
      <alignment horizontal="center" vertical="center"/>
    </xf>
    <xf numFmtId="0" fontId="8" fillId="3" borderId="139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 readingOrder="1"/>
    </xf>
    <xf numFmtId="0" fontId="8" fillId="0" borderId="21" xfId="0" applyFont="1" applyBorder="1" applyAlignment="1">
      <alignment horizontal="center" vertical="center" wrapText="1" readingOrder="1"/>
    </xf>
    <xf numFmtId="178" fontId="8" fillId="0" borderId="14" xfId="0" applyNumberFormat="1" applyFont="1" applyBorder="1" applyAlignment="1">
      <alignment horizontal="center" vertical="center" wrapText="1" readingOrder="1"/>
    </xf>
    <xf numFmtId="9" fontId="8" fillId="0" borderId="21" xfId="1" applyFont="1" applyBorder="1" applyAlignment="1">
      <alignment horizontal="center" vertical="center" wrapText="1" readingOrder="1"/>
    </xf>
    <xf numFmtId="178" fontId="8" fillId="0" borderId="128" xfId="0" applyNumberFormat="1" applyFont="1" applyBorder="1" applyAlignment="1">
      <alignment horizontal="center" vertical="center" wrapText="1" readingOrder="1"/>
    </xf>
    <xf numFmtId="178" fontId="8" fillId="0" borderId="135" xfId="0" applyNumberFormat="1" applyFont="1" applyBorder="1" applyAlignment="1">
      <alignment horizontal="center" vertical="center" wrapText="1" readingOrder="1"/>
    </xf>
    <xf numFmtId="178" fontId="8" fillId="0" borderId="11" xfId="0" applyNumberFormat="1" applyFont="1" applyBorder="1" applyAlignment="1">
      <alignment horizontal="center" vertical="center" wrapText="1" readingOrder="1"/>
    </xf>
    <xf numFmtId="178" fontId="8" fillId="0" borderId="16" xfId="0" applyNumberFormat="1" applyFont="1" applyBorder="1" applyAlignment="1">
      <alignment horizontal="center" vertical="center" wrapText="1" readingOrder="1"/>
    </xf>
    <xf numFmtId="0" fontId="8" fillId="0" borderId="5" xfId="0" applyFont="1" applyBorder="1" applyAlignment="1">
      <alignment horizontal="center" vertical="center" wrapText="1" readingOrder="1"/>
    </xf>
    <xf numFmtId="0" fontId="8" fillId="0" borderId="22" xfId="0" applyFont="1" applyBorder="1" applyAlignment="1">
      <alignment horizontal="center" vertical="center" wrapText="1" readingOrder="1"/>
    </xf>
    <xf numFmtId="0" fontId="8" fillId="0" borderId="25" xfId="0" quotePrefix="1" applyFont="1" applyBorder="1" applyAlignment="1">
      <alignment horizontal="center" vertical="center" wrapText="1" readingOrder="1"/>
    </xf>
    <xf numFmtId="9" fontId="8" fillId="0" borderId="22" xfId="1" quotePrefix="1" applyFont="1" applyBorder="1" applyAlignment="1">
      <alignment horizontal="center" vertical="center" wrapText="1" readingOrder="1"/>
    </xf>
    <xf numFmtId="0" fontId="8" fillId="0" borderId="129" xfId="0" quotePrefix="1" applyFont="1" applyBorder="1" applyAlignment="1">
      <alignment horizontal="center" vertical="center" wrapText="1" readingOrder="1"/>
    </xf>
    <xf numFmtId="0" fontId="8" fillId="0" borderId="136" xfId="0" applyFont="1" applyBorder="1" applyAlignment="1">
      <alignment horizontal="center" vertical="center" wrapText="1" readingOrder="1"/>
    </xf>
    <xf numFmtId="0" fontId="8" fillId="0" borderId="6" xfId="0" applyFont="1" applyBorder="1" applyAlignment="1">
      <alignment horizontal="center" vertical="center" wrapText="1" readingOrder="1"/>
    </xf>
    <xf numFmtId="0" fontId="8" fillId="0" borderId="9" xfId="0" applyFont="1" applyBorder="1" applyAlignment="1">
      <alignment horizontal="center" vertical="center" wrapText="1" readingOrder="1"/>
    </xf>
    <xf numFmtId="0" fontId="8" fillId="0" borderId="29" xfId="0" applyFont="1" applyBorder="1" applyAlignment="1">
      <alignment horizontal="center" vertical="center" wrapText="1" readingOrder="1"/>
    </xf>
    <xf numFmtId="10" fontId="8" fillId="0" borderId="12" xfId="0" quotePrefix="1" applyNumberFormat="1" applyFont="1" applyBorder="1" applyAlignment="1">
      <alignment horizontal="center" vertical="center" wrapText="1" readingOrder="1"/>
    </xf>
    <xf numFmtId="9" fontId="8" fillId="0" borderId="29" xfId="1" quotePrefix="1" applyFont="1" applyBorder="1" applyAlignment="1">
      <alignment horizontal="center" vertical="center" wrapText="1" readingOrder="1"/>
    </xf>
    <xf numFmtId="10" fontId="8" fillId="0" borderId="131" xfId="1" quotePrefix="1" applyNumberFormat="1" applyFont="1" applyBorder="1" applyAlignment="1">
      <alignment horizontal="center" vertical="center" wrapText="1" readingOrder="1"/>
    </xf>
    <xf numFmtId="10" fontId="8" fillId="0" borderId="137" xfId="1" applyNumberFormat="1" applyFont="1" applyBorder="1" applyAlignment="1">
      <alignment horizontal="center" vertical="center" wrapText="1" readingOrder="1"/>
    </xf>
    <xf numFmtId="10" fontId="8" fillId="0" borderId="9" xfId="1" applyNumberFormat="1" applyFont="1" applyBorder="1" applyAlignment="1">
      <alignment horizontal="center" vertical="center" wrapText="1" readingOrder="1"/>
    </xf>
    <xf numFmtId="10" fontId="8" fillId="0" borderId="23" xfId="1" applyNumberFormat="1" applyFont="1" applyBorder="1" applyAlignment="1">
      <alignment horizontal="center" vertical="center" wrapText="1" readingOrder="1"/>
    </xf>
    <xf numFmtId="185" fontId="8" fillId="0" borderId="131" xfId="1" quotePrefix="1" applyNumberFormat="1" applyFont="1" applyBorder="1" applyAlignment="1">
      <alignment horizontal="center" vertical="center" wrapText="1" readingOrder="1"/>
    </xf>
    <xf numFmtId="185" fontId="8" fillId="0" borderId="137" xfId="1" applyNumberFormat="1" applyFont="1" applyBorder="1" applyAlignment="1">
      <alignment horizontal="center" vertical="center" wrapText="1" readingOrder="1"/>
    </xf>
    <xf numFmtId="185" fontId="8" fillId="0" borderId="9" xfId="1" applyNumberFormat="1" applyFont="1" applyBorder="1" applyAlignment="1">
      <alignment horizontal="center" vertical="center" wrapText="1" readingOrder="1"/>
    </xf>
    <xf numFmtId="185" fontId="8" fillId="0" borderId="23" xfId="1" applyNumberFormat="1" applyFont="1" applyBorder="1" applyAlignment="1">
      <alignment horizontal="center" vertical="center" wrapText="1" readingOrder="1"/>
    </xf>
    <xf numFmtId="184" fontId="8" fillId="0" borderId="12" xfId="0" quotePrefix="1" applyNumberFormat="1" applyFont="1" applyBorder="1" applyAlignment="1">
      <alignment horizontal="center" vertical="center" wrapText="1" readingOrder="1"/>
    </xf>
    <xf numFmtId="184" fontId="8" fillId="0" borderId="131" xfId="0" quotePrefix="1" applyNumberFormat="1" applyFont="1" applyBorder="1" applyAlignment="1">
      <alignment horizontal="center" vertical="center" wrapText="1" readingOrder="1"/>
    </xf>
    <xf numFmtId="184" fontId="8" fillId="0" borderId="137" xfId="0" applyNumberFormat="1" applyFont="1" applyBorder="1" applyAlignment="1">
      <alignment horizontal="center" vertical="center" wrapText="1" readingOrder="1"/>
    </xf>
    <xf numFmtId="184" fontId="8" fillId="0" borderId="9" xfId="0" applyNumberFormat="1" applyFont="1" applyBorder="1" applyAlignment="1">
      <alignment horizontal="center" vertical="center" wrapText="1" readingOrder="1"/>
    </xf>
    <xf numFmtId="184" fontId="8" fillId="0" borderId="23" xfId="0" applyNumberFormat="1" applyFont="1" applyBorder="1" applyAlignment="1">
      <alignment horizontal="center" vertical="center" wrapText="1" readingOrder="1"/>
    </xf>
    <xf numFmtId="0" fontId="8" fillId="0" borderId="12" xfId="0" quotePrefix="1" applyFont="1" applyBorder="1" applyAlignment="1">
      <alignment horizontal="center" vertical="center" wrapText="1" readingOrder="1"/>
    </xf>
    <xf numFmtId="0" fontId="8" fillId="0" borderId="131" xfId="0" quotePrefix="1" applyFont="1" applyBorder="1" applyAlignment="1">
      <alignment horizontal="center" vertical="center" wrapText="1" readingOrder="1"/>
    </xf>
    <xf numFmtId="0" fontId="8" fillId="0" borderId="137" xfId="0" applyFont="1" applyBorder="1" applyAlignment="1">
      <alignment horizontal="center" vertical="center" wrapText="1" readingOrder="1"/>
    </xf>
    <xf numFmtId="0" fontId="8" fillId="0" borderId="23" xfId="0" applyFont="1" applyBorder="1" applyAlignment="1">
      <alignment horizontal="center" vertical="center" wrapText="1" readingOrder="1"/>
    </xf>
    <xf numFmtId="0" fontId="8" fillId="0" borderId="12" xfId="0" applyFont="1" applyBorder="1" applyAlignment="1">
      <alignment horizontal="center" vertical="center" wrapText="1" readingOrder="1"/>
    </xf>
    <xf numFmtId="9" fontId="8" fillId="0" borderId="29" xfId="1" applyFont="1" applyBorder="1" applyAlignment="1">
      <alignment horizontal="center" vertical="center" wrapText="1" readingOrder="1"/>
    </xf>
    <xf numFmtId="0" fontId="8" fillId="0" borderId="131" xfId="0" applyFont="1" applyBorder="1" applyAlignment="1">
      <alignment horizontal="center" vertical="center" wrapText="1" readingOrder="1"/>
    </xf>
    <xf numFmtId="0" fontId="8" fillId="3" borderId="3" xfId="0" applyFont="1" applyFill="1" applyBorder="1" applyAlignment="1">
      <alignment horizontal="center" vertical="center" wrapText="1" readingOrder="1"/>
    </xf>
    <xf numFmtId="0" fontId="8" fillId="3" borderId="27" xfId="0" applyFont="1" applyFill="1" applyBorder="1" applyAlignment="1">
      <alignment horizontal="center" vertical="center" wrapText="1" readingOrder="1"/>
    </xf>
    <xf numFmtId="9" fontId="8" fillId="3" borderId="2" xfId="0" applyNumberFormat="1" applyFont="1" applyFill="1" applyBorder="1" applyAlignment="1">
      <alignment horizontal="center" vertical="center" wrapText="1" readingOrder="1"/>
    </xf>
    <xf numFmtId="9" fontId="8" fillId="3" borderId="27" xfId="1" applyFont="1" applyFill="1" applyBorder="1" applyAlignment="1">
      <alignment horizontal="center" vertical="center" wrapText="1" readingOrder="1"/>
    </xf>
    <xf numFmtId="0" fontId="8" fillId="3" borderId="145" xfId="0" applyFont="1" applyFill="1" applyBorder="1" applyAlignment="1">
      <alignment horizontal="center" vertical="center" wrapText="1" readingOrder="1"/>
    </xf>
    <xf numFmtId="9" fontId="8" fillId="3" borderId="19" xfId="0" applyNumberFormat="1" applyFont="1" applyFill="1" applyBorder="1" applyAlignment="1">
      <alignment horizontal="center" vertical="center" wrapText="1" readingOrder="1"/>
    </xf>
    <xf numFmtId="9" fontId="8" fillId="3" borderId="3" xfId="0" applyNumberFormat="1" applyFont="1" applyFill="1" applyBorder="1" applyAlignment="1">
      <alignment horizontal="center" vertical="center" wrapText="1" readingOrder="1"/>
    </xf>
    <xf numFmtId="9" fontId="8" fillId="3" borderId="4" xfId="0" applyNumberFormat="1" applyFont="1" applyFill="1" applyBorder="1" applyAlignment="1">
      <alignment horizontal="center" vertical="center" wrapText="1" readingOrder="1"/>
    </xf>
    <xf numFmtId="0" fontId="8" fillId="3" borderId="11" xfId="0" applyFont="1" applyFill="1" applyBorder="1" applyAlignment="1">
      <alignment horizontal="center" vertical="center" wrapText="1" readingOrder="1"/>
    </xf>
    <xf numFmtId="0" fontId="8" fillId="3" borderId="21" xfId="0" applyFont="1" applyFill="1" applyBorder="1" applyAlignment="1">
      <alignment horizontal="center" vertical="center" wrapText="1" readingOrder="1"/>
    </xf>
    <xf numFmtId="9" fontId="8" fillId="3" borderId="25" xfId="0" applyNumberFormat="1" applyFont="1" applyFill="1" applyBorder="1" applyAlignment="1">
      <alignment horizontal="center" vertical="center" wrapText="1" readingOrder="1"/>
    </xf>
    <xf numFmtId="9" fontId="8" fillId="3" borderId="22" xfId="1" applyFont="1" applyFill="1" applyBorder="1" applyAlignment="1">
      <alignment horizontal="center" vertical="center" wrapText="1" readingOrder="1"/>
    </xf>
    <xf numFmtId="0" fontId="8" fillId="3" borderId="129" xfId="0" applyFont="1" applyFill="1" applyBorder="1" applyAlignment="1">
      <alignment horizontal="center" vertical="center" wrapText="1" readingOrder="1"/>
    </xf>
    <xf numFmtId="9" fontId="8" fillId="3" borderId="136" xfId="0" applyNumberFormat="1" applyFont="1" applyFill="1" applyBorder="1" applyAlignment="1">
      <alignment horizontal="center" vertical="center" wrapText="1" readingOrder="1"/>
    </xf>
    <xf numFmtId="9" fontId="8" fillId="3" borderId="5" xfId="0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 wrapText="1" readingOrder="1"/>
    </xf>
    <xf numFmtId="9" fontId="8" fillId="3" borderId="6" xfId="0" applyNumberFormat="1" applyFont="1" applyFill="1" applyBorder="1" applyAlignment="1">
      <alignment horizontal="center" vertical="center" wrapText="1" readingOrder="1"/>
    </xf>
    <xf numFmtId="0" fontId="8" fillId="3" borderId="22" xfId="0" applyFont="1" applyFill="1" applyBorder="1" applyAlignment="1">
      <alignment horizontal="center" vertical="center" wrapText="1" readingOrder="1"/>
    </xf>
    <xf numFmtId="9" fontId="8" fillId="3" borderId="129" xfId="0" applyNumberFormat="1" applyFont="1" applyFill="1" applyBorder="1" applyAlignment="1">
      <alignment horizontal="center" vertical="center" wrapText="1" readingOrder="1"/>
    </xf>
    <xf numFmtId="0" fontId="8" fillId="3" borderId="25" xfId="0" applyFont="1" applyFill="1" applyBorder="1" applyAlignment="1">
      <alignment horizontal="center" vertical="center" wrapText="1" readingOrder="1"/>
    </xf>
    <xf numFmtId="0" fontId="8" fillId="3" borderId="136" xfId="0" applyFont="1" applyFill="1" applyBorder="1" applyAlignment="1">
      <alignment horizontal="center" vertical="center" wrapText="1" readingOrder="1"/>
    </xf>
    <xf numFmtId="0" fontId="8" fillId="3" borderId="7" xfId="0" applyFont="1" applyFill="1" applyBorder="1" applyAlignment="1">
      <alignment horizontal="center" vertical="center" wrapText="1" readingOrder="1"/>
    </xf>
    <xf numFmtId="0" fontId="8" fillId="3" borderId="28" xfId="0" applyFont="1" applyFill="1" applyBorder="1" applyAlignment="1">
      <alignment horizontal="center" vertical="center" wrapText="1" readingOrder="1"/>
    </xf>
    <xf numFmtId="9" fontId="8" fillId="3" borderId="30" xfId="0" applyNumberFormat="1" applyFont="1" applyFill="1" applyBorder="1" applyAlignment="1">
      <alignment horizontal="center" vertical="center" wrapText="1" readingOrder="1"/>
    </xf>
    <xf numFmtId="9" fontId="8" fillId="3" borderId="28" xfId="1" applyFont="1" applyFill="1" applyBorder="1" applyAlignment="1">
      <alignment horizontal="center" vertical="center" wrapText="1" readingOrder="1"/>
    </xf>
    <xf numFmtId="9" fontId="8" fillId="3" borderId="130" xfId="0" applyNumberFormat="1" applyFont="1" applyFill="1" applyBorder="1" applyAlignment="1">
      <alignment horizontal="center" vertical="center" wrapText="1" readingOrder="1"/>
    </xf>
    <xf numFmtId="9" fontId="8" fillId="3" borderId="138" xfId="0" applyNumberFormat="1" applyFont="1" applyFill="1" applyBorder="1" applyAlignment="1">
      <alignment horizontal="center" vertical="center" wrapText="1" readingOrder="1"/>
    </xf>
    <xf numFmtId="9" fontId="8" fillId="3" borderId="7" xfId="0" applyNumberFormat="1" applyFont="1" applyFill="1" applyBorder="1" applyAlignment="1">
      <alignment horizontal="center" vertical="center" wrapText="1" readingOrder="1"/>
    </xf>
    <xf numFmtId="9" fontId="8" fillId="3" borderId="8" xfId="0" applyNumberFormat="1" applyFont="1" applyFill="1" applyBorder="1" applyAlignment="1">
      <alignment horizontal="center" vertical="center" wrapText="1" readingOrder="1"/>
    </xf>
    <xf numFmtId="0" fontId="8" fillId="0" borderId="10" xfId="0" applyFont="1" applyFill="1" applyBorder="1" applyAlignment="1">
      <alignment horizontal="center" vertical="center" wrapText="1" readingOrder="1"/>
    </xf>
    <xf numFmtId="0" fontId="8" fillId="0" borderId="122" xfId="0" applyFont="1" applyFill="1" applyBorder="1" applyAlignment="1">
      <alignment horizontal="center" vertical="center" wrapText="1" readingOrder="1"/>
    </xf>
    <xf numFmtId="3" fontId="8" fillId="0" borderId="13" xfId="0" applyNumberFormat="1" applyFont="1" applyFill="1" applyBorder="1" applyAlignment="1">
      <alignment horizontal="center" vertical="center" wrapText="1" readingOrder="1"/>
    </xf>
    <xf numFmtId="9" fontId="8" fillId="0" borderId="122" xfId="1" applyFont="1" applyFill="1" applyBorder="1" applyAlignment="1">
      <alignment horizontal="center" vertical="center" wrapText="1" readingOrder="1"/>
    </xf>
    <xf numFmtId="3" fontId="8" fillId="0" borderId="127" xfId="0" applyNumberFormat="1" applyFont="1" applyFill="1" applyBorder="1" applyAlignment="1">
      <alignment horizontal="center" vertical="center" wrapText="1" readingOrder="1"/>
    </xf>
    <xf numFmtId="176" fontId="8" fillId="0" borderId="146" xfId="0" applyNumberFormat="1" applyFont="1" applyFill="1" applyBorder="1" applyAlignment="1">
      <alignment horizontal="center" vertical="center" wrapText="1" readingOrder="1"/>
    </xf>
    <xf numFmtId="176" fontId="8" fillId="0" borderId="10" xfId="0" applyNumberFormat="1" applyFont="1" applyFill="1" applyBorder="1" applyAlignment="1">
      <alignment horizontal="center" vertical="center" wrapText="1" readingOrder="1"/>
    </xf>
    <xf numFmtId="176" fontId="8" fillId="0" borderId="24" xfId="0" applyNumberFormat="1" applyFont="1" applyFill="1" applyBorder="1" applyAlignment="1">
      <alignment horizontal="center" vertical="center" wrapText="1" readingOrder="1"/>
    </xf>
    <xf numFmtId="0" fontId="8" fillId="0" borderId="9" xfId="0" applyFont="1" applyFill="1" applyBorder="1" applyAlignment="1">
      <alignment horizontal="center" vertical="center" wrapText="1" readingOrder="1"/>
    </xf>
    <xf numFmtId="0" fontId="8" fillId="0" borderId="29" xfId="0" applyFont="1" applyFill="1" applyBorder="1" applyAlignment="1">
      <alignment horizontal="center" vertical="center" wrapText="1" readingOrder="1"/>
    </xf>
    <xf numFmtId="0" fontId="8" fillId="0" borderId="12" xfId="0" applyFont="1" applyFill="1" applyBorder="1" applyAlignment="1">
      <alignment horizontal="center" vertical="center" wrapText="1" readingOrder="1"/>
    </xf>
    <xf numFmtId="9" fontId="8" fillId="0" borderId="29" xfId="1" applyFont="1" applyFill="1" applyBorder="1" applyAlignment="1">
      <alignment horizontal="center" vertical="center" wrapText="1" readingOrder="1"/>
    </xf>
    <xf numFmtId="0" fontId="8" fillId="0" borderId="131" xfId="0" applyFont="1" applyFill="1" applyBorder="1" applyAlignment="1">
      <alignment horizontal="center" vertical="center" wrapText="1" readingOrder="1"/>
    </xf>
    <xf numFmtId="0" fontId="8" fillId="0" borderId="137" xfId="0" applyFont="1" applyFill="1" applyBorder="1" applyAlignment="1">
      <alignment horizontal="center" vertical="center" wrapText="1" readingOrder="1"/>
    </xf>
    <xf numFmtId="0" fontId="8" fillId="0" borderId="23" xfId="0" applyFont="1" applyFill="1" applyBorder="1" applyAlignment="1">
      <alignment horizontal="center" vertical="center" wrapText="1" readingOrder="1"/>
    </xf>
    <xf numFmtId="184" fontId="8" fillId="0" borderId="12" xfId="0" applyNumberFormat="1" applyFont="1" applyFill="1" applyBorder="1" applyAlignment="1">
      <alignment horizontal="center" vertical="center" wrapText="1" readingOrder="1"/>
    </xf>
    <xf numFmtId="184" fontId="8" fillId="0" borderId="131" xfId="0" applyNumberFormat="1" applyFont="1" applyFill="1" applyBorder="1" applyAlignment="1">
      <alignment horizontal="center" vertical="center" wrapText="1" readingOrder="1"/>
    </xf>
    <xf numFmtId="184" fontId="8" fillId="0" borderId="137" xfId="0" applyNumberFormat="1" applyFont="1" applyFill="1" applyBorder="1" applyAlignment="1">
      <alignment horizontal="center" vertical="center" wrapText="1" readingOrder="1"/>
    </xf>
    <xf numFmtId="184" fontId="8" fillId="0" borderId="9" xfId="0" applyNumberFormat="1" applyFont="1" applyFill="1" applyBorder="1" applyAlignment="1">
      <alignment horizontal="center" vertical="center" wrapText="1" readingOrder="1"/>
    </xf>
    <xf numFmtId="184" fontId="8" fillId="0" borderId="23" xfId="0" applyNumberFormat="1" applyFont="1" applyFill="1" applyBorder="1" applyAlignment="1">
      <alignment horizontal="center" vertical="center" wrapText="1" readingOrder="1"/>
    </xf>
    <xf numFmtId="0" fontId="8" fillId="0" borderId="5" xfId="0" applyFont="1" applyFill="1" applyBorder="1" applyAlignment="1">
      <alignment horizontal="center" vertical="center" wrapText="1" readingOrder="1"/>
    </xf>
    <xf numFmtId="0" fontId="8" fillId="0" borderId="22" xfId="0" applyFont="1" applyFill="1" applyBorder="1" applyAlignment="1">
      <alignment horizontal="center" vertical="center" wrapText="1" readingOrder="1"/>
    </xf>
    <xf numFmtId="0" fontId="8" fillId="0" borderId="25" xfId="0" applyFont="1" applyFill="1" applyBorder="1" applyAlignment="1">
      <alignment horizontal="center" vertical="center" wrapText="1" readingOrder="1"/>
    </xf>
    <xf numFmtId="9" fontId="8" fillId="0" borderId="22" xfId="1" applyFont="1" applyFill="1" applyBorder="1" applyAlignment="1">
      <alignment horizontal="center" vertical="center" wrapText="1" readingOrder="1"/>
    </xf>
    <xf numFmtId="0" fontId="8" fillId="0" borderId="129" xfId="0" applyFont="1" applyFill="1" applyBorder="1" applyAlignment="1">
      <alignment horizontal="center" vertical="center" wrapText="1" readingOrder="1"/>
    </xf>
    <xf numFmtId="0" fontId="8" fillId="0" borderId="136" xfId="0" applyFont="1" applyFill="1" applyBorder="1" applyAlignment="1">
      <alignment horizontal="center" vertical="center" wrapText="1" readingOrder="1"/>
    </xf>
    <xf numFmtId="0" fontId="8" fillId="0" borderId="6" xfId="0" applyFont="1" applyFill="1" applyBorder="1" applyAlignment="1">
      <alignment horizontal="center" vertical="center" wrapText="1" readingOrder="1"/>
    </xf>
    <xf numFmtId="176" fontId="8" fillId="3" borderId="2" xfId="0" applyNumberFormat="1" applyFont="1" applyFill="1" applyBorder="1" applyAlignment="1">
      <alignment horizontal="center" vertical="center" wrapText="1" readingOrder="1"/>
    </xf>
    <xf numFmtId="176" fontId="8" fillId="3" borderId="145" xfId="0" applyNumberFormat="1" applyFont="1" applyFill="1" applyBorder="1" applyAlignment="1">
      <alignment horizontal="center" vertical="center" wrapText="1" readingOrder="1"/>
    </xf>
    <xf numFmtId="176" fontId="8" fillId="3" borderId="19" xfId="0" applyNumberFormat="1" applyFont="1" applyFill="1" applyBorder="1" applyAlignment="1">
      <alignment horizontal="center" vertical="center" wrapText="1" readingOrder="1"/>
    </xf>
    <xf numFmtId="176" fontId="8" fillId="3" borderId="3" xfId="0" applyNumberFormat="1" applyFont="1" applyFill="1" applyBorder="1" applyAlignment="1">
      <alignment horizontal="center" vertical="center" wrapText="1" readingOrder="1"/>
    </xf>
    <xf numFmtId="176" fontId="8" fillId="3" borderId="4" xfId="0" applyNumberFormat="1" applyFont="1" applyFill="1" applyBorder="1" applyAlignment="1">
      <alignment horizontal="center" vertical="center" wrapText="1" readingOrder="1"/>
    </xf>
    <xf numFmtId="176" fontId="8" fillId="3" borderId="25" xfId="0" applyNumberFormat="1" applyFont="1" applyFill="1" applyBorder="1" applyAlignment="1">
      <alignment horizontal="center" vertical="center" wrapText="1" readingOrder="1"/>
    </xf>
    <xf numFmtId="176" fontId="8" fillId="3" borderId="129" xfId="0" applyNumberFormat="1" applyFont="1" applyFill="1" applyBorder="1" applyAlignment="1">
      <alignment horizontal="center" vertical="center" wrapText="1" readingOrder="1"/>
    </xf>
    <xf numFmtId="176" fontId="8" fillId="3" borderId="136" xfId="0" applyNumberFormat="1" applyFont="1" applyFill="1" applyBorder="1" applyAlignment="1">
      <alignment horizontal="center" vertical="center" wrapText="1" readingOrder="1"/>
    </xf>
    <xf numFmtId="176" fontId="8" fillId="3" borderId="5" xfId="0" applyNumberFormat="1" applyFont="1" applyFill="1" applyBorder="1" applyAlignment="1">
      <alignment horizontal="center" vertical="center" wrapText="1" readingOrder="1"/>
    </xf>
    <xf numFmtId="176" fontId="8" fillId="3" borderId="6" xfId="0" applyNumberFormat="1" applyFont="1" applyFill="1" applyBorder="1" applyAlignment="1">
      <alignment horizontal="center" vertical="center" wrapText="1" readingOrder="1"/>
    </xf>
    <xf numFmtId="178" fontId="8" fillId="3" borderId="129" xfId="1" applyNumberFormat="1" applyFont="1" applyFill="1" applyBorder="1" applyAlignment="1">
      <alignment horizontal="center" vertical="center" wrapText="1" readingOrder="1"/>
    </xf>
    <xf numFmtId="178" fontId="8" fillId="3" borderId="136" xfId="1" applyNumberFormat="1" applyFont="1" applyFill="1" applyBorder="1" applyAlignment="1">
      <alignment horizontal="center" vertical="center" wrapText="1" readingOrder="1"/>
    </xf>
    <xf numFmtId="178" fontId="8" fillId="3" borderId="5" xfId="1" applyNumberFormat="1" applyFont="1" applyFill="1" applyBorder="1" applyAlignment="1">
      <alignment horizontal="center" vertical="center" wrapText="1" readingOrder="1"/>
    </xf>
    <xf numFmtId="178" fontId="8" fillId="3" borderId="6" xfId="1" applyNumberFormat="1" applyFont="1" applyFill="1" applyBorder="1" applyAlignment="1">
      <alignment horizontal="center" vertical="center" wrapText="1" readingOrder="1"/>
    </xf>
    <xf numFmtId="10" fontId="8" fillId="3" borderId="30" xfId="0" applyNumberFormat="1" applyFont="1" applyFill="1" applyBorder="1" applyAlignment="1">
      <alignment horizontal="center" vertical="center" wrapText="1" readingOrder="1"/>
    </xf>
    <xf numFmtId="178" fontId="8" fillId="3" borderId="130" xfId="0" applyNumberFormat="1" applyFont="1" applyFill="1" applyBorder="1" applyAlignment="1">
      <alignment horizontal="center" vertical="center" wrapText="1" readingOrder="1"/>
    </xf>
    <xf numFmtId="178" fontId="8" fillId="3" borderId="138" xfId="1" applyNumberFormat="1" applyFont="1" applyFill="1" applyBorder="1" applyAlignment="1">
      <alignment horizontal="center" vertical="center" wrapText="1" readingOrder="1"/>
    </xf>
    <xf numFmtId="178" fontId="8" fillId="3" borderId="7" xfId="1" applyNumberFormat="1" applyFont="1" applyFill="1" applyBorder="1" applyAlignment="1">
      <alignment horizontal="center" vertical="center" wrapText="1" readingOrder="1"/>
    </xf>
    <xf numFmtId="178" fontId="8" fillId="3" borderId="8" xfId="1" applyNumberFormat="1" applyFont="1" applyFill="1" applyBorder="1" applyAlignment="1">
      <alignment horizontal="center" vertical="center" wrapText="1" readingOrder="1"/>
    </xf>
    <xf numFmtId="0" fontId="8" fillId="0" borderId="11" xfId="0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horizontal="center" vertical="center"/>
    </xf>
    <xf numFmtId="9" fontId="8" fillId="0" borderId="21" xfId="1" applyFont="1" applyFill="1" applyBorder="1" applyAlignment="1">
      <alignment horizontal="center" vertical="center"/>
    </xf>
    <xf numFmtId="176" fontId="8" fillId="0" borderId="128" xfId="0" applyNumberFormat="1" applyFont="1" applyFill="1" applyBorder="1" applyAlignment="1">
      <alignment horizontal="center" vertical="center"/>
    </xf>
    <xf numFmtId="176" fontId="8" fillId="0" borderId="135" xfId="0" applyNumberFormat="1" applyFont="1" applyFill="1" applyBorder="1" applyAlignment="1">
      <alignment horizontal="center" vertical="center"/>
    </xf>
    <xf numFmtId="176" fontId="8" fillId="0" borderId="11" xfId="0" applyNumberFormat="1" applyFont="1" applyFill="1" applyBorder="1" applyAlignment="1">
      <alignment horizontal="center" vertical="center"/>
    </xf>
    <xf numFmtId="176" fontId="8" fillId="0" borderId="16" xfId="0" applyNumberFormat="1" applyFont="1" applyFill="1" applyBorder="1" applyAlignment="1">
      <alignment horizontal="center" vertical="center"/>
    </xf>
    <xf numFmtId="0" fontId="8" fillId="0" borderId="29" xfId="0" applyFont="1" applyFill="1" applyBorder="1" applyAlignment="1">
      <alignment horizontal="center" vertical="center"/>
    </xf>
    <xf numFmtId="176" fontId="8" fillId="0" borderId="12" xfId="0" applyNumberFormat="1" applyFont="1" applyFill="1" applyBorder="1" applyAlignment="1">
      <alignment horizontal="center" vertical="center"/>
    </xf>
    <xf numFmtId="9" fontId="8" fillId="0" borderId="29" xfId="1" applyFont="1" applyFill="1" applyBorder="1" applyAlignment="1">
      <alignment horizontal="center" vertical="center"/>
    </xf>
    <xf numFmtId="176" fontId="8" fillId="0" borderId="131" xfId="0" applyNumberFormat="1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181" fontId="8" fillId="0" borderId="131" xfId="0" applyNumberFormat="1" applyFont="1" applyFill="1" applyBorder="1" applyAlignment="1">
      <alignment horizontal="center" vertical="center"/>
    </xf>
    <xf numFmtId="181" fontId="8" fillId="0" borderId="137" xfId="0" applyNumberFormat="1" applyFont="1" applyFill="1" applyBorder="1" applyAlignment="1">
      <alignment horizontal="center" vertical="center"/>
    </xf>
    <xf numFmtId="181" fontId="8" fillId="0" borderId="9" xfId="0" applyNumberFormat="1" applyFont="1" applyFill="1" applyBorder="1" applyAlignment="1">
      <alignment horizontal="center" vertical="center"/>
    </xf>
    <xf numFmtId="181" fontId="8" fillId="0" borderId="23" xfId="0" applyNumberFormat="1" applyFont="1" applyFill="1" applyBorder="1" applyAlignment="1">
      <alignment horizontal="center" vertical="center"/>
    </xf>
    <xf numFmtId="176" fontId="8" fillId="0" borderId="130" xfId="0" applyNumberFormat="1" applyFont="1" applyFill="1" applyBorder="1" applyAlignment="1">
      <alignment horizontal="center" vertical="center"/>
    </xf>
    <xf numFmtId="176" fontId="8" fillId="0" borderId="138" xfId="0" applyNumberFormat="1" applyFont="1" applyFill="1" applyBorder="1" applyAlignment="1">
      <alignment horizontal="center" vertical="center"/>
    </xf>
    <xf numFmtId="176" fontId="8" fillId="0" borderId="7" xfId="0" applyNumberFormat="1" applyFont="1" applyFill="1" applyBorder="1" applyAlignment="1">
      <alignment horizontal="center" vertical="center"/>
    </xf>
    <xf numFmtId="176" fontId="8" fillId="0" borderId="8" xfId="0" applyNumberFormat="1" applyFont="1" applyFill="1" applyBorder="1" applyAlignment="1">
      <alignment horizontal="center" vertical="center"/>
    </xf>
    <xf numFmtId="176" fontId="8" fillId="3" borderId="2" xfId="2" applyNumberFormat="1" applyFont="1" applyFill="1" applyBorder="1" applyAlignment="1">
      <alignment horizontal="center" vertical="center" wrapText="1"/>
    </xf>
    <xf numFmtId="177" fontId="8" fillId="3" borderId="145" xfId="2" applyNumberFormat="1" applyFont="1" applyFill="1" applyBorder="1" applyAlignment="1">
      <alignment horizontal="center" vertical="center" wrapText="1"/>
    </xf>
    <xf numFmtId="177" fontId="8" fillId="3" borderId="19" xfId="2" applyNumberFormat="1" applyFont="1" applyFill="1" applyBorder="1" applyAlignment="1">
      <alignment horizontal="center" vertical="center"/>
    </xf>
    <xf numFmtId="177" fontId="8" fillId="3" borderId="3" xfId="2" applyNumberFormat="1" applyFont="1" applyFill="1" applyBorder="1" applyAlignment="1">
      <alignment horizontal="center" vertical="center"/>
    </xf>
    <xf numFmtId="177" fontId="8" fillId="3" borderId="4" xfId="2" applyNumberFormat="1" applyFont="1" applyFill="1" applyBorder="1" applyAlignment="1">
      <alignment horizontal="center" vertical="center"/>
    </xf>
    <xf numFmtId="176" fontId="8" fillId="3" borderId="25" xfId="2" applyNumberFormat="1" applyFont="1" applyFill="1" applyBorder="1" applyAlignment="1">
      <alignment horizontal="center" vertical="center" wrapText="1"/>
    </xf>
    <xf numFmtId="177" fontId="8" fillId="3" borderId="129" xfId="2" applyNumberFormat="1" applyFont="1" applyFill="1" applyBorder="1" applyAlignment="1">
      <alignment horizontal="center" vertical="center" wrapText="1"/>
    </xf>
    <xf numFmtId="177" fontId="8" fillId="3" borderId="136" xfId="2" applyNumberFormat="1" applyFont="1" applyFill="1" applyBorder="1" applyAlignment="1">
      <alignment horizontal="center" vertical="center"/>
    </xf>
    <xf numFmtId="177" fontId="8" fillId="3" borderId="5" xfId="2" applyNumberFormat="1" applyFont="1" applyFill="1" applyBorder="1" applyAlignment="1">
      <alignment horizontal="center" vertical="center"/>
    </xf>
    <xf numFmtId="177" fontId="8" fillId="3" borderId="6" xfId="2" applyNumberFormat="1" applyFont="1" applyFill="1" applyBorder="1" applyAlignment="1">
      <alignment horizontal="center" vertical="center"/>
    </xf>
    <xf numFmtId="9" fontId="8" fillId="3" borderId="22" xfId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3" borderId="155" xfId="0" applyFont="1" applyFill="1" applyBorder="1" applyAlignment="1">
      <alignment horizontal="center" vertical="center"/>
    </xf>
    <xf numFmtId="41" fontId="8" fillId="3" borderId="158" xfId="2" applyFont="1" applyFill="1" applyBorder="1" applyAlignment="1">
      <alignment horizontal="center" vertical="center"/>
    </xf>
    <xf numFmtId="9" fontId="8" fillId="3" borderId="155" xfId="1" applyFont="1" applyFill="1" applyBorder="1" applyAlignment="1">
      <alignment horizontal="center" vertical="center"/>
    </xf>
    <xf numFmtId="181" fontId="8" fillId="3" borderId="165" xfId="2" applyNumberFormat="1" applyFont="1" applyFill="1" applyBorder="1" applyAlignment="1">
      <alignment horizontal="center" vertical="center"/>
    </xf>
    <xf numFmtId="181" fontId="8" fillId="3" borderId="164" xfId="2" applyNumberFormat="1" applyFont="1" applyFill="1" applyBorder="1" applyAlignment="1">
      <alignment horizontal="center" vertical="center"/>
    </xf>
    <xf numFmtId="181" fontId="8" fillId="3" borderId="78" xfId="2" applyNumberFormat="1" applyFont="1" applyFill="1" applyBorder="1" applyAlignment="1">
      <alignment horizontal="center" vertical="center"/>
    </xf>
    <xf numFmtId="181" fontId="8" fillId="3" borderId="159" xfId="2" applyNumberFormat="1" applyFont="1" applyFill="1" applyBorder="1" applyAlignment="1">
      <alignment horizontal="center" vertical="center"/>
    </xf>
    <xf numFmtId="0" fontId="2" fillId="0" borderId="120" xfId="0" applyFont="1" applyBorder="1" applyAlignment="1">
      <alignment horizontal="center" vertical="center"/>
    </xf>
    <xf numFmtId="0" fontId="2" fillId="0" borderId="121" xfId="0" applyFont="1" applyBorder="1" applyAlignment="1">
      <alignment horizontal="center" vertical="center"/>
    </xf>
    <xf numFmtId="0" fontId="2" fillId="0" borderId="126" xfId="0" applyFont="1" applyBorder="1" applyAlignment="1">
      <alignment horizontal="center" vertical="center"/>
    </xf>
    <xf numFmtId="0" fontId="2" fillId="0" borderId="120" xfId="0" applyFont="1" applyBorder="1" applyAlignment="1">
      <alignment horizontal="center" vertical="center" wrapText="1"/>
    </xf>
    <xf numFmtId="0" fontId="2" fillId="3" borderId="119" xfId="0" applyFont="1" applyFill="1" applyBorder="1" applyAlignment="1">
      <alignment horizontal="center" vertical="center"/>
    </xf>
    <xf numFmtId="0" fontId="2" fillId="3" borderId="120" xfId="0" applyFont="1" applyFill="1" applyBorder="1" applyAlignment="1">
      <alignment horizontal="center" vertical="center"/>
    </xf>
    <xf numFmtId="0" fontId="2" fillId="3" borderId="120" xfId="0" applyFont="1" applyFill="1" applyBorder="1" applyAlignment="1">
      <alignment horizontal="center" vertical="center" wrapText="1"/>
    </xf>
    <xf numFmtId="0" fontId="2" fillId="3" borderId="125" xfId="0" applyFont="1" applyFill="1" applyBorder="1" applyAlignment="1">
      <alignment horizontal="center" vertical="center"/>
    </xf>
    <xf numFmtId="0" fontId="2" fillId="0" borderId="119" xfId="0" applyFont="1" applyFill="1" applyBorder="1" applyAlignment="1">
      <alignment horizontal="center" vertical="center"/>
    </xf>
    <xf numFmtId="0" fontId="2" fillId="0" borderId="120" xfId="0" applyFont="1" applyFill="1" applyBorder="1" applyAlignment="1">
      <alignment horizontal="center" vertical="center"/>
    </xf>
    <xf numFmtId="0" fontId="2" fillId="0" borderId="120" xfId="0" applyFont="1" applyFill="1" applyBorder="1" applyAlignment="1">
      <alignment horizontal="center" vertical="center" wrapText="1"/>
    </xf>
    <xf numFmtId="0" fontId="2" fillId="0" borderId="121" xfId="0" applyFont="1" applyFill="1" applyBorder="1" applyAlignment="1">
      <alignment horizontal="center" vertical="center"/>
    </xf>
    <xf numFmtId="0" fontId="2" fillId="3" borderId="123" xfId="0" applyFont="1" applyFill="1" applyBorder="1" applyAlignment="1">
      <alignment horizontal="center" vertical="center"/>
    </xf>
    <xf numFmtId="0" fontId="2" fillId="3" borderId="126" xfId="0" applyFont="1" applyFill="1" applyBorder="1" applyAlignment="1">
      <alignment horizontal="center" vertical="center"/>
    </xf>
    <xf numFmtId="0" fontId="2" fillId="3" borderId="132" xfId="0" applyFont="1" applyFill="1" applyBorder="1" applyAlignment="1">
      <alignment horizontal="center" vertical="center"/>
    </xf>
    <xf numFmtId="0" fontId="2" fillId="0" borderId="124" xfId="0" applyFont="1" applyBorder="1" applyAlignment="1">
      <alignment horizontal="center" vertical="center" wrapText="1" readingOrder="1"/>
    </xf>
    <xf numFmtId="0" fontId="2" fillId="0" borderId="120" xfId="0" applyFont="1" applyBorder="1" applyAlignment="1">
      <alignment horizontal="center" vertical="center" wrapText="1" readingOrder="1"/>
    </xf>
    <xf numFmtId="0" fontId="2" fillId="0" borderId="125" xfId="0" applyFont="1" applyBorder="1" applyAlignment="1">
      <alignment horizontal="center" vertical="center" wrapText="1" readingOrder="1"/>
    </xf>
    <xf numFmtId="0" fontId="2" fillId="3" borderId="119" xfId="0" applyFont="1" applyFill="1" applyBorder="1" applyAlignment="1">
      <alignment horizontal="center" vertical="center" wrapText="1" readingOrder="1"/>
    </xf>
    <xf numFmtId="0" fontId="2" fillId="3" borderId="124" xfId="0" applyFont="1" applyFill="1" applyBorder="1" applyAlignment="1">
      <alignment horizontal="center" vertical="center" wrapText="1" readingOrder="1"/>
    </xf>
    <xf numFmtId="0" fontId="2" fillId="3" borderId="120" xfId="0" applyFont="1" applyFill="1" applyBorder="1" applyAlignment="1">
      <alignment horizontal="center" vertical="center" wrapText="1" readingOrder="1"/>
    </xf>
    <xf numFmtId="0" fontId="2" fillId="3" borderId="121" xfId="0" applyFont="1" applyFill="1" applyBorder="1" applyAlignment="1">
      <alignment horizontal="center" vertical="center" wrapText="1" readingOrder="1"/>
    </xf>
    <xf numFmtId="0" fontId="2" fillId="0" borderId="126" xfId="0" applyFont="1" applyFill="1" applyBorder="1" applyAlignment="1">
      <alignment horizontal="center" vertical="center" wrapText="1" readingOrder="1"/>
    </xf>
    <xf numFmtId="0" fontId="2" fillId="0" borderId="125" xfId="0" applyFont="1" applyFill="1" applyBorder="1" applyAlignment="1">
      <alignment horizontal="center" vertical="center" wrapText="1" readingOrder="1"/>
    </xf>
    <xf numFmtId="0" fontId="2" fillId="0" borderId="120" xfId="0" applyFont="1" applyFill="1" applyBorder="1" applyAlignment="1">
      <alignment horizontal="center" vertical="center" wrapText="1" readingOrder="1"/>
    </xf>
    <xf numFmtId="0" fontId="2" fillId="0" borderId="124" xfId="0" applyFont="1" applyFill="1" applyBorder="1" applyAlignment="1">
      <alignment horizontal="center" vertical="center"/>
    </xf>
    <xf numFmtId="0" fontId="2" fillId="0" borderId="125" xfId="0" applyFont="1" applyFill="1" applyBorder="1" applyAlignment="1">
      <alignment horizontal="center" vertical="center"/>
    </xf>
    <xf numFmtId="0" fontId="2" fillId="3" borderId="156" xfId="0" applyFont="1" applyFill="1" applyBorder="1" applyAlignment="1">
      <alignment horizontal="center" vertical="center"/>
    </xf>
    <xf numFmtId="0" fontId="2" fillId="0" borderId="125" xfId="0" applyFont="1" applyBorder="1" applyAlignment="1">
      <alignment horizontal="center" vertical="center" wrapText="1"/>
    </xf>
    <xf numFmtId="0" fontId="3" fillId="0" borderId="142" xfId="0" applyFont="1" applyBorder="1" applyAlignment="1">
      <alignment horizontal="center" vertical="center" wrapText="1"/>
    </xf>
    <xf numFmtId="0" fontId="2" fillId="0" borderId="124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82" fontId="8" fillId="0" borderId="14" xfId="0" applyNumberFormat="1" applyFont="1" applyBorder="1" applyAlignment="1">
      <alignment horizontal="center" vertical="center"/>
    </xf>
    <xf numFmtId="9" fontId="8" fillId="0" borderId="21" xfId="1" quotePrefix="1" applyFont="1" applyBorder="1" applyAlignment="1">
      <alignment horizontal="center" vertical="center" wrapText="1"/>
    </xf>
    <xf numFmtId="182" fontId="8" fillId="0" borderId="128" xfId="0" applyNumberFormat="1" applyFont="1" applyBorder="1" applyAlignment="1">
      <alignment horizontal="center" vertical="center"/>
    </xf>
    <xf numFmtId="177" fontId="8" fillId="0" borderId="135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177" fontId="8" fillId="0" borderId="16" xfId="0" applyNumberFormat="1" applyFont="1" applyBorder="1" applyAlignment="1">
      <alignment horizontal="center" vertical="center"/>
    </xf>
    <xf numFmtId="0" fontId="8" fillId="0" borderId="170" xfId="0" applyFont="1" applyFill="1" applyBorder="1" applyAlignment="1">
      <alignment horizontal="center" vertical="center"/>
    </xf>
    <xf numFmtId="176" fontId="8" fillId="0" borderId="171" xfId="0" applyNumberFormat="1" applyFont="1" applyFill="1" applyBorder="1" applyAlignment="1">
      <alignment horizontal="center" vertical="center"/>
    </xf>
    <xf numFmtId="9" fontId="8" fillId="0" borderId="170" xfId="1" applyFont="1" applyFill="1" applyBorder="1" applyAlignment="1">
      <alignment horizontal="center" vertical="center"/>
    </xf>
    <xf numFmtId="176" fontId="8" fillId="0" borderId="172" xfId="2" applyNumberFormat="1" applyFont="1" applyFill="1" applyBorder="1" applyAlignment="1">
      <alignment horizontal="center" vertical="center"/>
    </xf>
    <xf numFmtId="176" fontId="8" fillId="0" borderId="168" xfId="2" applyNumberFormat="1" applyFont="1" applyFill="1" applyBorder="1" applyAlignment="1">
      <alignment horizontal="center" vertical="center"/>
    </xf>
    <xf numFmtId="176" fontId="8" fillId="0" borderId="169" xfId="2" applyNumberFormat="1" applyFont="1" applyFill="1" applyBorder="1" applyAlignment="1">
      <alignment horizontal="center" vertical="center"/>
    </xf>
    <xf numFmtId="176" fontId="8" fillId="0" borderId="173" xfId="2" applyNumberFormat="1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22" xfId="0" applyFont="1" applyFill="1" applyBorder="1" applyAlignment="1">
      <alignment horizontal="center" vertical="center"/>
    </xf>
    <xf numFmtId="176" fontId="8" fillId="0" borderId="13" xfId="0" applyNumberFormat="1" applyFont="1" applyFill="1" applyBorder="1" applyAlignment="1">
      <alignment horizontal="center" vertical="center"/>
    </xf>
    <xf numFmtId="9" fontId="8" fillId="0" borderId="122" xfId="1" applyFont="1" applyFill="1" applyBorder="1" applyAlignment="1">
      <alignment horizontal="center" vertical="center"/>
    </xf>
    <xf numFmtId="176" fontId="8" fillId="0" borderId="127" xfId="2" applyNumberFormat="1" applyFont="1" applyFill="1" applyBorder="1" applyAlignment="1">
      <alignment horizontal="center" vertical="center"/>
    </xf>
    <xf numFmtId="176" fontId="8" fillId="0" borderId="146" xfId="2" applyNumberFormat="1" applyFont="1" applyFill="1" applyBorder="1" applyAlignment="1">
      <alignment horizontal="center" vertical="center"/>
    </xf>
    <xf numFmtId="176" fontId="8" fillId="0" borderId="10" xfId="2" applyNumberFormat="1" applyFont="1" applyFill="1" applyBorder="1" applyAlignment="1">
      <alignment horizontal="center" vertical="center"/>
    </xf>
    <xf numFmtId="176" fontId="8" fillId="0" borderId="24" xfId="2" applyNumberFormat="1" applyFont="1" applyFill="1" applyBorder="1" applyAlignment="1">
      <alignment horizontal="center" vertical="center"/>
    </xf>
    <xf numFmtId="41" fontId="8" fillId="0" borderId="168" xfId="2" applyFont="1" applyFill="1" applyBorder="1" applyAlignment="1">
      <alignment horizontal="center" vertical="center"/>
    </xf>
    <xf numFmtId="41" fontId="8" fillId="0" borderId="169" xfId="2" applyFont="1" applyFill="1" applyBorder="1" applyAlignment="1">
      <alignment horizontal="center" vertical="center"/>
    </xf>
    <xf numFmtId="180" fontId="8" fillId="0" borderId="146" xfId="3" applyNumberFormat="1" applyFont="1" applyFill="1" applyBorder="1" applyAlignment="1">
      <alignment horizontal="center" vertical="center"/>
    </xf>
    <xf numFmtId="180" fontId="8" fillId="0" borderId="10" xfId="3" applyNumberFormat="1" applyFont="1" applyFill="1" applyBorder="1" applyAlignment="1">
      <alignment horizontal="center" vertical="center"/>
    </xf>
    <xf numFmtId="0" fontId="8" fillId="0" borderId="0" xfId="0" quotePrefix="1" applyFont="1">
      <alignment vertical="center"/>
    </xf>
    <xf numFmtId="176" fontId="8" fillId="0" borderId="25" xfId="2" applyNumberFormat="1" applyFont="1" applyFill="1" applyBorder="1" applyAlignment="1">
      <alignment horizontal="center" vertical="center"/>
    </xf>
    <xf numFmtId="176" fontId="7" fillId="3" borderId="145" xfId="2" applyNumberFormat="1" applyFont="1" applyFill="1" applyBorder="1" applyAlignment="1">
      <alignment horizontal="center" vertical="center"/>
    </xf>
    <xf numFmtId="176" fontId="7" fillId="3" borderId="129" xfId="2" applyNumberFormat="1" applyFont="1" applyFill="1" applyBorder="1" applyAlignment="1">
      <alignment horizontal="center" vertical="center"/>
    </xf>
    <xf numFmtId="176" fontId="7" fillId="3" borderId="130" xfId="2" applyNumberFormat="1" applyFont="1" applyFill="1" applyBorder="1" applyAlignment="1">
      <alignment horizontal="center" vertical="center"/>
    </xf>
    <xf numFmtId="176" fontId="7" fillId="3" borderId="127" xfId="2" applyNumberFormat="1" applyFont="1" applyFill="1" applyBorder="1" applyAlignment="1">
      <alignment horizontal="center" vertical="center"/>
    </xf>
    <xf numFmtId="176" fontId="8" fillId="0" borderId="2" xfId="2" applyNumberFormat="1" applyFont="1" applyFill="1" applyBorder="1" applyAlignment="1">
      <alignment horizontal="center" vertical="center"/>
    </xf>
    <xf numFmtId="176" fontId="8" fillId="0" borderId="30" xfId="2" applyNumberFormat="1" applyFont="1" applyFill="1" applyBorder="1" applyAlignment="1">
      <alignment horizontal="center" vertical="center"/>
    </xf>
    <xf numFmtId="176" fontId="8" fillId="0" borderId="13" xfId="2" applyNumberFormat="1" applyFont="1" applyFill="1" applyBorder="1" applyAlignment="1">
      <alignment horizontal="center" vertical="center"/>
    </xf>
    <xf numFmtId="0" fontId="36" fillId="11" borderId="179" xfId="0" applyFont="1" applyFill="1" applyBorder="1" applyAlignment="1">
      <alignment horizontal="center" vertical="center"/>
    </xf>
    <xf numFmtId="0" fontId="7" fillId="4" borderId="31" xfId="0" applyFont="1" applyFill="1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/>
    </xf>
    <xf numFmtId="0" fontId="36" fillId="11" borderId="180" xfId="0" applyFont="1" applyFill="1" applyBorder="1" applyAlignment="1">
      <alignment horizontal="center" vertical="center"/>
    </xf>
    <xf numFmtId="0" fontId="7" fillId="4" borderId="139" xfId="0" applyFont="1" applyFill="1" applyBorder="1" applyAlignment="1">
      <alignment horizontal="center" vertical="center"/>
    </xf>
    <xf numFmtId="176" fontId="7" fillId="0" borderId="175" xfId="2" applyNumberFormat="1" applyFont="1" applyFill="1" applyBorder="1" applyAlignment="1">
      <alignment horizontal="center" vertical="center"/>
    </xf>
    <xf numFmtId="176" fontId="7" fillId="0" borderId="176" xfId="2" applyNumberFormat="1" applyFont="1" applyFill="1" applyBorder="1" applyAlignment="1">
      <alignment horizontal="center" vertical="center"/>
    </xf>
    <xf numFmtId="176" fontId="7" fillId="0" borderId="174" xfId="2" applyNumberFormat="1" applyFont="1" applyFill="1" applyBorder="1" applyAlignment="1">
      <alignment horizontal="center" vertical="center"/>
    </xf>
    <xf numFmtId="176" fontId="7" fillId="0" borderId="177" xfId="2" applyNumberFormat="1" applyFont="1" applyFill="1" applyBorder="1" applyAlignment="1">
      <alignment horizontal="center" vertical="center"/>
    </xf>
    <xf numFmtId="41" fontId="8" fillId="5" borderId="136" xfId="2" applyFont="1" applyFill="1" applyBorder="1" applyAlignment="1">
      <alignment horizontal="center" vertical="center"/>
    </xf>
    <xf numFmtId="176" fontId="8" fillId="5" borderId="25" xfId="0" applyNumberFormat="1" applyFont="1" applyFill="1" applyBorder="1" applyAlignment="1">
      <alignment horizontal="center" vertical="center"/>
    </xf>
    <xf numFmtId="9" fontId="8" fillId="5" borderId="22" xfId="1" applyFont="1" applyFill="1" applyBorder="1" applyAlignment="1">
      <alignment horizontal="center" vertical="center"/>
    </xf>
    <xf numFmtId="176" fontId="7" fillId="5" borderId="129" xfId="2" applyNumberFormat="1" applyFont="1" applyFill="1" applyBorder="1" applyAlignment="1">
      <alignment horizontal="center" vertical="center"/>
    </xf>
    <xf numFmtId="176" fontId="7" fillId="5" borderId="176" xfId="2" applyNumberFormat="1" applyFont="1" applyFill="1" applyBorder="1" applyAlignment="1">
      <alignment horizontal="center" vertical="center"/>
    </xf>
    <xf numFmtId="176" fontId="8" fillId="5" borderId="25" xfId="2" applyNumberFormat="1" applyFont="1" applyFill="1" applyBorder="1" applyAlignment="1">
      <alignment horizontal="center" vertical="center"/>
    </xf>
    <xf numFmtId="176" fontId="8" fillId="5" borderId="5" xfId="2" applyNumberFormat="1" applyFont="1" applyFill="1" applyBorder="1" applyAlignment="1">
      <alignment horizontal="center" vertical="center"/>
    </xf>
    <xf numFmtId="176" fontId="8" fillId="5" borderId="6" xfId="2" applyNumberFormat="1" applyFont="1" applyFill="1" applyBorder="1" applyAlignment="1">
      <alignment horizontal="center" vertical="center"/>
    </xf>
    <xf numFmtId="41" fontId="8" fillId="5" borderId="168" xfId="2" applyFont="1" applyFill="1" applyBorder="1" applyAlignment="1">
      <alignment horizontal="center" vertical="center"/>
    </xf>
    <xf numFmtId="176" fontId="8" fillId="5" borderId="171" xfId="0" applyNumberFormat="1" applyFont="1" applyFill="1" applyBorder="1" applyAlignment="1">
      <alignment horizontal="center" vertical="center"/>
    </xf>
    <xf numFmtId="9" fontId="8" fillId="5" borderId="170" xfId="1" applyFont="1" applyFill="1" applyBorder="1" applyAlignment="1">
      <alignment horizontal="center" vertical="center"/>
    </xf>
    <xf numFmtId="176" fontId="7" fillId="5" borderId="172" xfId="2" applyNumberFormat="1" applyFont="1" applyFill="1" applyBorder="1" applyAlignment="1">
      <alignment horizontal="center" vertical="center"/>
    </xf>
    <xf numFmtId="176" fontId="7" fillId="5" borderId="178" xfId="2" applyNumberFormat="1" applyFont="1" applyFill="1" applyBorder="1" applyAlignment="1">
      <alignment horizontal="center" vertical="center"/>
    </xf>
    <xf numFmtId="176" fontId="8" fillId="5" borderId="171" xfId="2" applyNumberFormat="1" applyFont="1" applyFill="1" applyBorder="1" applyAlignment="1">
      <alignment horizontal="center" vertical="center"/>
    </xf>
    <xf numFmtId="176" fontId="8" fillId="5" borderId="169" xfId="2" applyNumberFormat="1" applyFont="1" applyFill="1" applyBorder="1" applyAlignment="1">
      <alignment horizontal="center" vertical="center"/>
    </xf>
    <xf numFmtId="176" fontId="8" fillId="5" borderId="173" xfId="2" applyNumberFormat="1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39" fillId="0" borderId="0" xfId="0" applyFont="1">
      <alignment vertical="center"/>
    </xf>
    <xf numFmtId="0" fontId="40" fillId="0" borderId="0" xfId="0" applyFont="1">
      <alignment vertical="center"/>
    </xf>
    <xf numFmtId="0" fontId="41" fillId="0" borderId="0" xfId="0" applyFont="1">
      <alignment vertical="center"/>
    </xf>
    <xf numFmtId="0" fontId="20" fillId="0" borderId="0" xfId="0" applyFont="1">
      <alignment vertical="center"/>
    </xf>
    <xf numFmtId="0" fontId="12" fillId="0" borderId="0" xfId="0" applyFont="1" applyBorder="1">
      <alignment vertical="center"/>
    </xf>
    <xf numFmtId="0" fontId="43" fillId="0" borderId="0" xfId="0" applyFont="1">
      <alignment vertical="center"/>
    </xf>
    <xf numFmtId="186" fontId="40" fillId="0" borderId="0" xfId="0" applyNumberFormat="1" applyFont="1">
      <alignment vertical="center"/>
    </xf>
    <xf numFmtId="3" fontId="40" fillId="0" borderId="181" xfId="1" applyNumberFormat="1" applyFont="1" applyBorder="1" applyAlignment="1">
      <alignment horizontal="center" vertical="center"/>
    </xf>
    <xf numFmtId="3" fontId="40" fillId="0" borderId="0" xfId="0" applyNumberFormat="1" applyFont="1">
      <alignment vertical="center"/>
    </xf>
    <xf numFmtId="3" fontId="40" fillId="0" borderId="0" xfId="0" applyNumberFormat="1" applyFont="1" applyAlignment="1">
      <alignment horizontal="right" vertical="center"/>
    </xf>
    <xf numFmtId="3" fontId="43" fillId="0" borderId="0" xfId="0" applyNumberFormat="1" applyFont="1">
      <alignment vertical="center"/>
    </xf>
    <xf numFmtId="3" fontId="45" fillId="4" borderId="186" xfId="4" applyNumberFormat="1" applyFont="1" applyFill="1" applyBorder="1" applyAlignment="1">
      <alignment horizontal="center" vertical="center" wrapText="1"/>
    </xf>
    <xf numFmtId="3" fontId="43" fillId="4" borderId="181" xfId="0" applyNumberFormat="1" applyFont="1" applyFill="1" applyBorder="1" applyAlignment="1">
      <alignment horizontal="center" vertical="center"/>
    </xf>
    <xf numFmtId="3" fontId="46" fillId="13" borderId="181" xfId="0" applyNumberFormat="1" applyFont="1" applyFill="1" applyBorder="1" applyAlignment="1">
      <alignment horizontal="center" vertical="center"/>
    </xf>
    <xf numFmtId="3" fontId="48" fillId="4" borderId="181" xfId="5" applyNumberFormat="1" applyFont="1" applyFill="1" applyBorder="1" applyAlignment="1">
      <alignment horizontal="center" vertical="center"/>
    </xf>
    <xf numFmtId="3" fontId="40" fillId="0" borderId="181" xfId="0" applyNumberFormat="1" applyFont="1" applyBorder="1" applyAlignment="1">
      <alignment horizontal="center" vertical="center"/>
    </xf>
    <xf numFmtId="3" fontId="49" fillId="13" borderId="184" xfId="0" applyNumberFormat="1" applyFont="1" applyFill="1" applyBorder="1" applyAlignment="1">
      <alignment horizontal="center" vertical="center"/>
    </xf>
    <xf numFmtId="3" fontId="48" fillId="4" borderId="184" xfId="5" applyNumberFormat="1" applyFont="1" applyFill="1" applyBorder="1" applyAlignment="1">
      <alignment horizontal="center" vertical="center"/>
    </xf>
    <xf numFmtId="3" fontId="40" fillId="8" borderId="181" xfId="0" applyNumberFormat="1" applyFont="1" applyFill="1" applyBorder="1" applyAlignment="1">
      <alignment horizontal="center" vertical="center"/>
    </xf>
    <xf numFmtId="3" fontId="49" fillId="0" borderId="0" xfId="0" applyNumberFormat="1" applyFont="1">
      <alignment vertical="center"/>
    </xf>
    <xf numFmtId="3" fontId="46" fillId="13" borderId="184" xfId="0" applyNumberFormat="1" applyFont="1" applyFill="1" applyBorder="1" applyAlignment="1">
      <alignment horizontal="center" vertical="center"/>
    </xf>
    <xf numFmtId="3" fontId="50" fillId="4" borderId="181" xfId="0" applyNumberFormat="1" applyFont="1" applyFill="1" applyBorder="1" applyAlignment="1">
      <alignment horizontal="center" vertical="center"/>
    </xf>
    <xf numFmtId="3" fontId="50" fillId="4" borderId="184" xfId="0" applyNumberFormat="1" applyFont="1" applyFill="1" applyBorder="1" applyAlignment="1">
      <alignment horizontal="center" vertical="center"/>
    </xf>
    <xf numFmtId="176" fontId="50" fillId="4" borderId="187" xfId="0" applyNumberFormat="1" applyFont="1" applyFill="1" applyBorder="1" applyAlignment="1">
      <alignment horizontal="center" vertical="center"/>
    </xf>
    <xf numFmtId="3" fontId="46" fillId="13" borderId="187" xfId="0" applyNumberFormat="1" applyFont="1" applyFill="1" applyBorder="1" applyAlignment="1">
      <alignment horizontal="center" vertical="center"/>
    </xf>
    <xf numFmtId="3" fontId="48" fillId="4" borderId="187" xfId="5" applyNumberFormat="1" applyFont="1" applyFill="1" applyBorder="1" applyAlignment="1">
      <alignment horizontal="center" vertical="center"/>
    </xf>
    <xf numFmtId="3" fontId="49" fillId="13" borderId="187" xfId="0" applyNumberFormat="1" applyFont="1" applyFill="1" applyBorder="1" applyAlignment="1">
      <alignment horizontal="center" vertical="center"/>
    </xf>
    <xf numFmtId="178" fontId="46" fillId="13" borderId="184" xfId="1" applyNumberFormat="1" applyFont="1" applyFill="1" applyBorder="1" applyAlignment="1">
      <alignment horizontal="center" vertical="center"/>
    </xf>
    <xf numFmtId="178" fontId="40" fillId="0" borderId="0" xfId="1" applyNumberFormat="1" applyFont="1">
      <alignment vertical="center"/>
    </xf>
    <xf numFmtId="178" fontId="43" fillId="0" borderId="0" xfId="1" applyNumberFormat="1" applyFont="1">
      <alignment vertical="center"/>
    </xf>
    <xf numFmtId="178" fontId="46" fillId="13" borderId="187" xfId="1" applyNumberFormat="1" applyFont="1" applyFill="1" applyBorder="1" applyAlignment="1">
      <alignment horizontal="center" vertical="center"/>
    </xf>
    <xf numFmtId="178" fontId="49" fillId="13" borderId="187" xfId="1" applyNumberFormat="1" applyFont="1" applyFill="1" applyBorder="1" applyAlignment="1">
      <alignment horizontal="center" vertical="center"/>
    </xf>
    <xf numFmtId="178" fontId="48" fillId="14" borderId="187" xfId="1" applyNumberFormat="1" applyFont="1" applyFill="1" applyBorder="1" applyAlignment="1">
      <alignment horizontal="center" vertical="center"/>
    </xf>
    <xf numFmtId="178" fontId="50" fillId="14" borderId="184" xfId="1" applyNumberFormat="1" applyFont="1" applyFill="1" applyBorder="1" applyAlignment="1">
      <alignment horizontal="center" vertical="center"/>
    </xf>
    <xf numFmtId="0" fontId="41" fillId="0" borderId="0" xfId="0" quotePrefix="1" applyFont="1">
      <alignment vertical="center"/>
    </xf>
    <xf numFmtId="0" fontId="37" fillId="0" borderId="0" xfId="0" applyFont="1">
      <alignment vertical="center"/>
    </xf>
    <xf numFmtId="0" fontId="0" fillId="0" borderId="0" xfId="0" applyFont="1" applyAlignment="1">
      <alignment horizontal="right" vertical="center"/>
    </xf>
    <xf numFmtId="3" fontId="0" fillId="0" borderId="0" xfId="0" applyNumberFormat="1" applyFont="1" applyAlignment="1">
      <alignment horizontal="center" vertical="center"/>
    </xf>
    <xf numFmtId="178" fontId="12" fillId="3" borderId="187" xfId="1" applyNumberFormat="1" applyFont="1" applyFill="1" applyBorder="1" applyAlignment="1">
      <alignment horizontal="center" vertical="center"/>
    </xf>
    <xf numFmtId="178" fontId="0" fillId="0" borderId="0" xfId="1" applyNumberFormat="1" applyFont="1">
      <alignment vertical="center"/>
    </xf>
    <xf numFmtId="0" fontId="12" fillId="3" borderId="181" xfId="0" applyFont="1" applyFill="1" applyBorder="1" applyAlignment="1">
      <alignment horizontal="center" vertical="center"/>
    </xf>
    <xf numFmtId="178" fontId="0" fillId="0" borderId="181" xfId="1" applyNumberFormat="1" applyFont="1" applyBorder="1" applyAlignment="1">
      <alignment horizontal="center" vertical="center"/>
    </xf>
    <xf numFmtId="3" fontId="0" fillId="12" borderId="181" xfId="1" applyNumberFormat="1" applyFont="1" applyFill="1" applyBorder="1" applyAlignment="1">
      <alignment horizontal="center" vertical="center"/>
    </xf>
    <xf numFmtId="178" fontId="18" fillId="3" borderId="181" xfId="1" applyNumberFormat="1" applyFont="1" applyFill="1" applyBorder="1" applyAlignment="1">
      <alignment horizontal="center" vertical="center"/>
    </xf>
    <xf numFmtId="3" fontId="18" fillId="3" borderId="181" xfId="1" applyNumberFormat="1" applyFont="1" applyFill="1" applyBorder="1" applyAlignment="1">
      <alignment horizontal="center" vertical="center"/>
    </xf>
    <xf numFmtId="0" fontId="12" fillId="3" borderId="184" xfId="0" applyFont="1" applyFill="1" applyBorder="1" applyAlignment="1">
      <alignment horizontal="center" vertical="center"/>
    </xf>
    <xf numFmtId="0" fontId="12" fillId="3" borderId="182" xfId="0" applyFont="1" applyFill="1" applyBorder="1" applyAlignment="1">
      <alignment horizontal="center" vertical="center" wrapText="1"/>
    </xf>
    <xf numFmtId="0" fontId="0" fillId="0" borderId="184" xfId="0" applyFont="1" applyBorder="1" applyAlignment="1">
      <alignment horizontal="center" vertical="center"/>
    </xf>
    <xf numFmtId="3" fontId="0" fillId="0" borderId="182" xfId="1" applyNumberFormat="1" applyFont="1" applyBorder="1" applyAlignment="1">
      <alignment horizontal="center" vertical="center"/>
    </xf>
    <xf numFmtId="0" fontId="18" fillId="3" borderId="184" xfId="0" applyFont="1" applyFill="1" applyBorder="1" applyAlignment="1">
      <alignment horizontal="center" vertical="center"/>
    </xf>
    <xf numFmtId="3" fontId="18" fillId="3" borderId="182" xfId="1" applyNumberFormat="1" applyFont="1" applyFill="1" applyBorder="1" applyAlignment="1">
      <alignment horizontal="center" vertical="center"/>
    </xf>
    <xf numFmtId="0" fontId="53" fillId="0" borderId="0" xfId="0" applyFont="1">
      <alignment vertical="center"/>
    </xf>
    <xf numFmtId="3" fontId="56" fillId="0" borderId="193" xfId="0" applyNumberFormat="1" applyFont="1" applyFill="1" applyBorder="1" applyAlignment="1">
      <alignment horizontal="center" vertical="center" wrapText="1"/>
    </xf>
    <xf numFmtId="49" fontId="56" fillId="0" borderId="193" xfId="0" applyNumberFormat="1" applyFont="1" applyFill="1" applyBorder="1" applyAlignment="1">
      <alignment horizontal="center" vertical="center" wrapText="1"/>
    </xf>
    <xf numFmtId="0" fontId="56" fillId="0" borderId="193" xfId="0" applyFont="1" applyFill="1" applyBorder="1" applyAlignment="1">
      <alignment horizontal="center" vertical="center" wrapText="1"/>
    </xf>
    <xf numFmtId="49" fontId="56" fillId="17" borderId="193" xfId="0" applyNumberFormat="1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49" fontId="56" fillId="0" borderId="193" xfId="0" applyNumberFormat="1" applyFont="1" applyFill="1" applyBorder="1" applyAlignment="1">
      <alignment horizontal="left" vertical="center" wrapText="1"/>
    </xf>
    <xf numFmtId="3" fontId="56" fillId="0" borderId="193" xfId="0" applyNumberFormat="1" applyFont="1" applyFill="1" applyBorder="1" applyAlignment="1">
      <alignment horizontal="right" vertical="center" wrapText="1"/>
    </xf>
    <xf numFmtId="0" fontId="55" fillId="16" borderId="193" xfId="0" applyFont="1" applyFill="1" applyBorder="1" applyAlignment="1">
      <alignment horizontal="center" vertical="center" wrapText="1"/>
    </xf>
    <xf numFmtId="189" fontId="56" fillId="0" borderId="193" xfId="0" applyNumberFormat="1" applyFont="1" applyFill="1" applyBorder="1" applyAlignment="1">
      <alignment horizontal="right" vertical="center" wrapText="1"/>
    </xf>
    <xf numFmtId="0" fontId="55" fillId="16" borderId="193" xfId="0" applyFont="1" applyFill="1" applyBorder="1" applyAlignment="1">
      <alignment horizontal="center" vertical="center" wrapText="1"/>
    </xf>
    <xf numFmtId="3" fontId="0" fillId="0" borderId="0" xfId="0" applyNumberFormat="1" applyFont="1" applyFill="1" applyBorder="1" applyAlignment="1">
      <alignment horizontal="center" vertical="center" wrapText="1"/>
    </xf>
    <xf numFmtId="188" fontId="55" fillId="16" borderId="193" xfId="0" applyNumberFormat="1" applyFont="1" applyFill="1" applyBorder="1" applyAlignment="1">
      <alignment horizontal="center" vertical="center" wrapText="1"/>
    </xf>
    <xf numFmtId="189" fontId="0" fillId="0" borderId="0" xfId="1" applyNumberFormat="1" applyFont="1" applyFill="1" applyBorder="1" applyAlignment="1">
      <alignment horizontal="center" vertical="center" wrapText="1"/>
    </xf>
    <xf numFmtId="0" fontId="52" fillId="0" borderId="0" xfId="0" applyFont="1">
      <alignment vertical="center"/>
    </xf>
    <xf numFmtId="0" fontId="52" fillId="0" borderId="0" xfId="0" applyFont="1" applyAlignment="1">
      <alignment horizontal="center" vertical="center"/>
    </xf>
    <xf numFmtId="0" fontId="57" fillId="3" borderId="187" xfId="0" applyFont="1" applyFill="1" applyBorder="1" applyAlignment="1">
      <alignment horizontal="center" vertical="center"/>
    </xf>
    <xf numFmtId="0" fontId="58" fillId="18" borderId="187" xfId="6" applyFont="1" applyFill="1" applyBorder="1" applyAlignment="1">
      <alignment horizontal="center" vertical="center"/>
    </xf>
    <xf numFmtId="3" fontId="22" fillId="0" borderId="187" xfId="1" applyNumberFormat="1" applyFont="1" applyBorder="1" applyAlignment="1">
      <alignment horizontal="center" vertical="center"/>
    </xf>
    <xf numFmtId="3" fontId="57" fillId="3" borderId="187" xfId="1" applyNumberFormat="1" applyFont="1" applyFill="1" applyBorder="1" applyAlignment="1">
      <alignment horizontal="center" vertical="center"/>
    </xf>
    <xf numFmtId="0" fontId="22" fillId="0" borderId="187" xfId="0" applyFont="1" applyBorder="1" applyAlignment="1">
      <alignment horizontal="center" vertical="center"/>
    </xf>
    <xf numFmtId="3" fontId="22" fillId="0" borderId="188" xfId="1" applyNumberFormat="1" applyFont="1" applyBorder="1" applyAlignment="1">
      <alignment horizontal="center" vertical="center"/>
    </xf>
    <xf numFmtId="3" fontId="57" fillId="3" borderId="188" xfId="1" applyNumberFormat="1" applyFont="1" applyFill="1" applyBorder="1" applyAlignment="1">
      <alignment horizontal="center" vertical="center"/>
    </xf>
    <xf numFmtId="0" fontId="22" fillId="0" borderId="0" xfId="0" applyNumberFormat="1" applyFont="1" applyAlignment="1">
      <alignment horizontal="center" vertical="center"/>
    </xf>
    <xf numFmtId="0" fontId="59" fillId="5" borderId="0" xfId="0" applyNumberFormat="1" applyFont="1" applyFill="1" applyAlignment="1">
      <alignment horizontal="left" vertical="center"/>
    </xf>
    <xf numFmtId="0" fontId="22" fillId="5" borderId="0" xfId="0" applyNumberFormat="1" applyFont="1" applyFill="1" applyAlignment="1">
      <alignment horizontal="center" vertical="center"/>
    </xf>
    <xf numFmtId="0" fontId="59" fillId="19" borderId="0" xfId="0" applyNumberFormat="1" applyFont="1" applyFill="1" applyAlignment="1">
      <alignment horizontal="left" vertical="center"/>
    </xf>
    <xf numFmtId="0" fontId="22" fillId="19" borderId="0" xfId="0" applyNumberFormat="1" applyFont="1" applyFill="1" applyAlignment="1">
      <alignment horizontal="center" vertical="center"/>
    </xf>
    <xf numFmtId="0" fontId="60" fillId="0" borderId="0" xfId="0" applyNumberFormat="1" applyFont="1" applyAlignment="1">
      <alignment horizontal="left" vertical="center"/>
    </xf>
    <xf numFmtId="0" fontId="61" fillId="0" borderId="0" xfId="0" applyNumberFormat="1" applyFont="1" applyAlignment="1">
      <alignment horizontal="center" vertical="center"/>
    </xf>
    <xf numFmtId="0" fontId="62" fillId="20" borderId="195" xfId="0" applyNumberFormat="1" applyFont="1" applyFill="1" applyBorder="1" applyAlignment="1">
      <alignment horizontal="center" vertical="center"/>
    </xf>
    <xf numFmtId="0" fontId="63" fillId="22" borderId="195" xfId="0" applyNumberFormat="1" applyFont="1" applyFill="1" applyBorder="1" applyAlignment="1">
      <alignment horizontal="center" vertical="center"/>
    </xf>
    <xf numFmtId="0" fontId="64" fillId="23" borderId="201" xfId="0" applyNumberFormat="1" applyFont="1" applyFill="1" applyBorder="1" applyAlignment="1">
      <alignment horizontal="center" vertical="center"/>
    </xf>
    <xf numFmtId="0" fontId="64" fillId="23" borderId="195" xfId="0" applyNumberFormat="1" applyFont="1" applyFill="1" applyBorder="1" applyAlignment="1">
      <alignment horizontal="center" vertical="center"/>
    </xf>
    <xf numFmtId="0" fontId="22" fillId="0" borderId="201" xfId="0" applyNumberFormat="1" applyFont="1" applyBorder="1" applyAlignment="1">
      <alignment horizontal="center" vertical="center"/>
    </xf>
    <xf numFmtId="0" fontId="22" fillId="0" borderId="195" xfId="0" applyNumberFormat="1" applyFont="1" applyBorder="1" applyAlignment="1">
      <alignment horizontal="center" vertical="center"/>
    </xf>
    <xf numFmtId="0" fontId="22" fillId="0" borderId="203" xfId="0" applyNumberFormat="1" applyFont="1" applyBorder="1" applyAlignment="1">
      <alignment horizontal="center" vertical="center"/>
    </xf>
    <xf numFmtId="0" fontId="22" fillId="0" borderId="204" xfId="0" applyNumberFormat="1" applyFont="1" applyBorder="1" applyAlignment="1">
      <alignment horizontal="center" vertical="center"/>
    </xf>
    <xf numFmtId="190" fontId="22" fillId="0" borderId="0" xfId="0" applyNumberFormat="1" applyFont="1" applyAlignment="1">
      <alignment horizontal="center" vertical="center"/>
    </xf>
    <xf numFmtId="190" fontId="22" fillId="19" borderId="0" xfId="0" applyNumberFormat="1" applyFont="1" applyFill="1" applyAlignment="1">
      <alignment horizontal="center" vertical="center"/>
    </xf>
    <xf numFmtId="190" fontId="62" fillId="21" borderId="195" xfId="0" applyNumberFormat="1" applyFont="1" applyFill="1" applyBorder="1" applyAlignment="1">
      <alignment horizontal="center" vertical="center"/>
    </xf>
    <xf numFmtId="190" fontId="64" fillId="23" borderId="195" xfId="0" applyNumberFormat="1" applyFont="1" applyFill="1" applyBorder="1" applyAlignment="1">
      <alignment horizontal="center" vertical="center"/>
    </xf>
    <xf numFmtId="190" fontId="22" fillId="0" borderId="195" xfId="0" applyNumberFormat="1" applyFont="1" applyBorder="1" applyAlignment="1">
      <alignment horizontal="center" vertical="center"/>
    </xf>
    <xf numFmtId="190" fontId="22" fillId="0" borderId="204" xfId="0" applyNumberFormat="1" applyFont="1" applyBorder="1" applyAlignment="1">
      <alignment horizontal="center" vertical="center"/>
    </xf>
    <xf numFmtId="190" fontId="65" fillId="21" borderId="195" xfId="0" applyNumberFormat="1" applyFont="1" applyFill="1" applyBorder="1" applyAlignment="1">
      <alignment horizontal="center" vertical="center"/>
    </xf>
    <xf numFmtId="190" fontId="22" fillId="8" borderId="195" xfId="0" applyNumberFormat="1" applyFont="1" applyFill="1" applyBorder="1" applyAlignment="1">
      <alignment horizontal="center" vertical="center"/>
    </xf>
    <xf numFmtId="190" fontId="22" fillId="8" borderId="204" xfId="0" applyNumberFormat="1" applyFont="1" applyFill="1" applyBorder="1" applyAlignment="1">
      <alignment horizontal="center" vertical="center"/>
    </xf>
    <xf numFmtId="0" fontId="52" fillId="0" borderId="193" xfId="0" applyFont="1" applyBorder="1" applyAlignment="1">
      <alignment horizontal="left" vertical="center" indent="1"/>
    </xf>
    <xf numFmtId="0" fontId="57" fillId="5" borderId="193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12" fillId="5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206" xfId="0" applyBorder="1" applyAlignment="1">
      <alignment horizontal="center" vertical="center"/>
    </xf>
    <xf numFmtId="0" fontId="0" fillId="0" borderId="206" xfId="0" applyNumberFormat="1" applyBorder="1" applyAlignment="1">
      <alignment horizontal="center" vertical="center"/>
    </xf>
    <xf numFmtId="0" fontId="12" fillId="0" borderId="206" xfId="0" pivotButton="1" applyFont="1" applyBorder="1" applyAlignment="1">
      <alignment horizontal="center" vertical="center"/>
    </xf>
    <xf numFmtId="0" fontId="12" fillId="0" borderId="206" xfId="0" applyFont="1" applyBorder="1" applyAlignment="1">
      <alignment horizontal="center" vertical="center"/>
    </xf>
    <xf numFmtId="0" fontId="12" fillId="12" borderId="206" xfId="0" applyFont="1" applyFill="1" applyBorder="1" applyAlignment="1">
      <alignment horizontal="center" vertical="center"/>
    </xf>
    <xf numFmtId="0" fontId="12" fillId="12" borderId="206" xfId="0" applyNumberFormat="1" applyFont="1" applyFill="1" applyBorder="1" applyAlignment="1">
      <alignment horizontal="center" vertical="center"/>
    </xf>
    <xf numFmtId="0" fontId="68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0" fontId="71" fillId="0" borderId="0" xfId="0" applyFont="1" applyAlignment="1">
      <alignment horizontal="left" vertical="center"/>
    </xf>
    <xf numFmtId="49" fontId="72" fillId="20" borderId="207" xfId="0" applyNumberFormat="1" applyFont="1" applyFill="1" applyBorder="1" applyAlignment="1">
      <alignment horizontal="center" vertical="center"/>
    </xf>
    <xf numFmtId="49" fontId="73" fillId="22" borderId="208" xfId="0" applyNumberFormat="1" applyFont="1" applyFill="1" applyBorder="1" applyAlignment="1">
      <alignment horizontal="center" vertical="center"/>
    </xf>
    <xf numFmtId="0" fontId="0" fillId="0" borderId="201" xfId="0" applyBorder="1" applyAlignment="1">
      <alignment horizontal="center" vertical="center"/>
    </xf>
    <xf numFmtId="0" fontId="0" fillId="0" borderId="203" xfId="0" applyBorder="1" applyAlignment="1">
      <alignment horizontal="center" vertical="center"/>
    </xf>
    <xf numFmtId="0" fontId="37" fillId="23" borderId="197" xfId="0" applyFont="1" applyFill="1" applyBorder="1" applyAlignment="1">
      <alignment horizontal="center" vertical="center"/>
    </xf>
    <xf numFmtId="0" fontId="75" fillId="23" borderId="205" xfId="0" applyFont="1" applyFill="1" applyBorder="1" applyAlignment="1">
      <alignment horizontal="center" vertical="center"/>
    </xf>
    <xf numFmtId="0" fontId="75" fillId="23" borderId="209" xfId="0" applyFont="1" applyFill="1" applyBorder="1" applyAlignment="1">
      <alignment horizontal="center" vertical="center"/>
    </xf>
    <xf numFmtId="0" fontId="0" fillId="2" borderId="201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178" fontId="0" fillId="0" borderId="201" xfId="1" applyNumberFormat="1" applyFont="1" applyBorder="1" applyAlignment="1">
      <alignment horizontal="center" vertical="center"/>
    </xf>
    <xf numFmtId="178" fontId="0" fillId="0" borderId="203" xfId="1" applyNumberFormat="1" applyFont="1" applyBorder="1" applyAlignment="1">
      <alignment horizontal="center" vertical="center"/>
    </xf>
    <xf numFmtId="0" fontId="37" fillId="23" borderId="197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176" fontId="76" fillId="2" borderId="195" xfId="0" applyNumberFormat="1" applyFont="1" applyFill="1" applyBorder="1" applyAlignment="1">
      <alignment horizontal="center" vertical="center"/>
    </xf>
    <xf numFmtId="176" fontId="76" fillId="2" borderId="210" xfId="0" applyNumberFormat="1" applyFont="1" applyFill="1" applyBorder="1" applyAlignment="1">
      <alignment horizontal="center" vertical="center"/>
    </xf>
    <xf numFmtId="176" fontId="76" fillId="0" borderId="195" xfId="0" applyNumberFormat="1" applyFont="1" applyBorder="1" applyAlignment="1">
      <alignment horizontal="center" vertical="center"/>
    </xf>
    <xf numFmtId="176" fontId="76" fillId="0" borderId="210" xfId="0" applyNumberFormat="1" applyFont="1" applyBorder="1" applyAlignment="1">
      <alignment horizontal="center" vertical="center"/>
    </xf>
    <xf numFmtId="176" fontId="76" fillId="0" borderId="204" xfId="0" applyNumberFormat="1" applyFont="1" applyBorder="1" applyAlignment="1">
      <alignment horizontal="center" vertical="center"/>
    </xf>
    <xf numFmtId="176" fontId="76" fillId="0" borderId="211" xfId="0" applyNumberFormat="1" applyFont="1" applyBorder="1" applyAlignment="1">
      <alignment horizontal="center" vertical="center"/>
    </xf>
    <xf numFmtId="0" fontId="38" fillId="0" borderId="0" xfId="0" applyFont="1" applyAlignment="1">
      <alignment horizontal="left" vertical="center"/>
    </xf>
    <xf numFmtId="0" fontId="77" fillId="0" borderId="0" xfId="0" applyFont="1" applyFill="1" applyBorder="1" applyAlignment="1">
      <alignment horizontal="left" vertical="center"/>
    </xf>
    <xf numFmtId="0" fontId="78" fillId="0" borderId="0" xfId="0" applyFont="1" applyFill="1" applyBorder="1" applyAlignment="1">
      <alignment horizontal="left" vertical="center"/>
    </xf>
    <xf numFmtId="0" fontId="74" fillId="14" borderId="207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2" fillId="0" borderId="201" xfId="0" applyNumberFormat="1" applyFont="1" applyBorder="1" applyAlignment="1">
      <alignment horizontal="center" vertical="center"/>
    </xf>
    <xf numFmtId="0" fontId="66" fillId="5" borderId="187" xfId="0" applyFont="1" applyFill="1" applyBorder="1" applyAlignment="1">
      <alignment horizontal="center" vertical="center"/>
    </xf>
    <xf numFmtId="0" fontId="66" fillId="5" borderId="187" xfId="0" applyFont="1" applyFill="1" applyBorder="1" applyAlignment="1">
      <alignment horizontal="center" vertical="center" wrapText="1"/>
    </xf>
    <xf numFmtId="178" fontId="12" fillId="5" borderId="187" xfId="1" applyNumberFormat="1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/>
    </xf>
    <xf numFmtId="10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52" fillId="0" borderId="0" xfId="0" applyFont="1" applyFill="1" applyBorder="1" applyAlignment="1">
      <alignment horizontal="center" vertical="center" wrapText="1"/>
    </xf>
    <xf numFmtId="189" fontId="52" fillId="0" borderId="0" xfId="1" applyNumberFormat="1" applyFont="1" applyFill="1" applyBorder="1" applyAlignment="1">
      <alignment horizontal="center" vertical="center" wrapText="1"/>
    </xf>
    <xf numFmtId="188" fontId="80" fillId="16" borderId="193" xfId="0" applyNumberFormat="1" applyFont="1" applyFill="1" applyBorder="1" applyAlignment="1">
      <alignment horizontal="center" vertical="center" wrapText="1"/>
    </xf>
    <xf numFmtId="0" fontId="80" fillId="16" borderId="193" xfId="0" applyFont="1" applyFill="1" applyBorder="1" applyAlignment="1">
      <alignment horizontal="center" vertical="center" wrapText="1"/>
    </xf>
    <xf numFmtId="3" fontId="81" fillId="0" borderId="193" xfId="0" applyNumberFormat="1" applyFont="1" applyFill="1" applyBorder="1" applyAlignment="1">
      <alignment horizontal="center" vertical="center" wrapText="1"/>
    </xf>
    <xf numFmtId="49" fontId="81" fillId="0" borderId="193" xfId="0" applyNumberFormat="1" applyFont="1" applyFill="1" applyBorder="1" applyAlignment="1">
      <alignment horizontal="left" vertical="center"/>
    </xf>
    <xf numFmtId="49" fontId="81" fillId="0" borderId="193" xfId="0" applyNumberFormat="1" applyFont="1" applyFill="1" applyBorder="1" applyAlignment="1">
      <alignment horizontal="left" vertical="center" wrapText="1"/>
    </xf>
    <xf numFmtId="49" fontId="81" fillId="0" borderId="193" xfId="0" applyNumberFormat="1" applyFont="1" applyFill="1" applyBorder="1" applyAlignment="1">
      <alignment horizontal="center" vertical="center" wrapText="1"/>
    </xf>
    <xf numFmtId="176" fontId="82" fillId="3" borderId="193" xfId="0" applyNumberFormat="1" applyFont="1" applyFill="1" applyBorder="1" applyAlignment="1">
      <alignment horizontal="center" vertical="center" wrapText="1"/>
    </xf>
    <xf numFmtId="176" fontId="81" fillId="0" borderId="193" xfId="0" applyNumberFormat="1" applyFont="1" applyFill="1" applyBorder="1" applyAlignment="1">
      <alignment horizontal="center" vertical="center" wrapText="1"/>
    </xf>
    <xf numFmtId="176" fontId="57" fillId="12" borderId="0" xfId="0" applyNumberFormat="1" applyFont="1" applyFill="1" applyBorder="1" applyAlignment="1">
      <alignment horizontal="center" vertical="center" wrapText="1"/>
    </xf>
    <xf numFmtId="0" fontId="52" fillId="0" borderId="193" xfId="0" applyFont="1" applyBorder="1" applyAlignment="1">
      <alignment horizontal="center" vertical="center"/>
    </xf>
    <xf numFmtId="0" fontId="22" fillId="0" borderId="188" xfId="0" applyFont="1" applyBorder="1" applyAlignment="1">
      <alignment horizontal="center" vertical="center"/>
    </xf>
    <xf numFmtId="0" fontId="57" fillId="3" borderId="188" xfId="0" applyFont="1" applyFill="1" applyBorder="1" applyAlignment="1">
      <alignment horizontal="center" vertical="center"/>
    </xf>
    <xf numFmtId="49" fontId="72" fillId="20" borderId="207" xfId="0" applyNumberFormat="1" applyFont="1" applyFill="1" applyBorder="1" applyAlignment="1">
      <alignment horizontal="center" vertical="center" wrapText="1"/>
    </xf>
    <xf numFmtId="49" fontId="73" fillId="22" borderId="208" xfId="0" applyNumberFormat="1" applyFont="1" applyFill="1" applyBorder="1" applyAlignment="1">
      <alignment horizontal="center" vertical="center" wrapText="1"/>
    </xf>
    <xf numFmtId="49" fontId="83" fillId="22" borderId="208" xfId="0" applyNumberFormat="1" applyFont="1" applyFill="1" applyBorder="1" applyAlignment="1">
      <alignment horizontal="center" vertical="center" wrapText="1"/>
    </xf>
    <xf numFmtId="49" fontId="73" fillId="25" borderId="208" xfId="0" applyNumberFormat="1" applyFont="1" applyFill="1" applyBorder="1" applyAlignment="1">
      <alignment horizontal="center" vertical="center" wrapText="1"/>
    </xf>
    <xf numFmtId="0" fontId="83" fillId="25" borderId="208" xfId="0" applyFont="1" applyFill="1" applyBorder="1" applyAlignment="1">
      <alignment horizontal="center" vertical="center" wrapText="1"/>
    </xf>
    <xf numFmtId="49" fontId="73" fillId="22" borderId="208" xfId="0" applyNumberFormat="1" applyFont="1" applyFill="1" applyBorder="1" applyAlignment="1">
      <alignment horizontal="left" vertical="center" wrapText="1"/>
    </xf>
    <xf numFmtId="49" fontId="83" fillId="22" borderId="208" xfId="0" applyNumberFormat="1" applyFont="1" applyFill="1" applyBorder="1" applyAlignment="1">
      <alignment horizontal="left" vertical="center" wrapText="1"/>
    </xf>
    <xf numFmtId="0" fontId="85" fillId="0" borderId="0" xfId="0" applyFont="1" applyFill="1" applyBorder="1" applyAlignment="1">
      <alignment horizontal="center" vertical="center"/>
    </xf>
    <xf numFmtId="188" fontId="87" fillId="16" borderId="193" xfId="0" applyNumberFormat="1" applyFont="1" applyFill="1" applyBorder="1" applyAlignment="1">
      <alignment horizontal="center" vertical="center"/>
    </xf>
    <xf numFmtId="49" fontId="88" fillId="0" borderId="193" xfId="0" applyNumberFormat="1" applyFont="1" applyFill="1" applyBorder="1" applyAlignment="1">
      <alignment horizontal="center" vertical="center"/>
    </xf>
    <xf numFmtId="176" fontId="88" fillId="0" borderId="193" xfId="0" applyNumberFormat="1" applyFont="1" applyFill="1" applyBorder="1" applyAlignment="1">
      <alignment horizontal="center" vertical="center"/>
    </xf>
    <xf numFmtId="0" fontId="85" fillId="0" borderId="0" xfId="0" applyFont="1" applyFill="1" applyBorder="1" applyAlignment="1">
      <alignment horizontal="center" vertical="center" wrapText="1"/>
    </xf>
    <xf numFmtId="188" fontId="87" fillId="16" borderId="193" xfId="0" applyNumberFormat="1" applyFont="1" applyFill="1" applyBorder="1" applyAlignment="1">
      <alignment horizontal="center" vertical="center" wrapText="1"/>
    </xf>
    <xf numFmtId="49" fontId="88" fillId="0" borderId="193" xfId="0" applyNumberFormat="1" applyFont="1" applyFill="1" applyBorder="1" applyAlignment="1">
      <alignment horizontal="center" vertical="center" wrapText="1"/>
    </xf>
    <xf numFmtId="176" fontId="88" fillId="0" borderId="193" xfId="0" applyNumberFormat="1" applyFont="1" applyFill="1" applyBorder="1" applyAlignment="1">
      <alignment horizontal="center" vertical="center" wrapText="1"/>
    </xf>
    <xf numFmtId="0" fontId="84" fillId="0" borderId="188" xfId="0" applyFont="1" applyBorder="1" applyAlignment="1">
      <alignment horizontal="center" vertical="center"/>
    </xf>
    <xf numFmtId="178" fontId="84" fillId="0" borderId="188" xfId="1" applyNumberFormat="1" applyFont="1" applyBorder="1" applyAlignment="1">
      <alignment horizontal="center" vertical="center"/>
    </xf>
    <xf numFmtId="0" fontId="84" fillId="3" borderId="192" xfId="0" applyFont="1" applyFill="1" applyBorder="1" applyAlignment="1">
      <alignment horizontal="center" vertical="center"/>
    </xf>
    <xf numFmtId="0" fontId="86" fillId="0" borderId="0" xfId="0" applyFont="1" applyAlignment="1">
      <alignment horizontal="left" vertical="center"/>
    </xf>
    <xf numFmtId="0" fontId="90" fillId="0" borderId="0" xfId="0" applyFont="1" applyAlignment="1">
      <alignment horizontal="left" vertical="center"/>
    </xf>
    <xf numFmtId="9" fontId="0" fillId="0" borderId="0" xfId="0" applyNumberFormat="1" applyAlignment="1">
      <alignment horizontal="center" vertical="center"/>
    </xf>
    <xf numFmtId="0" fontId="89" fillId="24" borderId="214" xfId="0" applyFont="1" applyFill="1" applyBorder="1" applyAlignment="1">
      <alignment horizontal="center" vertical="center"/>
    </xf>
    <xf numFmtId="0" fontId="89" fillId="24" borderId="214" xfId="0" applyFont="1" applyFill="1" applyBorder="1" applyAlignment="1">
      <alignment horizontal="center" vertical="center" wrapText="1"/>
    </xf>
    <xf numFmtId="0" fontId="89" fillId="24" borderId="192" xfId="0" applyFont="1" applyFill="1" applyBorder="1" applyAlignment="1">
      <alignment horizontal="center" vertical="center"/>
    </xf>
    <xf numFmtId="0" fontId="89" fillId="24" borderId="215" xfId="0" applyFont="1" applyFill="1" applyBorder="1" applyAlignment="1">
      <alignment horizontal="center" vertical="center"/>
    </xf>
    <xf numFmtId="0" fontId="89" fillId="24" borderId="188" xfId="0" applyFont="1" applyFill="1" applyBorder="1" applyAlignment="1">
      <alignment horizontal="center" vertical="center"/>
    </xf>
    <xf numFmtId="177" fontId="84" fillId="3" borderId="214" xfId="0" applyNumberFormat="1" applyFont="1" applyFill="1" applyBorder="1" applyAlignment="1">
      <alignment horizontal="center" vertical="center"/>
    </xf>
    <xf numFmtId="178" fontId="84" fillId="3" borderId="216" xfId="0" applyNumberFormat="1" applyFont="1" applyFill="1" applyBorder="1" applyAlignment="1">
      <alignment horizontal="center" vertical="center"/>
    </xf>
    <xf numFmtId="178" fontId="84" fillId="3" borderId="188" xfId="0" applyNumberFormat="1" applyFont="1" applyFill="1" applyBorder="1" applyAlignment="1">
      <alignment horizontal="center" vertical="center"/>
    </xf>
    <xf numFmtId="177" fontId="84" fillId="26" borderId="214" xfId="0" applyNumberFormat="1" applyFont="1" applyFill="1" applyBorder="1" applyAlignment="1">
      <alignment horizontal="center" vertical="center"/>
    </xf>
    <xf numFmtId="0" fontId="84" fillId="0" borderId="192" xfId="0" applyFont="1" applyBorder="1" applyAlignment="1">
      <alignment horizontal="center" vertical="center"/>
    </xf>
    <xf numFmtId="178" fontId="84" fillId="27" borderId="216" xfId="1" applyNumberFormat="1" applyFont="1" applyFill="1" applyBorder="1" applyAlignment="1">
      <alignment horizontal="center" vertical="center"/>
    </xf>
    <xf numFmtId="178" fontId="84" fillId="27" borderId="217" xfId="1" applyNumberFormat="1" applyFont="1" applyFill="1" applyBorder="1" applyAlignment="1">
      <alignment horizontal="center" vertical="center"/>
    </xf>
    <xf numFmtId="0" fontId="84" fillId="0" borderId="0" xfId="0" applyFont="1" applyAlignment="1">
      <alignment horizontal="center" vertical="center"/>
    </xf>
    <xf numFmtId="177" fontId="84" fillId="0" borderId="214" xfId="0" applyNumberFormat="1" applyFont="1" applyBorder="1" applyAlignment="1">
      <alignment horizontal="center" vertical="center"/>
    </xf>
    <xf numFmtId="0" fontId="89" fillId="24" borderId="215" xfId="0" applyFont="1" applyFill="1" applyBorder="1" applyAlignment="1">
      <alignment horizontal="center" vertical="center" wrapText="1"/>
    </xf>
    <xf numFmtId="0" fontId="89" fillId="24" borderId="188" xfId="0" applyFont="1" applyFill="1" applyBorder="1" applyAlignment="1">
      <alignment horizontal="center" vertical="center" wrapText="1"/>
    </xf>
    <xf numFmtId="0" fontId="84" fillId="26" borderId="188" xfId="0" applyFont="1" applyFill="1" applyBorder="1" applyAlignment="1">
      <alignment horizontal="center" vertical="center"/>
    </xf>
    <xf numFmtId="176" fontId="84" fillId="3" borderId="188" xfId="0" applyNumberFormat="1" applyFont="1" applyFill="1" applyBorder="1" applyAlignment="1">
      <alignment horizontal="center" vertical="center"/>
    </xf>
    <xf numFmtId="176" fontId="84" fillId="0" borderId="188" xfId="0" applyNumberFormat="1" applyFont="1" applyBorder="1" applyAlignment="1">
      <alignment horizontal="center" vertical="center"/>
    </xf>
    <xf numFmtId="0" fontId="87" fillId="16" borderId="193" xfId="0" applyFont="1" applyFill="1" applyBorder="1" applyAlignment="1">
      <alignment horizontal="center" vertical="center" wrapText="1"/>
    </xf>
    <xf numFmtId="0" fontId="87" fillId="16" borderId="193" xfId="0" applyFont="1" applyFill="1" applyBorder="1" applyAlignment="1">
      <alignment horizontal="center" vertical="center"/>
    </xf>
    <xf numFmtId="0" fontId="9" fillId="6" borderId="0" xfId="0" quotePrefix="1" applyFont="1" applyFill="1" applyAlignment="1">
      <alignment horizontal="center" vertical="center"/>
    </xf>
    <xf numFmtId="0" fontId="11" fillId="3" borderId="32" xfId="0" applyFont="1" applyFill="1" applyBorder="1" applyAlignment="1">
      <alignment horizontal="center" vertical="center" wrapText="1" readingOrder="1"/>
    </xf>
    <xf numFmtId="0" fontId="11" fillId="3" borderId="33" xfId="0" applyFont="1" applyFill="1" applyBorder="1" applyAlignment="1">
      <alignment horizontal="center" vertical="center" wrapText="1" readingOrder="1"/>
    </xf>
    <xf numFmtId="0" fontId="11" fillId="3" borderId="0" xfId="0" applyFont="1" applyFill="1" applyBorder="1" applyAlignment="1">
      <alignment horizontal="center" vertical="center" wrapText="1" readingOrder="1"/>
    </xf>
    <xf numFmtId="0" fontId="11" fillId="3" borderId="37" xfId="0" applyFont="1" applyFill="1" applyBorder="1" applyAlignment="1">
      <alignment horizontal="center" vertical="center" wrapText="1" readingOrder="1"/>
    </xf>
    <xf numFmtId="0" fontId="11" fillId="3" borderId="43" xfId="0" applyFont="1" applyFill="1" applyBorder="1" applyAlignment="1">
      <alignment horizontal="center" vertical="center" wrapText="1" readingOrder="1"/>
    </xf>
    <xf numFmtId="0" fontId="11" fillId="3" borderId="44" xfId="0" applyFont="1" applyFill="1" applyBorder="1" applyAlignment="1">
      <alignment horizontal="center" vertical="center" wrapText="1" readingOrder="1"/>
    </xf>
    <xf numFmtId="0" fontId="12" fillId="3" borderId="34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12" fillId="3" borderId="35" xfId="0" applyFont="1" applyFill="1" applyBorder="1" applyAlignment="1">
      <alignment horizontal="center" vertical="center"/>
    </xf>
    <xf numFmtId="0" fontId="12" fillId="3" borderId="36" xfId="0" applyFont="1" applyFill="1" applyBorder="1" applyAlignment="1">
      <alignment horizontal="center" vertical="center"/>
    </xf>
    <xf numFmtId="0" fontId="11" fillId="3" borderId="38" xfId="0" applyFont="1" applyFill="1" applyBorder="1" applyAlignment="1">
      <alignment horizontal="center" vertical="center" wrapText="1" readingOrder="1"/>
    </xf>
    <xf numFmtId="0" fontId="11" fillId="3" borderId="45" xfId="0" applyFont="1" applyFill="1" applyBorder="1" applyAlignment="1">
      <alignment horizontal="center" vertical="center" wrapText="1" readingOrder="1"/>
    </xf>
    <xf numFmtId="0" fontId="11" fillId="3" borderId="39" xfId="0" applyFont="1" applyFill="1" applyBorder="1" applyAlignment="1">
      <alignment horizontal="center" vertical="center" wrapText="1" readingOrder="1"/>
    </xf>
    <xf numFmtId="0" fontId="11" fillId="3" borderId="31" xfId="0" applyFont="1" applyFill="1" applyBorder="1" applyAlignment="1">
      <alignment horizontal="center" vertical="center" wrapText="1" readingOrder="1"/>
    </xf>
    <xf numFmtId="0" fontId="11" fillId="3" borderId="47" xfId="0" applyFont="1" applyFill="1" applyBorder="1" applyAlignment="1">
      <alignment horizontal="center" vertical="center" wrapText="1" readingOrder="1"/>
    </xf>
    <xf numFmtId="0" fontId="11" fillId="3" borderId="40" xfId="0" applyFont="1" applyFill="1" applyBorder="1" applyAlignment="1">
      <alignment horizontal="center" vertical="center" wrapText="1" readingOrder="1"/>
    </xf>
    <xf numFmtId="0" fontId="11" fillId="3" borderId="42" xfId="0" applyFont="1" applyFill="1" applyBorder="1" applyAlignment="1">
      <alignment horizontal="center" vertical="center" wrapText="1" readingOrder="1"/>
    </xf>
    <xf numFmtId="0" fontId="11" fillId="3" borderId="48" xfId="0" applyFont="1" applyFill="1" applyBorder="1" applyAlignment="1">
      <alignment horizontal="center" vertical="center" wrapText="1" readingOrder="1"/>
    </xf>
    <xf numFmtId="0" fontId="11" fillId="3" borderId="49" xfId="0" applyFont="1" applyFill="1" applyBorder="1" applyAlignment="1">
      <alignment horizontal="center" vertical="center" wrapText="1" readingOrder="1"/>
    </xf>
    <xf numFmtId="0" fontId="14" fillId="3" borderId="33" xfId="0" applyFont="1" applyFill="1" applyBorder="1" applyAlignment="1">
      <alignment horizontal="center" vertical="center" wrapText="1" readingOrder="1"/>
    </xf>
    <xf numFmtId="0" fontId="14" fillId="3" borderId="37" xfId="0" applyFont="1" applyFill="1" applyBorder="1" applyAlignment="1">
      <alignment horizontal="center" vertical="center" wrapText="1" readingOrder="1"/>
    </xf>
    <xf numFmtId="0" fontId="14" fillId="3" borderId="44" xfId="0" applyFont="1" applyFill="1" applyBorder="1" applyAlignment="1">
      <alignment horizontal="center" vertical="center" wrapText="1" readingOrder="1"/>
    </xf>
    <xf numFmtId="0" fontId="15" fillId="3" borderId="34" xfId="0" applyFont="1" applyFill="1" applyBorder="1" applyAlignment="1">
      <alignment horizontal="center" vertical="center" wrapText="1" readingOrder="1"/>
    </xf>
    <xf numFmtId="0" fontId="15" fillId="3" borderId="33" xfId="0" applyFont="1" applyFill="1" applyBorder="1" applyAlignment="1">
      <alignment horizontal="center" vertical="center" wrapText="1" readingOrder="1"/>
    </xf>
    <xf numFmtId="0" fontId="16" fillId="3" borderId="41" xfId="0" applyFont="1" applyFill="1" applyBorder="1" applyAlignment="1">
      <alignment horizontal="right" vertical="center" wrapText="1" readingOrder="1"/>
    </xf>
    <xf numFmtId="0" fontId="16" fillId="3" borderId="51" xfId="0" applyFont="1" applyFill="1" applyBorder="1" applyAlignment="1">
      <alignment horizontal="right" vertical="center" wrapText="1" readingOrder="1"/>
    </xf>
    <xf numFmtId="3" fontId="10" fillId="0" borderId="54" xfId="0" applyNumberFormat="1" applyFont="1" applyBorder="1" applyAlignment="1">
      <alignment horizontal="right" vertical="center"/>
    </xf>
    <xf numFmtId="3" fontId="10" fillId="0" borderId="59" xfId="0" applyNumberFormat="1" applyFont="1" applyBorder="1" applyAlignment="1">
      <alignment horizontal="right" vertical="center"/>
    </xf>
    <xf numFmtId="0" fontId="16" fillId="3" borderId="60" xfId="0" applyFont="1" applyFill="1" applyBorder="1" applyAlignment="1">
      <alignment horizontal="right" vertical="center" wrapText="1" readingOrder="1"/>
    </xf>
    <xf numFmtId="0" fontId="14" fillId="7" borderId="33" xfId="0" applyFont="1" applyFill="1" applyBorder="1" applyAlignment="1">
      <alignment horizontal="center" vertical="center" wrapText="1" readingOrder="1"/>
    </xf>
    <xf numFmtId="0" fontId="14" fillId="7" borderId="37" xfId="0" applyFont="1" applyFill="1" applyBorder="1" applyAlignment="1">
      <alignment horizontal="center" vertical="center" wrapText="1" readingOrder="1"/>
    </xf>
    <xf numFmtId="0" fontId="14" fillId="7" borderId="44" xfId="0" applyFont="1" applyFill="1" applyBorder="1" applyAlignment="1">
      <alignment horizontal="center" vertical="center" wrapText="1" readingOrder="1"/>
    </xf>
    <xf numFmtId="0" fontId="17" fillId="7" borderId="41" xfId="0" applyFont="1" applyFill="1" applyBorder="1" applyAlignment="1">
      <alignment horizontal="right" vertical="center" wrapText="1" readingOrder="1"/>
    </xf>
    <xf numFmtId="0" fontId="17" fillId="7" borderId="51" xfId="0" applyFont="1" applyFill="1" applyBorder="1" applyAlignment="1">
      <alignment horizontal="right" vertical="center" wrapText="1" readingOrder="1"/>
    </xf>
    <xf numFmtId="3" fontId="10" fillId="0" borderId="70" xfId="0" applyNumberFormat="1" applyFont="1" applyBorder="1" applyAlignment="1">
      <alignment horizontal="right" vertical="center"/>
    </xf>
    <xf numFmtId="0" fontId="17" fillId="7" borderId="41" xfId="0" applyFont="1" applyFill="1" applyBorder="1" applyAlignment="1">
      <alignment horizontal="center" vertical="center" wrapText="1" readingOrder="1"/>
    </xf>
    <xf numFmtId="0" fontId="17" fillId="7" borderId="60" xfId="0" applyFont="1" applyFill="1" applyBorder="1" applyAlignment="1">
      <alignment horizontal="center" vertical="center" wrapText="1" readingOrder="1"/>
    </xf>
    <xf numFmtId="0" fontId="14" fillId="8" borderId="37" xfId="0" applyFont="1" applyFill="1" applyBorder="1" applyAlignment="1">
      <alignment horizontal="center" vertical="center" wrapText="1" readingOrder="1"/>
    </xf>
    <xf numFmtId="0" fontId="14" fillId="8" borderId="44" xfId="0" applyFont="1" applyFill="1" applyBorder="1" applyAlignment="1">
      <alignment horizontal="center" vertical="center" wrapText="1" readingOrder="1"/>
    </xf>
    <xf numFmtId="0" fontId="18" fillId="0" borderId="0" xfId="0" applyFont="1" applyAlignment="1">
      <alignment horizontal="center" vertical="center"/>
    </xf>
    <xf numFmtId="0" fontId="22" fillId="0" borderId="43" xfId="0" applyFont="1" applyBorder="1" applyAlignment="1">
      <alignment horizontal="right" vertical="center"/>
    </xf>
    <xf numFmtId="0" fontId="12" fillId="3" borderId="72" xfId="0" applyFont="1" applyFill="1" applyBorder="1" applyAlignment="1">
      <alignment horizontal="center" vertical="center"/>
    </xf>
    <xf numFmtId="0" fontId="11" fillId="3" borderId="75" xfId="0" applyFont="1" applyFill="1" applyBorder="1" applyAlignment="1">
      <alignment horizontal="center" vertical="center" wrapText="1" readingOrder="1"/>
    </xf>
    <xf numFmtId="0" fontId="11" fillId="3" borderId="56" xfId="0" applyFont="1" applyFill="1" applyBorder="1" applyAlignment="1">
      <alignment horizontal="center" vertical="center" wrapText="1" readingOrder="1"/>
    </xf>
    <xf numFmtId="0" fontId="11" fillId="3" borderId="71" xfId="0" applyFont="1" applyFill="1" applyBorder="1" applyAlignment="1">
      <alignment horizontal="center" vertical="center" wrapText="1" readingOrder="1"/>
    </xf>
    <xf numFmtId="0" fontId="11" fillId="3" borderId="79" xfId="0" applyFont="1" applyFill="1" applyBorder="1" applyAlignment="1">
      <alignment horizontal="center" vertical="center" wrapText="1" readingOrder="1"/>
    </xf>
    <xf numFmtId="0" fontId="11" fillId="3" borderId="40" xfId="0" applyFont="1" applyFill="1" applyBorder="1" applyAlignment="1">
      <alignment horizontal="center" vertical="center" wrapText="1"/>
    </xf>
    <xf numFmtId="0" fontId="11" fillId="3" borderId="47" xfId="0" applyFont="1" applyFill="1" applyBorder="1" applyAlignment="1">
      <alignment horizontal="center" vertical="center" wrapText="1"/>
    </xf>
    <xf numFmtId="0" fontId="11" fillId="3" borderId="74" xfId="0" applyFont="1" applyFill="1" applyBorder="1" applyAlignment="1">
      <alignment horizontal="center" vertical="center" wrapText="1" readingOrder="1"/>
    </xf>
    <xf numFmtId="0" fontId="11" fillId="3" borderId="80" xfId="0" applyFont="1" applyFill="1" applyBorder="1" applyAlignment="1">
      <alignment horizontal="center" vertical="center" wrapText="1" readingOrder="1"/>
    </xf>
    <xf numFmtId="0" fontId="11" fillId="3" borderId="34" xfId="0" applyFont="1" applyFill="1" applyBorder="1" applyAlignment="1">
      <alignment horizontal="center" vertical="center" wrapText="1" readingOrder="1"/>
    </xf>
    <xf numFmtId="0" fontId="27" fillId="3" borderId="41" xfId="0" applyFont="1" applyFill="1" applyBorder="1" applyAlignment="1">
      <alignment horizontal="center" vertical="center" wrapText="1" readingOrder="1"/>
    </xf>
    <xf numFmtId="0" fontId="27" fillId="3" borderId="51" xfId="0" applyFont="1" applyFill="1" applyBorder="1" applyAlignment="1">
      <alignment horizontal="center" vertical="center" wrapText="1" readingOrder="1"/>
    </xf>
    <xf numFmtId="0" fontId="11" fillId="7" borderId="33" xfId="0" applyFont="1" applyFill="1" applyBorder="1" applyAlignment="1">
      <alignment horizontal="center" vertical="center" wrapText="1" readingOrder="1"/>
    </xf>
    <xf numFmtId="0" fontId="11" fillId="7" borderId="37" xfId="0" applyFont="1" applyFill="1" applyBorder="1" applyAlignment="1">
      <alignment horizontal="center" vertical="center" wrapText="1" readingOrder="1"/>
    </xf>
    <xf numFmtId="0" fontId="11" fillId="7" borderId="44" xfId="0" applyFont="1" applyFill="1" applyBorder="1" applyAlignment="1">
      <alignment horizontal="center" vertical="center" wrapText="1" readingOrder="1"/>
    </xf>
    <xf numFmtId="0" fontId="16" fillId="7" borderId="41" xfId="0" applyFont="1" applyFill="1" applyBorder="1" applyAlignment="1">
      <alignment horizontal="right" vertical="center" wrapText="1" readingOrder="1"/>
    </xf>
    <xf numFmtId="0" fontId="16" fillId="7" borderId="51" xfId="0" applyFont="1" applyFill="1" applyBorder="1" applyAlignment="1">
      <alignment horizontal="right" vertical="center" wrapText="1" readingOrder="1"/>
    </xf>
    <xf numFmtId="0" fontId="27" fillId="7" borderId="41" xfId="0" applyFont="1" applyFill="1" applyBorder="1" applyAlignment="1">
      <alignment horizontal="center" vertical="center" wrapText="1" readingOrder="1"/>
    </xf>
    <xf numFmtId="0" fontId="27" fillId="7" borderId="51" xfId="0" applyFont="1" applyFill="1" applyBorder="1" applyAlignment="1">
      <alignment horizontal="center" vertical="center" wrapText="1" readingOrder="1"/>
    </xf>
    <xf numFmtId="0" fontId="16" fillId="7" borderId="41" xfId="0" applyFont="1" applyFill="1" applyBorder="1" applyAlignment="1">
      <alignment horizontal="center" vertical="center" wrapText="1" readingOrder="1"/>
    </xf>
    <xf numFmtId="0" fontId="16" fillId="7" borderId="104" xfId="0" applyFont="1" applyFill="1" applyBorder="1" applyAlignment="1">
      <alignment horizontal="center" vertical="center" wrapText="1" readingOrder="1"/>
    </xf>
    <xf numFmtId="0" fontId="11" fillId="8" borderId="33" xfId="0" applyFont="1" applyFill="1" applyBorder="1" applyAlignment="1">
      <alignment horizontal="center" vertical="center" wrapText="1" readingOrder="1"/>
    </xf>
    <xf numFmtId="0" fontId="11" fillId="8" borderId="37" xfId="0" applyFont="1" applyFill="1" applyBorder="1" applyAlignment="1">
      <alignment horizontal="center" vertical="center" wrapText="1" readingOrder="1"/>
    </xf>
    <xf numFmtId="0" fontId="11" fillId="8" borderId="44" xfId="0" applyFont="1" applyFill="1" applyBorder="1" applyAlignment="1">
      <alignment horizontal="center" vertical="center" wrapText="1" readingOrder="1"/>
    </xf>
    <xf numFmtId="0" fontId="16" fillId="0" borderId="41" xfId="0" applyFont="1" applyFill="1" applyBorder="1" applyAlignment="1">
      <alignment horizontal="right" vertical="center" wrapText="1" readingOrder="1"/>
    </xf>
    <xf numFmtId="0" fontId="16" fillId="0" borderId="51" xfId="0" applyFont="1" applyFill="1" applyBorder="1" applyAlignment="1">
      <alignment horizontal="right" vertical="center" wrapText="1" readingOrder="1"/>
    </xf>
    <xf numFmtId="0" fontId="27" fillId="8" borderId="41" xfId="0" applyFont="1" applyFill="1" applyBorder="1" applyAlignment="1">
      <alignment horizontal="center" vertical="center" wrapText="1" readingOrder="1"/>
    </xf>
    <xf numFmtId="0" fontId="27" fillId="8" borderId="51" xfId="0" applyFont="1" applyFill="1" applyBorder="1" applyAlignment="1">
      <alignment horizontal="center" vertical="center" wrapText="1" readingOrder="1"/>
    </xf>
    <xf numFmtId="0" fontId="16" fillId="0" borderId="41" xfId="0" applyFont="1" applyFill="1" applyBorder="1" applyAlignment="1">
      <alignment horizontal="center" vertical="center" wrapText="1" readingOrder="1"/>
    </xf>
    <xf numFmtId="0" fontId="16" fillId="0" borderId="104" xfId="0" applyFont="1" applyFill="1" applyBorder="1" applyAlignment="1">
      <alignment horizontal="center" vertical="center" wrapText="1" readingOrder="1"/>
    </xf>
    <xf numFmtId="0" fontId="7" fillId="0" borderId="31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166" xfId="0" applyFont="1" applyFill="1" applyBorder="1" applyAlignment="1">
      <alignment horizontal="center" vertical="center" wrapText="1"/>
    </xf>
    <xf numFmtId="0" fontId="34" fillId="10" borderId="0" xfId="0" applyFont="1" applyFill="1" applyAlignment="1">
      <alignment horizontal="center" vertical="center"/>
    </xf>
    <xf numFmtId="0" fontId="7" fillId="2" borderId="150" xfId="0" applyFont="1" applyFill="1" applyBorder="1" applyAlignment="1">
      <alignment horizontal="center" vertical="center"/>
    </xf>
    <xf numFmtId="0" fontId="7" fillId="2" borderId="122" xfId="0" applyFont="1" applyFill="1" applyBorder="1" applyAlignment="1">
      <alignment horizontal="center" vertical="center"/>
    </xf>
    <xf numFmtId="0" fontId="7" fillId="2" borderId="147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141" xfId="0" applyFont="1" applyFill="1" applyBorder="1" applyAlignment="1">
      <alignment horizontal="center" vertical="center"/>
    </xf>
    <xf numFmtId="0" fontId="7" fillId="2" borderId="143" xfId="0" applyFont="1" applyFill="1" applyBorder="1" applyAlignment="1">
      <alignment horizontal="center" vertical="center"/>
    </xf>
    <xf numFmtId="0" fontId="7" fillId="2" borderId="152" xfId="0" applyFont="1" applyFill="1" applyBorder="1" applyAlignment="1">
      <alignment horizontal="center" vertical="center"/>
    </xf>
    <xf numFmtId="0" fontId="7" fillId="2" borderId="146" xfId="0" applyFont="1" applyFill="1" applyBorder="1" applyAlignment="1">
      <alignment horizontal="center" vertical="center"/>
    </xf>
    <xf numFmtId="0" fontId="7" fillId="2" borderId="149" xfId="0" applyFont="1" applyFill="1" applyBorder="1" applyAlignment="1">
      <alignment horizontal="center" vertical="center"/>
    </xf>
    <xf numFmtId="0" fontId="7" fillId="2" borderId="154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84" fillId="3" borderId="192" xfId="0" applyFont="1" applyFill="1" applyBorder="1" applyAlignment="1">
      <alignment horizontal="center" vertical="center"/>
    </xf>
    <xf numFmtId="190" fontId="65" fillId="21" borderId="209" xfId="0" applyNumberFormat="1" applyFont="1" applyFill="1" applyBorder="1" applyAlignment="1">
      <alignment horizontal="center" vertical="center"/>
    </xf>
    <xf numFmtId="190" fontId="65" fillId="21" borderId="212" xfId="0" applyNumberFormat="1" applyFont="1" applyFill="1" applyBorder="1" applyAlignment="1">
      <alignment horizontal="center" vertical="center"/>
    </xf>
    <xf numFmtId="190" fontId="65" fillId="21" borderId="197" xfId="0" applyNumberFormat="1" applyFont="1" applyFill="1" applyBorder="1" applyAlignment="1">
      <alignment horizontal="center" vertical="center"/>
    </xf>
    <xf numFmtId="0" fontId="65" fillId="20" borderId="197" xfId="0" applyNumberFormat="1" applyFont="1" applyFill="1" applyBorder="1" applyAlignment="1">
      <alignment horizontal="center" vertical="center"/>
    </xf>
    <xf numFmtId="0" fontId="65" fillId="20" borderId="201" xfId="0" applyNumberFormat="1" applyFont="1" applyFill="1" applyBorder="1" applyAlignment="1">
      <alignment horizontal="center" vertical="center"/>
    </xf>
    <xf numFmtId="0" fontId="65" fillId="20" borderId="205" xfId="0" applyNumberFormat="1" applyFont="1" applyFill="1" applyBorder="1" applyAlignment="1">
      <alignment horizontal="center" vertical="center"/>
    </xf>
    <xf numFmtId="0" fontId="65" fillId="20" borderId="195" xfId="0" applyNumberFormat="1" applyFont="1" applyFill="1" applyBorder="1" applyAlignment="1">
      <alignment horizontal="center" vertical="center"/>
    </xf>
    <xf numFmtId="0" fontId="22" fillId="0" borderId="202" xfId="0" applyNumberFormat="1" applyFont="1" applyBorder="1" applyAlignment="1">
      <alignment horizontal="center" vertical="center"/>
    </xf>
    <xf numFmtId="0" fontId="22" fillId="0" borderId="203" xfId="0" applyNumberFormat="1" applyFont="1" applyBorder="1" applyAlignment="1">
      <alignment horizontal="center" vertical="center"/>
    </xf>
    <xf numFmtId="0" fontId="62" fillId="20" borderId="31" xfId="0" applyNumberFormat="1" applyFont="1" applyFill="1" applyBorder="1" applyAlignment="1">
      <alignment horizontal="center" vertical="center"/>
    </xf>
    <xf numFmtId="0" fontId="62" fillId="20" borderId="196" xfId="0" applyNumberFormat="1" applyFont="1" applyFill="1" applyBorder="1" applyAlignment="1">
      <alignment horizontal="center" vertical="center"/>
    </xf>
    <xf numFmtId="0" fontId="62" fillId="20" borderId="198" xfId="0" applyNumberFormat="1" applyFont="1" applyFill="1" applyBorder="1" applyAlignment="1">
      <alignment horizontal="center" vertical="center"/>
    </xf>
    <xf numFmtId="0" fontId="62" fillId="20" borderId="199" xfId="0" applyNumberFormat="1" applyFont="1" applyFill="1" applyBorder="1" applyAlignment="1">
      <alignment horizontal="center" vertical="center"/>
    </xf>
    <xf numFmtId="0" fontId="64" fillId="23" borderId="200" xfId="0" applyNumberFormat="1" applyFont="1" applyFill="1" applyBorder="1" applyAlignment="1">
      <alignment horizontal="center" vertical="center"/>
    </xf>
    <xf numFmtId="0" fontId="64" fillId="23" borderId="201" xfId="0" applyNumberFormat="1" applyFont="1" applyFill="1" applyBorder="1" applyAlignment="1">
      <alignment horizontal="center" vertical="center"/>
    </xf>
    <xf numFmtId="0" fontId="22" fillId="0" borderId="200" xfId="0" applyNumberFormat="1" applyFont="1" applyBorder="1" applyAlignment="1">
      <alignment horizontal="center" vertical="center"/>
    </xf>
    <xf numFmtId="0" fontId="22" fillId="0" borderId="201" xfId="0" applyNumberFormat="1" applyFont="1" applyBorder="1" applyAlignment="1">
      <alignment horizontal="center" vertical="center"/>
    </xf>
    <xf numFmtId="0" fontId="84" fillId="0" borderId="192" xfId="0" applyFont="1" applyBorder="1" applyAlignment="1">
      <alignment horizontal="center" vertical="center"/>
    </xf>
    <xf numFmtId="0" fontId="84" fillId="0" borderId="213" xfId="0" applyFont="1" applyBorder="1" applyAlignment="1">
      <alignment horizontal="center" vertical="center"/>
    </xf>
    <xf numFmtId="0" fontId="89" fillId="24" borderId="192" xfId="0" applyFont="1" applyFill="1" applyBorder="1" applyAlignment="1">
      <alignment horizontal="center" vertical="center"/>
    </xf>
    <xf numFmtId="0" fontId="89" fillId="24" borderId="213" xfId="0" applyFont="1" applyFill="1" applyBorder="1" applyAlignment="1">
      <alignment horizontal="center" vertical="center"/>
    </xf>
    <xf numFmtId="0" fontId="84" fillId="3" borderId="213" xfId="0" applyFont="1" applyFill="1" applyBorder="1" applyAlignment="1">
      <alignment horizontal="center" vertical="center"/>
    </xf>
    <xf numFmtId="0" fontId="55" fillId="16" borderId="193" xfId="0" applyFont="1" applyFill="1" applyBorder="1" applyAlignment="1">
      <alignment horizontal="center" vertical="center" wrapText="1"/>
    </xf>
    <xf numFmtId="0" fontId="80" fillId="16" borderId="193" xfId="0" applyFont="1" applyFill="1" applyBorder="1" applyAlignment="1">
      <alignment horizontal="center" vertical="center" wrapText="1"/>
    </xf>
    <xf numFmtId="0" fontId="57" fillId="3" borderId="194" xfId="0" applyFont="1" applyFill="1" applyBorder="1" applyAlignment="1">
      <alignment horizontal="center" vertical="center"/>
    </xf>
    <xf numFmtId="0" fontId="57" fillId="3" borderId="190" xfId="0" applyFont="1" applyFill="1" applyBorder="1" applyAlignment="1">
      <alignment horizontal="center" vertical="center"/>
    </xf>
    <xf numFmtId="0" fontId="22" fillId="0" borderId="192" xfId="0" applyFont="1" applyBorder="1" applyAlignment="1">
      <alignment horizontal="center" vertical="center"/>
    </xf>
    <xf numFmtId="0" fontId="22" fillId="0" borderId="188" xfId="0" applyFont="1" applyBorder="1" applyAlignment="1">
      <alignment horizontal="center" vertical="center"/>
    </xf>
    <xf numFmtId="0" fontId="52" fillId="0" borderId="193" xfId="0" applyFont="1" applyBorder="1" applyAlignment="1">
      <alignment horizontal="center" vertical="center"/>
    </xf>
    <xf numFmtId="0" fontId="57" fillId="3" borderId="192" xfId="0" applyFont="1" applyFill="1" applyBorder="1" applyAlignment="1">
      <alignment horizontal="center" vertical="center"/>
    </xf>
    <xf numFmtId="0" fontId="57" fillId="3" borderId="188" xfId="0" applyFont="1" applyFill="1" applyBorder="1" applyAlignment="1">
      <alignment horizontal="center" vertical="center"/>
    </xf>
    <xf numFmtId="3" fontId="43" fillId="4" borderId="184" xfId="0" applyNumberFormat="1" applyFont="1" applyFill="1" applyBorder="1" applyAlignment="1">
      <alignment horizontal="center" vertical="center"/>
    </xf>
    <xf numFmtId="3" fontId="43" fillId="4" borderId="181" xfId="0" applyNumberFormat="1" applyFont="1" applyFill="1" applyBorder="1" applyAlignment="1">
      <alignment horizontal="center" vertical="center"/>
    </xf>
    <xf numFmtId="0" fontId="46" fillId="13" borderId="187" xfId="0" applyFont="1" applyFill="1" applyBorder="1" applyAlignment="1">
      <alignment horizontal="center" vertical="center"/>
    </xf>
    <xf numFmtId="0" fontId="48" fillId="4" borderId="182" xfId="5" applyFont="1" applyFill="1" applyBorder="1" applyAlignment="1">
      <alignment horizontal="center" vertical="center"/>
    </xf>
    <xf numFmtId="0" fontId="48" fillId="4" borderId="183" xfId="5" applyFont="1" applyFill="1" applyBorder="1" applyAlignment="1">
      <alignment horizontal="center" vertical="center"/>
    </xf>
    <xf numFmtId="0" fontId="45" fillId="4" borderId="187" xfId="4" applyFont="1" applyFill="1" applyBorder="1" applyAlignment="1">
      <alignment horizontal="center" vertical="center" wrapText="1"/>
    </xf>
    <xf numFmtId="178" fontId="45" fillId="14" borderId="190" xfId="1" applyNumberFormat="1" applyFont="1" applyFill="1" applyBorder="1" applyAlignment="1">
      <alignment horizontal="center" vertical="center" wrapText="1"/>
    </xf>
    <xf numFmtId="178" fontId="45" fillId="14" borderId="191" xfId="1" applyNumberFormat="1" applyFont="1" applyFill="1" applyBorder="1" applyAlignment="1">
      <alignment horizontal="center" vertical="center" wrapText="1"/>
    </xf>
    <xf numFmtId="0" fontId="45" fillId="4" borderId="190" xfId="4" applyFont="1" applyFill="1" applyBorder="1" applyAlignment="1">
      <alignment horizontal="center" vertical="center" wrapText="1"/>
    </xf>
    <xf numFmtId="0" fontId="45" fillId="4" borderId="191" xfId="4" applyFont="1" applyFill="1" applyBorder="1" applyAlignment="1">
      <alignment horizontal="center" vertical="center" wrapText="1"/>
    </xf>
    <xf numFmtId="3" fontId="45" fillId="4" borderId="188" xfId="4" applyNumberFormat="1" applyFont="1" applyFill="1" applyBorder="1" applyAlignment="1">
      <alignment horizontal="center" vertical="center" wrapText="1"/>
    </xf>
    <xf numFmtId="3" fontId="45" fillId="4" borderId="187" xfId="4" applyNumberFormat="1" applyFont="1" applyFill="1" applyBorder="1" applyAlignment="1">
      <alignment horizontal="center" vertical="center" wrapText="1"/>
    </xf>
    <xf numFmtId="0" fontId="49" fillId="13" borderId="182" xfId="0" applyFont="1" applyFill="1" applyBorder="1" applyAlignment="1">
      <alignment horizontal="center" vertical="center"/>
    </xf>
    <xf numFmtId="0" fontId="49" fillId="13" borderId="183" xfId="0" applyFont="1" applyFill="1" applyBorder="1" applyAlignment="1">
      <alignment horizontal="center" vertical="center"/>
    </xf>
    <xf numFmtId="0" fontId="45" fillId="4" borderId="86" xfId="4" applyFont="1" applyFill="1" applyBorder="1" applyAlignment="1">
      <alignment horizontal="center" vertical="center" wrapText="1"/>
    </xf>
    <xf numFmtId="0" fontId="45" fillId="4" borderId="92" xfId="4" applyFont="1" applyFill="1" applyBorder="1" applyAlignment="1">
      <alignment horizontal="center" vertical="center" wrapText="1"/>
    </xf>
    <xf numFmtId="0" fontId="45" fillId="4" borderId="185" xfId="4" applyFont="1" applyFill="1" applyBorder="1" applyAlignment="1">
      <alignment horizontal="center" vertical="center" wrapText="1"/>
    </xf>
    <xf numFmtId="0" fontId="45" fillId="4" borderId="189" xfId="4" applyFont="1" applyFill="1" applyBorder="1" applyAlignment="1">
      <alignment horizontal="center" vertical="center" wrapText="1"/>
    </xf>
    <xf numFmtId="178" fontId="45" fillId="14" borderId="187" xfId="1" applyNumberFormat="1" applyFont="1" applyFill="1" applyBorder="1" applyAlignment="1">
      <alignment horizontal="center" vertical="center" wrapText="1"/>
    </xf>
    <xf numFmtId="0" fontId="46" fillId="13" borderId="181" xfId="0" applyFont="1" applyFill="1" applyBorder="1" applyAlignment="1">
      <alignment horizontal="center" vertical="center"/>
    </xf>
    <xf numFmtId="0" fontId="46" fillId="13" borderId="182" xfId="0" applyFont="1" applyFill="1" applyBorder="1" applyAlignment="1">
      <alignment horizontal="center" vertical="center"/>
    </xf>
    <xf numFmtId="0" fontId="48" fillId="4" borderId="181" xfId="5" applyFont="1" applyFill="1" applyBorder="1" applyAlignment="1">
      <alignment horizontal="center" vertical="center"/>
    </xf>
    <xf numFmtId="0" fontId="45" fillId="4" borderId="181" xfId="4" applyFont="1" applyFill="1" applyBorder="1" applyAlignment="1">
      <alignment horizontal="center" vertical="center" wrapText="1"/>
    </xf>
    <xf numFmtId="0" fontId="45" fillId="4" borderId="182" xfId="4" applyFont="1" applyFill="1" applyBorder="1" applyAlignment="1">
      <alignment horizontal="center" vertical="center" wrapText="1"/>
    </xf>
    <xf numFmtId="0" fontId="32" fillId="9" borderId="0" xfId="0" applyFont="1" applyFill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3" borderId="133" xfId="0" applyFont="1" applyFill="1" applyBorder="1" applyAlignment="1">
      <alignment horizontal="center" vertical="center"/>
    </xf>
    <xf numFmtId="0" fontId="8" fillId="3" borderId="146" xfId="0" applyFont="1" applyFill="1" applyBorder="1" applyAlignment="1">
      <alignment horizontal="center" vertical="center"/>
    </xf>
    <xf numFmtId="0" fontId="8" fillId="3" borderId="157" xfId="0" applyFont="1" applyFill="1" applyBorder="1" applyAlignment="1">
      <alignment horizontal="center" vertical="center"/>
    </xf>
    <xf numFmtId="0" fontId="8" fillId="3" borderId="133" xfId="0" applyFont="1" applyFill="1" applyBorder="1" applyAlignment="1">
      <alignment horizontal="center" vertical="center" wrapText="1"/>
    </xf>
    <xf numFmtId="0" fontId="8" fillId="3" borderId="149" xfId="0" applyFont="1" applyFill="1" applyBorder="1" applyAlignment="1">
      <alignment horizontal="center" vertical="center"/>
    </xf>
    <xf numFmtId="0" fontId="7" fillId="0" borderId="144" xfId="0" applyFont="1" applyFill="1" applyBorder="1" applyAlignment="1">
      <alignment horizontal="center" vertical="center" wrapText="1"/>
    </xf>
    <xf numFmtId="0" fontId="7" fillId="0" borderId="141" xfId="0" applyFont="1" applyFill="1" applyBorder="1" applyAlignment="1">
      <alignment horizontal="center" vertical="center" wrapText="1"/>
    </xf>
    <xf numFmtId="0" fontId="7" fillId="0" borderId="143" xfId="0" applyFont="1" applyFill="1" applyBorder="1" applyAlignment="1">
      <alignment horizontal="center" vertical="center" wrapText="1"/>
    </xf>
    <xf numFmtId="0" fontId="8" fillId="0" borderId="133" xfId="0" applyFont="1" applyFill="1" applyBorder="1" applyAlignment="1">
      <alignment horizontal="center" vertical="center"/>
    </xf>
    <xf numFmtId="0" fontId="8" fillId="0" borderId="146" xfId="0" applyFont="1" applyFill="1" applyBorder="1" applyAlignment="1">
      <alignment horizontal="center" vertical="center"/>
    </xf>
    <xf numFmtId="0" fontId="8" fillId="0" borderId="149" xfId="0" applyFont="1" applyFill="1" applyBorder="1" applyAlignment="1">
      <alignment horizontal="center" vertical="center"/>
    </xf>
    <xf numFmtId="0" fontId="7" fillId="2" borderId="151" xfId="0" applyFont="1" applyFill="1" applyBorder="1" applyAlignment="1">
      <alignment horizontal="center" vertical="center"/>
    </xf>
    <xf numFmtId="0" fontId="7" fillId="2" borderId="126" xfId="0" applyFont="1" applyFill="1" applyBorder="1" applyAlignment="1">
      <alignment horizontal="center" vertical="center"/>
    </xf>
    <xf numFmtId="0" fontId="7" fillId="2" borderId="132" xfId="0" applyFont="1" applyFill="1" applyBorder="1" applyAlignment="1">
      <alignment horizontal="center" vertical="center"/>
    </xf>
    <xf numFmtId="0" fontId="8" fillId="0" borderId="146" xfId="0" applyFont="1" applyBorder="1" applyAlignment="1">
      <alignment horizontal="center" vertical="center"/>
    </xf>
    <xf numFmtId="0" fontId="8" fillId="3" borderId="146" xfId="0" applyFont="1" applyFill="1" applyBorder="1" applyAlignment="1">
      <alignment horizontal="center" vertical="center" wrapText="1"/>
    </xf>
    <xf numFmtId="0" fontId="7" fillId="2" borderId="84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3" fillId="3" borderId="140" xfId="0" applyFont="1" applyFill="1" applyBorder="1" applyAlignment="1">
      <alignment horizontal="center" vertical="center" wrapText="1" readingOrder="1"/>
    </xf>
    <xf numFmtId="0" fontId="3" fillId="3" borderId="143" xfId="0" applyFont="1" applyFill="1" applyBorder="1" applyAlignment="1">
      <alignment horizontal="center" vertical="center" wrapText="1" readingOrder="1"/>
    </xf>
    <xf numFmtId="0" fontId="3" fillId="0" borderId="140" xfId="0" applyFont="1" applyBorder="1" applyAlignment="1">
      <alignment horizontal="center" vertical="center" wrapText="1" readingOrder="1"/>
    </xf>
    <xf numFmtId="0" fontId="3" fillId="0" borderId="142" xfId="0" applyFont="1" applyBorder="1" applyAlignment="1">
      <alignment horizontal="center" vertical="center" wrapText="1" readingOrder="1"/>
    </xf>
    <xf numFmtId="0" fontId="3" fillId="0" borderId="141" xfId="0" applyFont="1" applyBorder="1" applyAlignment="1">
      <alignment horizontal="center" vertical="center" wrapText="1" readingOrder="1"/>
    </xf>
    <xf numFmtId="0" fontId="3" fillId="3" borderId="140" xfId="0" applyFont="1" applyFill="1" applyBorder="1" applyAlignment="1">
      <alignment horizontal="center" vertical="center"/>
    </xf>
    <xf numFmtId="0" fontId="3" fillId="3" borderId="141" xfId="0" applyFont="1" applyFill="1" applyBorder="1" applyAlignment="1">
      <alignment horizontal="center" vertical="center"/>
    </xf>
    <xf numFmtId="0" fontId="3" fillId="3" borderId="142" xfId="0" applyFont="1" applyFill="1" applyBorder="1" applyAlignment="1">
      <alignment horizontal="center" vertical="center"/>
    </xf>
    <xf numFmtId="0" fontId="7" fillId="0" borderId="167" xfId="0" applyFont="1" applyFill="1" applyBorder="1" applyAlignment="1">
      <alignment horizontal="center" vertical="center" wrapText="1"/>
    </xf>
  </cellXfs>
  <cellStyles count="7">
    <cellStyle name="백분율" xfId="1" builtinId="5"/>
    <cellStyle name="보통" xfId="6" builtinId="28"/>
    <cellStyle name="쉼표 [0]" xfId="2" builtinId="6"/>
    <cellStyle name="표준" xfId="0" builtinId="0"/>
    <cellStyle name="표준 11" xfId="3" xr:uid="{00000000-0005-0000-0000-000004000000}"/>
    <cellStyle name="표준 2" xfId="4" xr:uid="{00000000-0005-0000-0000-000005000000}"/>
    <cellStyle name="표준 3" xfId="5" xr:uid="{00000000-0005-0000-0000-000006000000}"/>
  </cellStyles>
  <dxfs count="133"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U68"/>
  <sheetViews>
    <sheetView showGridLines="0" zoomScale="85" zoomScaleNormal="85" workbookViewId="0">
      <selection activeCell="K18" sqref="K18:V18"/>
    </sheetView>
  </sheetViews>
  <sheetFormatPr defaultRowHeight="17"/>
  <cols>
    <col min="2" max="2" width="12.5" customWidth="1"/>
    <col min="4" max="4" width="6.25" customWidth="1"/>
    <col min="5" max="5" width="10.5" customWidth="1"/>
    <col min="6" max="6" width="6.5" customWidth="1"/>
    <col min="7" max="7" width="10.5" customWidth="1"/>
    <col min="8" max="8" width="6.5" customWidth="1"/>
    <col min="9" max="9" width="10.5" customWidth="1"/>
    <col min="10" max="10" width="6.5" customWidth="1"/>
    <col min="11" max="11" width="10.5" customWidth="1"/>
    <col min="12" max="12" width="6.5" customWidth="1"/>
    <col min="13" max="13" width="10.5" customWidth="1"/>
    <col min="14" max="14" width="6.5" customWidth="1"/>
    <col min="15" max="15" width="10.5" style="204" customWidth="1"/>
    <col min="16" max="16" width="10.5" customWidth="1"/>
    <col min="17" max="17" width="6.5" customWidth="1"/>
    <col min="18" max="18" width="10.5" customWidth="1"/>
    <col min="19" max="19" width="6.5" customWidth="1"/>
    <col min="20" max="20" width="10.5" customWidth="1"/>
    <col min="21" max="21" width="6.5" customWidth="1"/>
  </cols>
  <sheetData>
    <row r="1" spans="2:21" ht="30">
      <c r="B1" s="857" t="s">
        <v>99</v>
      </c>
      <c r="C1" s="857"/>
      <c r="D1" s="857"/>
      <c r="E1" s="857"/>
      <c r="F1" s="857"/>
      <c r="G1" s="857"/>
      <c r="H1" s="857"/>
      <c r="I1" s="857"/>
      <c r="J1" s="857"/>
      <c r="K1" s="857"/>
      <c r="L1" s="857"/>
      <c r="M1" s="857"/>
      <c r="N1" s="857"/>
      <c r="O1" s="857"/>
      <c r="P1" s="857"/>
      <c r="Q1" s="857"/>
      <c r="R1" s="857"/>
      <c r="S1" s="857"/>
      <c r="T1" s="857"/>
      <c r="U1" s="857"/>
    </row>
    <row r="2" spans="2:21" ht="17.5" thickBot="1"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9"/>
      <c r="P2" s="8"/>
      <c r="Q2" s="8"/>
      <c r="R2" s="8"/>
      <c r="S2" s="8"/>
      <c r="T2" s="8"/>
      <c r="U2" s="8"/>
    </row>
    <row r="3" spans="2:21">
      <c r="B3" s="858" t="s">
        <v>100</v>
      </c>
      <c r="C3" s="858"/>
      <c r="D3" s="859"/>
      <c r="E3" s="864" t="s">
        <v>101</v>
      </c>
      <c r="F3" s="865"/>
      <c r="G3" s="865"/>
      <c r="H3" s="865"/>
      <c r="I3" s="865"/>
      <c r="J3" s="865"/>
      <c r="K3" s="865"/>
      <c r="L3" s="865"/>
      <c r="M3" s="866"/>
      <c r="N3" s="10"/>
      <c r="O3" s="11"/>
      <c r="P3" s="867" t="s">
        <v>102</v>
      </c>
      <c r="Q3" s="867"/>
      <c r="R3" s="867"/>
      <c r="S3" s="12"/>
      <c r="T3" s="12"/>
      <c r="U3" s="12"/>
    </row>
    <row r="4" spans="2:21" ht="17.5" thickBot="1">
      <c r="B4" s="860"/>
      <c r="C4" s="860"/>
      <c r="D4" s="861"/>
      <c r="E4" s="868" t="s">
        <v>103</v>
      </c>
      <c r="F4" s="13"/>
      <c r="G4" s="870" t="s">
        <v>104</v>
      </c>
      <c r="H4" s="870"/>
      <c r="I4" s="870"/>
      <c r="J4" s="13"/>
      <c r="K4" s="871" t="s">
        <v>105</v>
      </c>
      <c r="L4" s="13"/>
      <c r="M4" s="873" t="s">
        <v>106</v>
      </c>
      <c r="N4" s="14"/>
      <c r="O4" s="15"/>
      <c r="P4" s="874" t="s">
        <v>103</v>
      </c>
      <c r="Q4" s="16"/>
      <c r="R4" s="874" t="s">
        <v>107</v>
      </c>
      <c r="S4" s="17"/>
      <c r="T4" s="17"/>
      <c r="U4" s="16"/>
    </row>
    <row r="5" spans="2:21" ht="17.5" thickBot="1">
      <c r="B5" s="862"/>
      <c r="C5" s="862"/>
      <c r="D5" s="863"/>
      <c r="E5" s="869"/>
      <c r="F5" s="18"/>
      <c r="G5" s="19" t="s">
        <v>108</v>
      </c>
      <c r="H5" s="19"/>
      <c r="I5" s="19" t="s">
        <v>109</v>
      </c>
      <c r="J5" s="20"/>
      <c r="K5" s="872"/>
      <c r="L5" s="21"/>
      <c r="M5" s="872"/>
      <c r="N5" s="22"/>
      <c r="O5" s="23"/>
      <c r="P5" s="875"/>
      <c r="Q5" s="24"/>
      <c r="R5" s="876"/>
      <c r="S5" s="17"/>
      <c r="T5" s="17"/>
      <c r="U5" s="24"/>
    </row>
    <row r="6" spans="2:21" ht="18" thickBot="1">
      <c r="B6" s="877" t="s">
        <v>110</v>
      </c>
      <c r="C6" s="880" t="s">
        <v>111</v>
      </c>
      <c r="D6" s="881"/>
      <c r="E6" s="25">
        <f t="shared" ref="E6" si="0">SUM(E7:E12)</f>
        <v>68341.2</v>
      </c>
      <c r="F6" s="25"/>
      <c r="G6" s="25">
        <f>SUM(G7:G12)</f>
        <v>707817</v>
      </c>
      <c r="H6" s="25"/>
      <c r="I6" s="25">
        <f t="shared" ref="I6:M6" si="1">SUM(I7:I12)</f>
        <v>652058.5</v>
      </c>
      <c r="J6" s="25"/>
      <c r="K6" s="25">
        <f t="shared" si="1"/>
        <v>331849</v>
      </c>
      <c r="L6" s="25"/>
      <c r="M6" s="25">
        <f t="shared" si="1"/>
        <v>224055</v>
      </c>
      <c r="N6" s="25"/>
      <c r="O6" s="26"/>
      <c r="P6" s="25">
        <f t="shared" ref="P6:R6" si="2">SUM(P7:P12)</f>
        <v>40772.600000000006</v>
      </c>
      <c r="Q6" s="25"/>
      <c r="R6" s="25">
        <f t="shared" si="2"/>
        <v>107023</v>
      </c>
      <c r="S6" s="27"/>
      <c r="T6" s="27"/>
      <c r="U6" s="25"/>
    </row>
    <row r="7" spans="2:21">
      <c r="B7" s="878"/>
      <c r="C7" s="882" t="s">
        <v>112</v>
      </c>
      <c r="D7" s="883"/>
      <c r="E7" s="28">
        <v>21255.55</v>
      </c>
      <c r="F7" s="28"/>
      <c r="G7" s="28">
        <v>239227.5</v>
      </c>
      <c r="H7" s="28"/>
      <c r="I7" s="28">
        <v>214934.5</v>
      </c>
      <c r="J7" s="28"/>
      <c r="K7" s="28">
        <v>132013.5</v>
      </c>
      <c r="L7" s="28"/>
      <c r="M7" s="28">
        <v>47757.5</v>
      </c>
      <c r="N7" s="29"/>
      <c r="O7" s="884"/>
      <c r="P7" s="30">
        <v>21610</v>
      </c>
      <c r="Q7" s="31"/>
      <c r="R7" s="32">
        <v>45597</v>
      </c>
      <c r="S7" s="31"/>
      <c r="T7" s="31"/>
      <c r="U7" s="31"/>
    </row>
    <row r="8" spans="2:21">
      <c r="B8" s="878"/>
      <c r="C8" s="882" t="s">
        <v>113</v>
      </c>
      <c r="D8" s="883"/>
      <c r="E8" s="33">
        <v>5909</v>
      </c>
      <c r="F8" s="33"/>
      <c r="G8" s="33">
        <v>16806</v>
      </c>
      <c r="H8" s="33"/>
      <c r="I8" s="33">
        <v>13955</v>
      </c>
      <c r="J8" s="33"/>
      <c r="K8" s="33">
        <v>3005</v>
      </c>
      <c r="L8" s="33"/>
      <c r="M8" s="33">
        <v>3420.5</v>
      </c>
      <c r="N8" s="34"/>
      <c r="O8" s="885"/>
      <c r="P8" s="35">
        <v>12844.4</v>
      </c>
      <c r="Q8" s="31"/>
      <c r="R8" s="34">
        <v>13201</v>
      </c>
      <c r="S8" s="31"/>
      <c r="T8" s="31"/>
      <c r="U8" s="31"/>
    </row>
    <row r="9" spans="2:21">
      <c r="B9" s="878"/>
      <c r="C9" s="882" t="s">
        <v>114</v>
      </c>
      <c r="D9" s="883"/>
      <c r="E9" s="33">
        <v>36099.050000000003</v>
      </c>
      <c r="F9" s="33"/>
      <c r="G9" s="33">
        <v>334315.5</v>
      </c>
      <c r="H9" s="33"/>
      <c r="I9" s="33">
        <v>328903</v>
      </c>
      <c r="J9" s="33"/>
      <c r="K9" s="33">
        <v>149834.5</v>
      </c>
      <c r="L9" s="33"/>
      <c r="M9" s="33">
        <v>151944.5</v>
      </c>
      <c r="N9" s="34"/>
      <c r="O9" s="36"/>
      <c r="P9" s="37">
        <v>-3980.7999999999997</v>
      </c>
      <c r="Q9" s="38"/>
      <c r="R9" s="34">
        <v>36715</v>
      </c>
      <c r="S9" s="31"/>
      <c r="T9" s="31"/>
      <c r="U9" s="38"/>
    </row>
    <row r="10" spans="2:21">
      <c r="B10" s="878"/>
      <c r="C10" s="882" t="s">
        <v>115</v>
      </c>
      <c r="D10" s="883"/>
      <c r="E10" s="33">
        <v>2587.8999999999996</v>
      </c>
      <c r="F10" s="33"/>
      <c r="G10" s="33">
        <v>68439.5</v>
      </c>
      <c r="H10" s="33"/>
      <c r="I10" s="33">
        <v>64564.5</v>
      </c>
      <c r="J10" s="33"/>
      <c r="K10" s="33">
        <v>31210</v>
      </c>
      <c r="L10" s="33"/>
      <c r="M10" s="33">
        <v>14223.5</v>
      </c>
      <c r="N10" s="34"/>
      <c r="O10" s="36"/>
      <c r="P10" s="35">
        <v>10299</v>
      </c>
      <c r="Q10" s="31"/>
      <c r="R10" s="34">
        <v>11510</v>
      </c>
      <c r="S10" s="31"/>
      <c r="T10" s="31"/>
      <c r="U10" s="31"/>
    </row>
    <row r="11" spans="2:21">
      <c r="B11" s="878"/>
      <c r="C11" s="882" t="s">
        <v>116</v>
      </c>
      <c r="D11" s="39" t="s">
        <v>117</v>
      </c>
      <c r="E11" s="33">
        <v>824.15</v>
      </c>
      <c r="F11" s="33"/>
      <c r="G11" s="33">
        <v>30633</v>
      </c>
      <c r="H11" s="33"/>
      <c r="I11" s="33">
        <v>25171</v>
      </c>
      <c r="J11" s="33"/>
      <c r="K11" s="33">
        <v>14256</v>
      </c>
      <c r="L11" s="33"/>
      <c r="M11" s="33">
        <v>5482</v>
      </c>
      <c r="N11" s="34"/>
      <c r="O11" s="36"/>
      <c r="P11" s="35"/>
      <c r="Q11" s="31"/>
      <c r="R11" s="34"/>
      <c r="S11" s="31"/>
      <c r="T11" s="31"/>
      <c r="U11" s="31"/>
    </row>
    <row r="12" spans="2:21" ht="17.5" thickBot="1">
      <c r="B12" s="879"/>
      <c r="C12" s="886"/>
      <c r="D12" s="40" t="s">
        <v>118</v>
      </c>
      <c r="E12" s="41">
        <v>1665.55</v>
      </c>
      <c r="F12" s="41"/>
      <c r="G12" s="41">
        <v>18395.5</v>
      </c>
      <c r="H12" s="41"/>
      <c r="I12" s="41">
        <v>4530.5</v>
      </c>
      <c r="J12" s="41"/>
      <c r="K12" s="41">
        <v>1530</v>
      </c>
      <c r="L12" s="41"/>
      <c r="M12" s="41">
        <v>1227</v>
      </c>
      <c r="N12" s="42"/>
      <c r="O12" s="43"/>
      <c r="P12" s="44"/>
      <c r="Q12" s="45"/>
      <c r="R12" s="42"/>
      <c r="S12" s="31"/>
      <c r="T12" s="31"/>
      <c r="U12" s="45"/>
    </row>
    <row r="13" spans="2:21" ht="17.5">
      <c r="B13" s="887" t="s">
        <v>119</v>
      </c>
      <c r="C13" s="46" t="s">
        <v>111</v>
      </c>
      <c r="D13" s="47"/>
      <c r="E13" s="48">
        <f t="shared" ref="E13:R13" si="3">SUM(E14:E18)</f>
        <v>100000</v>
      </c>
      <c r="F13" s="48"/>
      <c r="G13" s="48">
        <f t="shared" si="3"/>
        <v>800000</v>
      </c>
      <c r="H13" s="48"/>
      <c r="I13" s="48">
        <f t="shared" si="3"/>
        <v>750000</v>
      </c>
      <c r="J13" s="48"/>
      <c r="K13" s="48">
        <f t="shared" si="3"/>
        <v>560000</v>
      </c>
      <c r="L13" s="48"/>
      <c r="M13" s="48">
        <f t="shared" si="3"/>
        <v>257000</v>
      </c>
      <c r="N13" s="49"/>
      <c r="O13" s="50"/>
      <c r="P13" s="51">
        <f t="shared" si="3"/>
        <v>56000</v>
      </c>
      <c r="Q13" s="52"/>
      <c r="R13" s="49">
        <f t="shared" si="3"/>
        <v>123000</v>
      </c>
      <c r="S13" s="53"/>
      <c r="T13" s="53"/>
      <c r="U13" s="52"/>
    </row>
    <row r="14" spans="2:21" ht="17.5">
      <c r="B14" s="888"/>
      <c r="C14" s="890" t="s">
        <v>112</v>
      </c>
      <c r="D14" s="891"/>
      <c r="E14" s="54">
        <v>29700</v>
      </c>
      <c r="F14" s="54"/>
      <c r="G14" s="54">
        <v>269800</v>
      </c>
      <c r="H14" s="54"/>
      <c r="I14" s="54">
        <v>247900</v>
      </c>
      <c r="J14" s="54"/>
      <c r="K14" s="54">
        <v>217300</v>
      </c>
      <c r="L14" s="54"/>
      <c r="M14" s="54">
        <v>55400</v>
      </c>
      <c r="N14" s="32"/>
      <c r="O14" s="892"/>
      <c r="P14" s="55">
        <v>25800</v>
      </c>
      <c r="Q14" s="56"/>
      <c r="R14" s="32">
        <v>49800</v>
      </c>
      <c r="S14" s="31"/>
      <c r="T14" s="31"/>
      <c r="U14" s="56"/>
    </row>
    <row r="15" spans="2:21" ht="17.5">
      <c r="B15" s="888"/>
      <c r="C15" s="890" t="s">
        <v>113</v>
      </c>
      <c r="D15" s="891"/>
      <c r="E15" s="33">
        <v>6800</v>
      </c>
      <c r="F15" s="33"/>
      <c r="G15" s="33">
        <v>19300</v>
      </c>
      <c r="H15" s="33"/>
      <c r="I15" s="33">
        <v>16000</v>
      </c>
      <c r="J15" s="33"/>
      <c r="K15" s="33">
        <v>6800</v>
      </c>
      <c r="L15" s="33"/>
      <c r="M15" s="33">
        <v>3900</v>
      </c>
      <c r="N15" s="34"/>
      <c r="O15" s="885"/>
      <c r="P15" s="35">
        <v>14800</v>
      </c>
      <c r="Q15" s="31"/>
      <c r="R15" s="34">
        <v>15200</v>
      </c>
      <c r="S15" s="31"/>
      <c r="T15" s="31"/>
      <c r="U15" s="31"/>
    </row>
    <row r="16" spans="2:21" ht="17.5">
      <c r="B16" s="888"/>
      <c r="C16" s="890" t="s">
        <v>120</v>
      </c>
      <c r="D16" s="891"/>
      <c r="E16" s="33">
        <v>49200</v>
      </c>
      <c r="F16" s="33"/>
      <c r="G16" s="33">
        <v>375200</v>
      </c>
      <c r="H16" s="33"/>
      <c r="I16" s="33">
        <v>375500</v>
      </c>
      <c r="J16" s="33"/>
      <c r="K16" s="33">
        <v>258000</v>
      </c>
      <c r="L16" s="33"/>
      <c r="M16" s="33">
        <v>170900</v>
      </c>
      <c r="N16" s="34"/>
      <c r="O16" s="36"/>
      <c r="P16" s="35">
        <v>4700</v>
      </c>
      <c r="Q16" s="31"/>
      <c r="R16" s="34">
        <v>46000</v>
      </c>
      <c r="S16" s="31"/>
      <c r="T16" s="31"/>
      <c r="U16" s="31"/>
    </row>
    <row r="17" spans="2:21" ht="17.5">
      <c r="B17" s="888"/>
      <c r="C17" s="890" t="s">
        <v>121</v>
      </c>
      <c r="D17" s="891"/>
      <c r="E17" s="33">
        <v>4900</v>
      </c>
      <c r="F17" s="33"/>
      <c r="G17" s="33">
        <v>75300</v>
      </c>
      <c r="H17" s="33"/>
      <c r="I17" s="33">
        <v>73500</v>
      </c>
      <c r="J17" s="33"/>
      <c r="K17" s="33">
        <v>51900</v>
      </c>
      <c r="L17" s="33"/>
      <c r="M17" s="33">
        <v>18100</v>
      </c>
      <c r="N17" s="34"/>
      <c r="O17" s="36"/>
      <c r="P17" s="35">
        <v>10700</v>
      </c>
      <c r="Q17" s="31"/>
      <c r="R17" s="34">
        <v>12000</v>
      </c>
      <c r="S17" s="31"/>
      <c r="T17" s="31"/>
      <c r="U17" s="31"/>
    </row>
    <row r="18" spans="2:21" ht="17.5">
      <c r="B18" s="888"/>
      <c r="C18" s="893" t="s">
        <v>116</v>
      </c>
      <c r="D18" s="57" t="s">
        <v>122</v>
      </c>
      <c r="E18" s="33">
        <v>9400</v>
      </c>
      <c r="F18" s="33"/>
      <c r="G18" s="33">
        <v>60400</v>
      </c>
      <c r="H18" s="33"/>
      <c r="I18" s="33">
        <v>37100</v>
      </c>
      <c r="J18" s="33"/>
      <c r="K18" s="33">
        <v>26000</v>
      </c>
      <c r="L18" s="33"/>
      <c r="M18" s="33">
        <v>8700</v>
      </c>
      <c r="N18" s="34"/>
      <c r="O18" s="36"/>
      <c r="P18" s="35"/>
      <c r="Q18" s="31"/>
      <c r="R18" s="34"/>
      <c r="S18" s="31"/>
      <c r="T18" s="31"/>
      <c r="U18" s="31"/>
    </row>
    <row r="19" spans="2:21" ht="18" thickBot="1">
      <c r="B19" s="889"/>
      <c r="C19" s="894"/>
      <c r="D19" s="58" t="s">
        <v>123</v>
      </c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59"/>
      <c r="P19" s="41"/>
      <c r="Q19" s="42"/>
      <c r="R19" s="42"/>
      <c r="S19" s="31"/>
      <c r="T19" s="31"/>
      <c r="U19" s="42"/>
    </row>
    <row r="20" spans="2:21" ht="17.5">
      <c r="B20" s="895" t="s">
        <v>124</v>
      </c>
      <c r="C20" s="60" t="s">
        <v>111</v>
      </c>
      <c r="D20" s="61"/>
      <c r="E20" s="62">
        <f t="shared" ref="E20:M25" si="4">E13/E6-1</f>
        <v>0.46324618239071014</v>
      </c>
      <c r="F20" s="62"/>
      <c r="G20" s="62">
        <f t="shared" si="4"/>
        <v>0.13023564000299515</v>
      </c>
      <c r="H20" s="62"/>
      <c r="I20" s="62">
        <f t="shared" si="4"/>
        <v>0.15020354768782251</v>
      </c>
      <c r="J20" s="62"/>
      <c r="K20" s="62">
        <f t="shared" si="4"/>
        <v>0.68751450207775222</v>
      </c>
      <c r="L20" s="62"/>
      <c r="M20" s="62">
        <f t="shared" si="4"/>
        <v>0.14703978933743955</v>
      </c>
      <c r="N20" s="62"/>
      <c r="O20" s="63"/>
      <c r="P20" s="64">
        <f t="shared" ref="P20:R22" si="5">P13/P6-1</f>
        <v>0.3734713999107242</v>
      </c>
      <c r="Q20" s="65"/>
      <c r="R20" s="62">
        <f t="shared" si="5"/>
        <v>0.14928566756678463</v>
      </c>
      <c r="S20" s="66"/>
      <c r="T20" s="66"/>
      <c r="U20" s="65"/>
    </row>
    <row r="21" spans="2:21" ht="17.5">
      <c r="B21" s="895"/>
      <c r="C21" s="67" t="s">
        <v>112</v>
      </c>
      <c r="D21" s="68"/>
      <c r="E21" s="69">
        <f t="shared" si="4"/>
        <v>0.39728212161059107</v>
      </c>
      <c r="F21" s="69"/>
      <c r="G21" s="69">
        <f t="shared" si="4"/>
        <v>0.1277967624959504</v>
      </c>
      <c r="H21" s="69"/>
      <c r="I21" s="69">
        <f t="shared" si="4"/>
        <v>0.15337463273695007</v>
      </c>
      <c r="J21" s="69"/>
      <c r="K21" s="69">
        <f t="shared" si="4"/>
        <v>0.64604377582595718</v>
      </c>
      <c r="L21" s="69"/>
      <c r="M21" s="69">
        <f t="shared" si="4"/>
        <v>0.16002722085536303</v>
      </c>
      <c r="N21" s="69"/>
      <c r="O21" s="70"/>
      <c r="P21" s="71">
        <f t="shared" si="5"/>
        <v>0.19389171679777872</v>
      </c>
      <c r="Q21" s="72"/>
      <c r="R21" s="69">
        <f t="shared" si="5"/>
        <v>9.2177116915586499E-2</v>
      </c>
      <c r="S21" s="73"/>
      <c r="T21" s="73"/>
      <c r="U21" s="72"/>
    </row>
    <row r="22" spans="2:21" ht="17.5">
      <c r="B22" s="895"/>
      <c r="C22" s="67" t="s">
        <v>113</v>
      </c>
      <c r="D22" s="68"/>
      <c r="E22" s="74">
        <f t="shared" si="4"/>
        <v>0.15078693518361819</v>
      </c>
      <c r="F22" s="74"/>
      <c r="G22" s="74">
        <f t="shared" si="4"/>
        <v>0.14839938117339035</v>
      </c>
      <c r="H22" s="74"/>
      <c r="I22" s="74">
        <f t="shared" si="4"/>
        <v>0.14654245790039422</v>
      </c>
      <c r="J22" s="74"/>
      <c r="K22" s="74">
        <f t="shared" si="4"/>
        <v>1.2628951747088188</v>
      </c>
      <c r="L22" s="74"/>
      <c r="M22" s="74">
        <f t="shared" si="4"/>
        <v>0.14018418359888907</v>
      </c>
      <c r="N22" s="74"/>
      <c r="O22" s="75"/>
      <c r="P22" s="76">
        <f t="shared" si="5"/>
        <v>0.15225312198312113</v>
      </c>
      <c r="Q22" s="77"/>
      <c r="R22" s="74">
        <f t="shared" si="5"/>
        <v>0.15142792212711154</v>
      </c>
      <c r="S22" s="73"/>
      <c r="T22" s="73"/>
      <c r="U22" s="77"/>
    </row>
    <row r="23" spans="2:21" ht="17.5">
      <c r="B23" s="895"/>
      <c r="C23" s="67" t="s">
        <v>120</v>
      </c>
      <c r="D23" s="68"/>
      <c r="E23" s="74">
        <f t="shared" si="4"/>
        <v>0.36291675265692569</v>
      </c>
      <c r="F23" s="74"/>
      <c r="G23" s="74">
        <f t="shared" si="4"/>
        <v>0.12229316319464689</v>
      </c>
      <c r="H23" s="74"/>
      <c r="I23" s="74">
        <f t="shared" si="4"/>
        <v>0.14167398898763461</v>
      </c>
      <c r="J23" s="74"/>
      <c r="K23" s="74">
        <f t="shared" si="4"/>
        <v>0.7218998294785246</v>
      </c>
      <c r="L23" s="74"/>
      <c r="M23" s="74">
        <f t="shared" si="4"/>
        <v>0.12475278802457468</v>
      </c>
      <c r="N23" s="74"/>
      <c r="O23" s="75"/>
      <c r="P23" s="76">
        <f>(-P16)/(-P16+P9)+1</f>
        <v>1.541424753478942</v>
      </c>
      <c r="Q23" s="77"/>
      <c r="R23" s="74">
        <f>R16/R9-1</f>
        <v>0.25289391256979443</v>
      </c>
      <c r="S23" s="73"/>
      <c r="T23" s="73"/>
      <c r="U23" s="77"/>
    </row>
    <row r="24" spans="2:21" ht="17.5">
      <c r="B24" s="895"/>
      <c r="C24" s="67" t="s">
        <v>121</v>
      </c>
      <c r="D24" s="68"/>
      <c r="E24" s="74">
        <f t="shared" si="4"/>
        <v>0.89342710305653261</v>
      </c>
      <c r="F24" s="74"/>
      <c r="G24" s="74">
        <f t="shared" si="4"/>
        <v>0.10024181941714949</v>
      </c>
      <c r="H24" s="74"/>
      <c r="I24" s="74">
        <f t="shared" si="4"/>
        <v>0.13839648723369646</v>
      </c>
      <c r="J24" s="74"/>
      <c r="K24" s="74">
        <f t="shared" si="4"/>
        <v>0.6629285485421339</v>
      </c>
      <c r="L24" s="74"/>
      <c r="M24" s="74">
        <f t="shared" si="4"/>
        <v>0.2725419200618695</v>
      </c>
      <c r="N24" s="74"/>
      <c r="O24" s="75"/>
      <c r="P24" s="76">
        <f>P17/P10-1</f>
        <v>3.8935819011554518E-2</v>
      </c>
      <c r="Q24" s="77"/>
      <c r="R24" s="74">
        <f>R17/R10-1</f>
        <v>4.2571676802780178E-2</v>
      </c>
      <c r="S24" s="73"/>
      <c r="T24" s="73"/>
      <c r="U24" s="77"/>
    </row>
    <row r="25" spans="2:21" ht="18" thickBot="1">
      <c r="B25" s="896"/>
      <c r="C25" s="78" t="s">
        <v>116</v>
      </c>
      <c r="D25" s="79"/>
      <c r="E25" s="80">
        <f t="shared" si="4"/>
        <v>10.405690711642299</v>
      </c>
      <c r="F25" s="80"/>
      <c r="G25" s="80">
        <f t="shared" si="4"/>
        <v>0.97172983383932365</v>
      </c>
      <c r="H25" s="80"/>
      <c r="I25" s="80">
        <f t="shared" si="4"/>
        <v>0.47391839815660886</v>
      </c>
      <c r="J25" s="80"/>
      <c r="K25" s="80">
        <f t="shared" si="4"/>
        <v>0.82379349046015715</v>
      </c>
      <c r="L25" s="80"/>
      <c r="M25" s="80">
        <f t="shared" si="4"/>
        <v>0.58701203940167823</v>
      </c>
      <c r="N25" s="80"/>
      <c r="O25" s="81"/>
      <c r="P25" s="82"/>
      <c r="Q25" s="83"/>
      <c r="R25" s="83"/>
      <c r="S25" s="84"/>
      <c r="T25" s="84"/>
      <c r="U25" s="83"/>
    </row>
    <row r="26" spans="2:21">
      <c r="B26" s="8" t="s">
        <v>125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9"/>
      <c r="P26" s="8"/>
      <c r="Q26" s="8"/>
      <c r="R26" s="8"/>
      <c r="S26" s="8"/>
      <c r="T26" s="8"/>
      <c r="U26" s="8"/>
    </row>
    <row r="27" spans="2:21" ht="17.5"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9"/>
      <c r="P27" s="8"/>
      <c r="Q27" s="8"/>
      <c r="R27" s="8"/>
      <c r="S27" s="8"/>
      <c r="T27" s="897" t="s">
        <v>126</v>
      </c>
      <c r="U27" s="897"/>
    </row>
    <row r="28" spans="2:21" ht="21">
      <c r="B28" s="85" t="s">
        <v>127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9"/>
      <c r="P28" s="8"/>
      <c r="Q28" s="8"/>
      <c r="R28" s="8"/>
      <c r="S28" s="8"/>
      <c r="T28" s="8"/>
      <c r="U28" s="8"/>
    </row>
    <row r="29" spans="2:21" ht="21">
      <c r="C29" s="8"/>
      <c r="D29" s="85" t="s">
        <v>128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9"/>
      <c r="P29" s="8"/>
      <c r="Q29" s="8"/>
      <c r="R29" s="8"/>
      <c r="S29" s="8"/>
      <c r="T29" s="8"/>
      <c r="U29" s="8"/>
    </row>
    <row r="30" spans="2:21" ht="21">
      <c r="B30" s="85" t="s">
        <v>129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9"/>
      <c r="P30" s="8"/>
      <c r="Q30" s="8"/>
      <c r="R30" s="8"/>
      <c r="S30" s="8"/>
      <c r="T30" s="8"/>
      <c r="U30" s="8"/>
    </row>
    <row r="31" spans="2:21" ht="17.5" thickBot="1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9"/>
      <c r="P31" s="8"/>
      <c r="Q31" s="8"/>
      <c r="R31" s="8"/>
      <c r="S31" s="8"/>
      <c r="T31" s="898" t="s">
        <v>130</v>
      </c>
      <c r="U31" s="898"/>
    </row>
    <row r="32" spans="2:21">
      <c r="B32" s="858" t="s">
        <v>100</v>
      </c>
      <c r="C32" s="858"/>
      <c r="D32" s="859"/>
      <c r="E32" s="864" t="s">
        <v>131</v>
      </c>
      <c r="F32" s="865"/>
      <c r="G32" s="865"/>
      <c r="H32" s="865"/>
      <c r="I32" s="865"/>
      <c r="J32" s="865"/>
      <c r="K32" s="865"/>
      <c r="L32" s="865"/>
      <c r="M32" s="865"/>
      <c r="N32" s="865"/>
      <c r="O32" s="866"/>
      <c r="P32" s="899" t="s">
        <v>132</v>
      </c>
      <c r="Q32" s="867"/>
      <c r="R32" s="867"/>
      <c r="S32" s="867"/>
      <c r="T32" s="867"/>
      <c r="U32" s="867"/>
    </row>
    <row r="33" spans="2:21" ht="17.5" thickBot="1">
      <c r="B33" s="860"/>
      <c r="C33" s="860"/>
      <c r="D33" s="861"/>
      <c r="E33" s="868" t="s">
        <v>133</v>
      </c>
      <c r="F33" s="13"/>
      <c r="G33" s="901" t="s">
        <v>104</v>
      </c>
      <c r="H33" s="871"/>
      <c r="I33" s="871"/>
      <c r="J33" s="902"/>
      <c r="K33" s="871" t="s">
        <v>134</v>
      </c>
      <c r="L33" s="13"/>
      <c r="M33" s="868" t="s">
        <v>135</v>
      </c>
      <c r="N33" s="86"/>
      <c r="O33" s="904" t="s">
        <v>136</v>
      </c>
      <c r="P33" s="876" t="s">
        <v>103</v>
      </c>
      <c r="Q33" s="24"/>
      <c r="R33" s="874" t="s">
        <v>107</v>
      </c>
      <c r="S33" s="24"/>
      <c r="T33" s="906" t="s">
        <v>137</v>
      </c>
      <c r="U33" s="24"/>
    </row>
    <row r="34" spans="2:21" ht="17.5" thickBot="1">
      <c r="B34" s="862"/>
      <c r="C34" s="862"/>
      <c r="D34" s="863"/>
      <c r="E34" s="900"/>
      <c r="F34" s="87" t="s">
        <v>138</v>
      </c>
      <c r="G34" s="88" t="s">
        <v>108</v>
      </c>
      <c r="H34" s="87" t="s">
        <v>138</v>
      </c>
      <c r="I34" s="89" t="s">
        <v>109</v>
      </c>
      <c r="J34" s="87" t="s">
        <v>138</v>
      </c>
      <c r="K34" s="903"/>
      <c r="L34" s="87" t="s">
        <v>138</v>
      </c>
      <c r="M34" s="903"/>
      <c r="N34" s="87" t="s">
        <v>138</v>
      </c>
      <c r="O34" s="905"/>
      <c r="P34" s="876"/>
      <c r="Q34" s="87" t="s">
        <v>138</v>
      </c>
      <c r="R34" s="876"/>
      <c r="S34" s="87" t="s">
        <v>138</v>
      </c>
      <c r="T34" s="907"/>
      <c r="U34" s="90" t="s">
        <v>138</v>
      </c>
    </row>
    <row r="35" spans="2:21">
      <c r="B35" s="859" t="s">
        <v>110</v>
      </c>
      <c r="C35" s="908" t="s">
        <v>111</v>
      </c>
      <c r="D35" s="859"/>
      <c r="E35" s="91">
        <f>SUM(E40:E42)</f>
        <v>68350</v>
      </c>
      <c r="F35" s="92">
        <f>SUM(F40:F42)</f>
        <v>1</v>
      </c>
      <c r="G35" s="93">
        <f t="shared" ref="G35:T35" si="6">SUM(G40:G42)</f>
        <v>707830</v>
      </c>
      <c r="H35" s="92">
        <f>SUM(H40:H42)</f>
        <v>1</v>
      </c>
      <c r="I35" s="94">
        <f t="shared" si="6"/>
        <v>652050</v>
      </c>
      <c r="J35" s="92">
        <f>SUM(J40:J42)</f>
        <v>1</v>
      </c>
      <c r="K35" s="91">
        <f t="shared" si="6"/>
        <v>331850</v>
      </c>
      <c r="L35" s="92">
        <f>SUM(L40:L42)</f>
        <v>0.99999999999999989</v>
      </c>
      <c r="M35" s="91">
        <f t="shared" si="6"/>
        <v>224050</v>
      </c>
      <c r="N35" s="92">
        <f>SUM(N40:N42)</f>
        <v>1</v>
      </c>
      <c r="O35" s="95">
        <v>47500</v>
      </c>
      <c r="P35" s="96">
        <f t="shared" si="6"/>
        <v>40770</v>
      </c>
      <c r="Q35" s="92">
        <f>SUM(Q40:Q42)</f>
        <v>1</v>
      </c>
      <c r="R35" s="91">
        <f t="shared" si="6"/>
        <v>107030</v>
      </c>
      <c r="S35" s="92">
        <f>SUM(S40:S42)</f>
        <v>1</v>
      </c>
      <c r="T35" s="91">
        <f t="shared" si="6"/>
        <v>44449.545454545456</v>
      </c>
      <c r="U35" s="92">
        <f>SUM(U40:U42)</f>
        <v>1</v>
      </c>
    </row>
    <row r="36" spans="2:21">
      <c r="B36" s="861"/>
      <c r="C36" s="882" t="s">
        <v>112</v>
      </c>
      <c r="D36" s="883"/>
      <c r="E36" s="97">
        <f>ROUND(E7,-1)</f>
        <v>21260</v>
      </c>
      <c r="F36" s="98">
        <f>E36/E35</f>
        <v>0.31104608632040964</v>
      </c>
      <c r="G36" s="99">
        <f>ROUND(G7,-1)</f>
        <v>239230</v>
      </c>
      <c r="H36" s="100">
        <f>G36/G35</f>
        <v>0.33797663280731249</v>
      </c>
      <c r="I36" s="101">
        <f>ROUND(I7,-1)</f>
        <v>214930</v>
      </c>
      <c r="J36" s="102">
        <f>I36/I35</f>
        <v>0.32962196150601947</v>
      </c>
      <c r="K36" s="97">
        <f>ROUND(K7,-1)</f>
        <v>132010</v>
      </c>
      <c r="L36" s="98">
        <f>K36/K35</f>
        <v>0.39780021093867712</v>
      </c>
      <c r="M36" s="97">
        <f>ROUND(M7,-1)</f>
        <v>47760</v>
      </c>
      <c r="N36" s="98">
        <f>M36/M35</f>
        <v>0.21316670386074538</v>
      </c>
      <c r="O36" s="103">
        <v>51400</v>
      </c>
      <c r="P36" s="104">
        <f>ROUND(P7,-1)</f>
        <v>21610</v>
      </c>
      <c r="Q36" s="98">
        <f>P36/P35</f>
        <v>0.53004660289428507</v>
      </c>
      <c r="R36" s="97">
        <f>ROUND(R7,-1)</f>
        <v>45600</v>
      </c>
      <c r="S36" s="98">
        <f>R36/R35</f>
        <v>0.4260487713725124</v>
      </c>
      <c r="T36" s="97">
        <v>20587.454545454544</v>
      </c>
      <c r="U36" s="105">
        <f>T36/T35</f>
        <v>0.46316456861201155</v>
      </c>
    </row>
    <row r="37" spans="2:21">
      <c r="B37" s="861"/>
      <c r="C37" s="882" t="s">
        <v>113</v>
      </c>
      <c r="D37" s="883"/>
      <c r="E37" s="34">
        <f>ROUND(E8,-1)</f>
        <v>5910</v>
      </c>
      <c r="F37" s="106">
        <f>E37/E35</f>
        <v>8.6466715435259689E-2</v>
      </c>
      <c r="G37" s="107">
        <f>ROUND(G8,-1)</f>
        <v>16810</v>
      </c>
      <c r="H37" s="108">
        <f>G37/G35</f>
        <v>2.3748640210219968E-2</v>
      </c>
      <c r="I37" s="109">
        <f>ROUND(I8,-1)</f>
        <v>13960</v>
      </c>
      <c r="J37" s="110">
        <f>I37/I35</f>
        <v>2.1409401119546048E-2</v>
      </c>
      <c r="K37" s="34">
        <f>ROUND(K8,-1)</f>
        <v>3010</v>
      </c>
      <c r="L37" s="106">
        <f>K37/K35</f>
        <v>9.0703631158656015E-3</v>
      </c>
      <c r="M37" s="34">
        <f>ROUND(M8,-1)</f>
        <v>3420</v>
      </c>
      <c r="N37" s="106">
        <f>M37/M35</f>
        <v>1.5264449899575988E-2</v>
      </c>
      <c r="O37" s="111">
        <v>36000</v>
      </c>
      <c r="P37" s="31">
        <f>ROUND(P8,-1)</f>
        <v>12840</v>
      </c>
      <c r="Q37" s="106">
        <f>P37/P35</f>
        <v>0.31493745401030171</v>
      </c>
      <c r="R37" s="34">
        <f>ROUND(R8,-1)</f>
        <v>13200</v>
      </c>
      <c r="S37" s="106">
        <f>R37/R35</f>
        <v>0.12332990750256938</v>
      </c>
      <c r="T37" s="34">
        <v>1153.6363636363635</v>
      </c>
      <c r="U37" s="112">
        <f>T37/T35</f>
        <v>2.5953839388888317E-2</v>
      </c>
    </row>
    <row r="38" spans="2:21">
      <c r="B38" s="861"/>
      <c r="C38" s="882" t="s">
        <v>114</v>
      </c>
      <c r="D38" s="883"/>
      <c r="E38" s="34">
        <f>ROUND(E9,-1)</f>
        <v>36100</v>
      </c>
      <c r="F38" s="106">
        <f>E38/E35</f>
        <v>0.52816386247256764</v>
      </c>
      <c r="G38" s="107">
        <f>ROUND(G9,-1)</f>
        <v>334320</v>
      </c>
      <c r="H38" s="108">
        <f>G38/G35</f>
        <v>0.47231679923145387</v>
      </c>
      <c r="I38" s="109">
        <f>ROUND(I9,-1)</f>
        <v>328900</v>
      </c>
      <c r="J38" s="110">
        <f>I38/I35</f>
        <v>0.50440917107583771</v>
      </c>
      <c r="K38" s="34">
        <f>ROUND(K9,-1)</f>
        <v>149830</v>
      </c>
      <c r="L38" s="106">
        <f>K38/K35</f>
        <v>0.45149917131233991</v>
      </c>
      <c r="M38" s="34">
        <f>ROUND(M9,-1)</f>
        <v>151940</v>
      </c>
      <c r="N38" s="106">
        <f>M38/M35</f>
        <v>0.67815219817005135</v>
      </c>
      <c r="O38" s="36">
        <v>51500</v>
      </c>
      <c r="P38" s="38">
        <f>ROUND(P9,-1)</f>
        <v>-3980</v>
      </c>
      <c r="Q38" s="106">
        <f>P38/P35</f>
        <v>-9.762079960755457E-2</v>
      </c>
      <c r="R38" s="34">
        <f>ROUND(R9,-1)</f>
        <v>36720</v>
      </c>
      <c r="S38" s="106">
        <f>R38/R35</f>
        <v>0.34308137905260205</v>
      </c>
      <c r="T38" s="34">
        <v>22605.636363636364</v>
      </c>
      <c r="U38" s="112">
        <f>T38/T35</f>
        <v>0.50856844839399118</v>
      </c>
    </row>
    <row r="39" spans="2:21">
      <c r="B39" s="861"/>
      <c r="C39" s="882" t="s">
        <v>115</v>
      </c>
      <c r="D39" s="883"/>
      <c r="E39" s="34">
        <f>ROUND(E10,-1)</f>
        <v>2590</v>
      </c>
      <c r="F39" s="106">
        <f>E39/E35</f>
        <v>3.7893196781272863E-2</v>
      </c>
      <c r="G39" s="107">
        <f>ROUND(G10,-1)</f>
        <v>68440</v>
      </c>
      <c r="H39" s="108">
        <f>G39/G35</f>
        <v>9.6689883164036566E-2</v>
      </c>
      <c r="I39" s="109">
        <f>ROUND(I10,-1)</f>
        <v>64560</v>
      </c>
      <c r="J39" s="110">
        <f>I39/I35</f>
        <v>9.9010812054290312E-2</v>
      </c>
      <c r="K39" s="34">
        <f>ROUND(K10,-1)</f>
        <v>31210</v>
      </c>
      <c r="L39" s="106">
        <f>K39/K35</f>
        <v>9.4048515895736026E-2</v>
      </c>
      <c r="M39" s="34">
        <f>ROUND(M10,-1)</f>
        <v>14220</v>
      </c>
      <c r="N39" s="106">
        <f>M39/M35</f>
        <v>6.3467975898236995E-2</v>
      </c>
      <c r="O39" s="36">
        <v>43300</v>
      </c>
      <c r="P39" s="31">
        <f>ROUND(P10,-1)</f>
        <v>10300</v>
      </c>
      <c r="Q39" s="106">
        <f>P39/P35</f>
        <v>0.25263674270296788</v>
      </c>
      <c r="R39" s="34">
        <f>ROUND(R10,-1)</f>
        <v>11510</v>
      </c>
      <c r="S39" s="106">
        <f>R39/R35</f>
        <v>0.10753994207231617</v>
      </c>
      <c r="T39" s="34">
        <v>102.81818181818181</v>
      </c>
      <c r="U39" s="112">
        <f>T39/T35</f>
        <v>2.3131436051089587E-3</v>
      </c>
    </row>
    <row r="40" spans="2:21">
      <c r="B40" s="861"/>
      <c r="C40" s="909" t="s">
        <v>139</v>
      </c>
      <c r="D40" s="910"/>
      <c r="E40" s="113">
        <f>SUM(E36:E39)</f>
        <v>65860</v>
      </c>
      <c r="F40" s="106">
        <f>E40/E35</f>
        <v>0.96356986100950992</v>
      </c>
      <c r="G40" s="114">
        <f t="shared" ref="G40:M40" si="7">SUM(G36:G39)</f>
        <v>658800</v>
      </c>
      <c r="H40" s="108">
        <f>G40/G35</f>
        <v>0.93073195541302289</v>
      </c>
      <c r="I40" s="115">
        <f t="shared" si="7"/>
        <v>622350</v>
      </c>
      <c r="J40" s="110">
        <f>I40/I35</f>
        <v>0.95445134575569357</v>
      </c>
      <c r="K40" s="113">
        <f t="shared" si="7"/>
        <v>316060</v>
      </c>
      <c r="L40" s="106">
        <f>K40/K35</f>
        <v>0.95241826126261864</v>
      </c>
      <c r="M40" s="113">
        <f t="shared" si="7"/>
        <v>217340</v>
      </c>
      <c r="N40" s="106">
        <f>M40/M35</f>
        <v>0.9700513278286097</v>
      </c>
      <c r="O40" s="116">
        <v>50200</v>
      </c>
      <c r="P40" s="117">
        <f t="shared" ref="P40" si="8">SUM(P36:P39)</f>
        <v>40770</v>
      </c>
      <c r="Q40" s="106">
        <f>P40/P35</f>
        <v>1</v>
      </c>
      <c r="R40" s="113">
        <f t="shared" ref="R40" si="9">SUM(R36:R39)</f>
        <v>107030</v>
      </c>
      <c r="S40" s="106">
        <f>R40/R35</f>
        <v>1</v>
      </c>
      <c r="T40" s="113">
        <f t="shared" ref="T40" si="10">SUM(T36:T39)</f>
        <v>44449.545454545456</v>
      </c>
      <c r="U40" s="112">
        <f>T40/T35</f>
        <v>1</v>
      </c>
    </row>
    <row r="41" spans="2:21">
      <c r="B41" s="861"/>
      <c r="C41" s="882" t="s">
        <v>116</v>
      </c>
      <c r="D41" s="39" t="s">
        <v>117</v>
      </c>
      <c r="E41" s="34">
        <f>ROUND(E11,-1)</f>
        <v>820</v>
      </c>
      <c r="F41" s="106">
        <f>E41/E35</f>
        <v>1.1997073884418435E-2</v>
      </c>
      <c r="G41" s="107">
        <f>ROUND(G11,-1)</f>
        <v>30630</v>
      </c>
      <c r="H41" s="108">
        <f>G41/G35</f>
        <v>4.3273102298574513E-2</v>
      </c>
      <c r="I41" s="109">
        <f>ROUND(I11,-1)</f>
        <v>25170</v>
      </c>
      <c r="J41" s="110">
        <f>I41/I35</f>
        <v>3.8601334253508167E-2</v>
      </c>
      <c r="K41" s="34">
        <f>ROUND(K11,-1)</f>
        <v>14260</v>
      </c>
      <c r="L41" s="106">
        <f>K41/K35</f>
        <v>4.2971221937622421E-2</v>
      </c>
      <c r="M41" s="34">
        <f>ROUND(M11,-1)</f>
        <v>5480</v>
      </c>
      <c r="N41" s="106">
        <f>M41/M35</f>
        <v>2.4458826154876143E-2</v>
      </c>
      <c r="O41" s="111">
        <v>34900</v>
      </c>
      <c r="P41" s="31"/>
      <c r="Q41" s="106">
        <f>P41/P35</f>
        <v>0</v>
      </c>
      <c r="R41" s="34"/>
      <c r="S41" s="106">
        <f>R41/R35</f>
        <v>0</v>
      </c>
      <c r="T41" s="34"/>
      <c r="U41" s="112">
        <f>T41/T35</f>
        <v>0</v>
      </c>
    </row>
    <row r="42" spans="2:21" ht="17.5" thickBot="1">
      <c r="B42" s="863"/>
      <c r="C42" s="886"/>
      <c r="D42" s="40" t="s">
        <v>118</v>
      </c>
      <c r="E42" s="42">
        <f>ROUND(E12,-1)</f>
        <v>1670</v>
      </c>
      <c r="F42" s="106">
        <f>E42/E35</f>
        <v>2.443306510607169E-2</v>
      </c>
      <c r="G42" s="107">
        <f>ROUND(G12,-1)</f>
        <v>18400</v>
      </c>
      <c r="H42" s="108">
        <f>G42/G35</f>
        <v>2.5994942288402583E-2</v>
      </c>
      <c r="I42" s="109">
        <f>ROUND(I12,-1)</f>
        <v>4530</v>
      </c>
      <c r="J42" s="110">
        <f>I42/I35</f>
        <v>6.947319990798252E-3</v>
      </c>
      <c r="K42" s="34">
        <f>ROUND(K12,-1)</f>
        <v>1530</v>
      </c>
      <c r="L42" s="106">
        <f>K42/K35</f>
        <v>4.6105167997589269E-3</v>
      </c>
      <c r="M42" s="34">
        <f>ROUND(M12,-1)</f>
        <v>1230</v>
      </c>
      <c r="N42" s="106">
        <f>M42/M35</f>
        <v>5.4898460165141707E-3</v>
      </c>
      <c r="O42" s="118">
        <v>21700</v>
      </c>
      <c r="P42" s="45"/>
      <c r="Q42" s="106">
        <f>P42/P35</f>
        <v>0</v>
      </c>
      <c r="R42" s="42"/>
      <c r="S42" s="106">
        <f>R42/R35</f>
        <v>0</v>
      </c>
      <c r="T42" s="42"/>
      <c r="U42" s="112">
        <f>T42/T35</f>
        <v>0</v>
      </c>
    </row>
    <row r="43" spans="2:21">
      <c r="B43" s="911" t="s">
        <v>140</v>
      </c>
      <c r="C43" s="119" t="s">
        <v>111</v>
      </c>
      <c r="D43" s="120"/>
      <c r="E43" s="49">
        <f t="shared" ref="E43:M43" si="11">SUM(E48:E50)</f>
        <v>90000</v>
      </c>
      <c r="F43" s="121">
        <f>SUM(F48:F50)</f>
        <v>1</v>
      </c>
      <c r="G43" s="122">
        <f t="shared" si="11"/>
        <v>800000</v>
      </c>
      <c r="H43" s="121">
        <f>SUM(H48:H50)</f>
        <v>1</v>
      </c>
      <c r="I43" s="123">
        <f t="shared" si="11"/>
        <v>750000</v>
      </c>
      <c r="J43" s="121">
        <f>SUM(J48:J50)</f>
        <v>1</v>
      </c>
      <c r="K43" s="49">
        <f t="shared" si="11"/>
        <v>560000</v>
      </c>
      <c r="L43" s="121">
        <f>SUM(L48:L50)</f>
        <v>1</v>
      </c>
      <c r="M43" s="49">
        <f t="shared" si="11"/>
        <v>257000</v>
      </c>
      <c r="N43" s="121">
        <f>SUM(N48:N50)</f>
        <v>1</v>
      </c>
      <c r="O43" s="50">
        <v>52000</v>
      </c>
      <c r="P43" s="52">
        <f t="shared" ref="P43:T43" si="12">SUM(P48:P50)</f>
        <v>53000</v>
      </c>
      <c r="Q43" s="121">
        <f>SUM(Q48:Q50)</f>
        <v>1</v>
      </c>
      <c r="R43" s="49">
        <f t="shared" si="12"/>
        <v>123000</v>
      </c>
      <c r="S43" s="121">
        <f>SUM(S48:S50)</f>
        <v>1</v>
      </c>
      <c r="T43" s="49">
        <f t="shared" si="12"/>
        <v>51000</v>
      </c>
      <c r="U43" s="121">
        <f>SUM(U48:U50)</f>
        <v>1</v>
      </c>
    </row>
    <row r="44" spans="2:21">
      <c r="B44" s="912"/>
      <c r="C44" s="914" t="s">
        <v>112</v>
      </c>
      <c r="D44" s="915"/>
      <c r="E44" s="124">
        <v>26700</v>
      </c>
      <c r="F44" s="125">
        <f>E44/E43</f>
        <v>0.29666666666666669</v>
      </c>
      <c r="G44" s="126">
        <v>269800</v>
      </c>
      <c r="H44" s="127">
        <f>G44/G43</f>
        <v>0.33724999999999999</v>
      </c>
      <c r="I44" s="128">
        <v>247900</v>
      </c>
      <c r="J44" s="129">
        <f>I44/I43</f>
        <v>0.33053333333333335</v>
      </c>
      <c r="K44" s="124">
        <v>215000</v>
      </c>
      <c r="L44" s="125">
        <f>K44/K43</f>
        <v>0.38392857142857145</v>
      </c>
      <c r="M44" s="124">
        <v>55400</v>
      </c>
      <c r="N44" s="125">
        <f>M44/M43</f>
        <v>0.21556420233463036</v>
      </c>
      <c r="O44" s="130">
        <v>57000</v>
      </c>
      <c r="P44" s="131">
        <v>24600</v>
      </c>
      <c r="Q44" s="125">
        <f>P44/P43</f>
        <v>0.46415094339622642</v>
      </c>
      <c r="R44" s="124">
        <v>49800</v>
      </c>
      <c r="S44" s="125">
        <f>R44/R43</f>
        <v>0.40487804878048783</v>
      </c>
      <c r="T44" s="124">
        <v>23500</v>
      </c>
      <c r="U44" s="132">
        <f>T44/T43</f>
        <v>0.46078431372549017</v>
      </c>
    </row>
    <row r="45" spans="2:21">
      <c r="B45" s="912"/>
      <c r="C45" s="914" t="s">
        <v>141</v>
      </c>
      <c r="D45" s="915"/>
      <c r="E45" s="133">
        <v>6500</v>
      </c>
      <c r="F45" s="134">
        <f>E45/E43</f>
        <v>7.2222222222222215E-2</v>
      </c>
      <c r="G45" s="135">
        <v>19300</v>
      </c>
      <c r="H45" s="136">
        <f>G45/G43</f>
        <v>2.4125000000000001E-2</v>
      </c>
      <c r="I45" s="137">
        <v>16000</v>
      </c>
      <c r="J45" s="138">
        <f>I45/I43</f>
        <v>2.1333333333333333E-2</v>
      </c>
      <c r="K45" s="133">
        <v>7000</v>
      </c>
      <c r="L45" s="134">
        <f>K45/K43</f>
        <v>1.2500000000000001E-2</v>
      </c>
      <c r="M45" s="133">
        <v>3900</v>
      </c>
      <c r="N45" s="134">
        <f>M45/M43</f>
        <v>1.5175097276264591E-2</v>
      </c>
      <c r="O45" s="139">
        <v>40000</v>
      </c>
      <c r="P45" s="140">
        <v>14800</v>
      </c>
      <c r="Q45" s="134">
        <f>P45/P43</f>
        <v>0.27924528301886792</v>
      </c>
      <c r="R45" s="133">
        <v>15200</v>
      </c>
      <c r="S45" s="134">
        <f>R45/R43</f>
        <v>0.12357723577235773</v>
      </c>
      <c r="T45" s="133">
        <f>1300-20</f>
        <v>1280</v>
      </c>
      <c r="U45" s="141">
        <f>T45/T43</f>
        <v>2.5098039215686273E-2</v>
      </c>
    </row>
    <row r="46" spans="2:21">
      <c r="B46" s="912"/>
      <c r="C46" s="914" t="s">
        <v>120</v>
      </c>
      <c r="D46" s="915"/>
      <c r="E46" s="133">
        <v>44500</v>
      </c>
      <c r="F46" s="134">
        <f>E46/E43</f>
        <v>0.49444444444444446</v>
      </c>
      <c r="G46" s="135">
        <v>375200</v>
      </c>
      <c r="H46" s="136">
        <f>G46/G43</f>
        <v>0.46899999999999997</v>
      </c>
      <c r="I46" s="137">
        <v>375500</v>
      </c>
      <c r="J46" s="138">
        <f>I46/I43</f>
        <v>0.5006666666666667</v>
      </c>
      <c r="K46" s="133">
        <v>260000</v>
      </c>
      <c r="L46" s="134">
        <f>K46/K43</f>
        <v>0.4642857142857143</v>
      </c>
      <c r="M46" s="133">
        <v>170900</v>
      </c>
      <c r="N46" s="134">
        <f>M46/M43</f>
        <v>0.66498054474708168</v>
      </c>
      <c r="O46" s="142">
        <v>57000</v>
      </c>
      <c r="P46" s="140">
        <v>2900</v>
      </c>
      <c r="Q46" s="134">
        <f>P46/P43</f>
        <v>5.4716981132075473E-2</v>
      </c>
      <c r="R46" s="133">
        <v>46000</v>
      </c>
      <c r="S46" s="134">
        <f>R46/R43</f>
        <v>0.37398373983739835</v>
      </c>
      <c r="T46" s="133">
        <v>26100</v>
      </c>
      <c r="U46" s="141">
        <f>T46/T43</f>
        <v>0.5117647058823529</v>
      </c>
    </row>
    <row r="47" spans="2:21">
      <c r="B47" s="912"/>
      <c r="C47" s="914" t="s">
        <v>121</v>
      </c>
      <c r="D47" s="915"/>
      <c r="E47" s="133">
        <v>3900</v>
      </c>
      <c r="F47" s="134">
        <f>E47/E43</f>
        <v>4.3333333333333335E-2</v>
      </c>
      <c r="G47" s="135">
        <v>75300</v>
      </c>
      <c r="H47" s="136">
        <f>G47/G43</f>
        <v>9.4125E-2</v>
      </c>
      <c r="I47" s="137">
        <v>73500</v>
      </c>
      <c r="J47" s="138">
        <f>I47/I43</f>
        <v>9.8000000000000004E-2</v>
      </c>
      <c r="K47" s="133">
        <v>52000</v>
      </c>
      <c r="L47" s="134">
        <f>K47/K43</f>
        <v>9.285714285714286E-2</v>
      </c>
      <c r="M47" s="133">
        <v>18100</v>
      </c>
      <c r="N47" s="134">
        <f>M47/M43</f>
        <v>7.0428015564202334E-2</v>
      </c>
      <c r="O47" s="142">
        <v>48000</v>
      </c>
      <c r="P47" s="140">
        <v>10700</v>
      </c>
      <c r="Q47" s="134">
        <f>P47/P43</f>
        <v>0.2018867924528302</v>
      </c>
      <c r="R47" s="133">
        <v>12000</v>
      </c>
      <c r="S47" s="134">
        <f>R47/R43</f>
        <v>9.7560975609756101E-2</v>
      </c>
      <c r="T47" s="133">
        <v>120</v>
      </c>
      <c r="U47" s="141">
        <f>T47/T43</f>
        <v>2.352941176470588E-3</v>
      </c>
    </row>
    <row r="48" spans="2:21">
      <c r="B48" s="912"/>
      <c r="C48" s="916" t="s">
        <v>139</v>
      </c>
      <c r="D48" s="917"/>
      <c r="E48" s="143">
        <f>SUM(E44:E47)</f>
        <v>81600</v>
      </c>
      <c r="F48" s="134">
        <f>E48/E43</f>
        <v>0.90666666666666662</v>
      </c>
      <c r="G48" s="144">
        <f t="shared" ref="G48" si="13">SUM(G44:G47)</f>
        <v>739600</v>
      </c>
      <c r="H48" s="136">
        <f>G48/G43</f>
        <v>0.92449999999999999</v>
      </c>
      <c r="I48" s="145">
        <f t="shared" ref="I48" si="14">SUM(I44:I47)</f>
        <v>712900</v>
      </c>
      <c r="J48" s="138">
        <f>I48/I43</f>
        <v>0.95053333333333334</v>
      </c>
      <c r="K48" s="143">
        <f t="shared" ref="K48" si="15">SUM(K44:K47)</f>
        <v>534000</v>
      </c>
      <c r="L48" s="134">
        <f>K48/K43</f>
        <v>0.95357142857142863</v>
      </c>
      <c r="M48" s="143">
        <f t="shared" ref="M48" si="16">SUM(M44:M47)</f>
        <v>248300</v>
      </c>
      <c r="N48" s="134">
        <f>M48/M43</f>
        <v>0.966147859922179</v>
      </c>
      <c r="O48" s="146">
        <v>55000</v>
      </c>
      <c r="P48" s="147">
        <f t="shared" ref="P48" si="17">SUM(P44:P47)</f>
        <v>53000</v>
      </c>
      <c r="Q48" s="134">
        <f>P48/P43</f>
        <v>1</v>
      </c>
      <c r="R48" s="143">
        <f t="shared" ref="R48" si="18">SUM(R44:R47)</f>
        <v>123000</v>
      </c>
      <c r="S48" s="134">
        <f>R48/R43</f>
        <v>1</v>
      </c>
      <c r="T48" s="143">
        <f t="shared" ref="T48" si="19">SUM(T44:T47)</f>
        <v>51000</v>
      </c>
      <c r="U48" s="141">
        <f>T48/T43</f>
        <v>1</v>
      </c>
    </row>
    <row r="49" spans="2:21">
      <c r="B49" s="912"/>
      <c r="C49" s="918" t="s">
        <v>116</v>
      </c>
      <c r="D49" s="148" t="s">
        <v>142</v>
      </c>
      <c r="E49" s="133">
        <v>2500</v>
      </c>
      <c r="F49" s="134">
        <f>E49/E43</f>
        <v>2.7777777777777776E-2</v>
      </c>
      <c r="G49" s="135">
        <v>37500</v>
      </c>
      <c r="H49" s="136">
        <f>G49/G43</f>
        <v>4.6875E-2</v>
      </c>
      <c r="I49" s="137">
        <v>32000</v>
      </c>
      <c r="J49" s="138">
        <f>I49/I43</f>
        <v>4.2666666666666665E-2</v>
      </c>
      <c r="K49" s="133">
        <v>23300</v>
      </c>
      <c r="L49" s="134">
        <f>K49/K43</f>
        <v>4.1607142857142856E-2</v>
      </c>
      <c r="M49" s="133">
        <v>7300</v>
      </c>
      <c r="N49" s="134">
        <f>M49/M43</f>
        <v>2.8404669260700389E-2</v>
      </c>
      <c r="O49" s="139">
        <v>38000</v>
      </c>
      <c r="P49" s="140"/>
      <c r="Q49" s="134">
        <f>P49/P43</f>
        <v>0</v>
      </c>
      <c r="R49" s="133"/>
      <c r="S49" s="134">
        <f>R49/R43</f>
        <v>0</v>
      </c>
      <c r="T49" s="133"/>
      <c r="U49" s="141">
        <f>T49/T43</f>
        <v>0</v>
      </c>
    </row>
    <row r="50" spans="2:21" ht="17.5" thickBot="1">
      <c r="B50" s="913"/>
      <c r="C50" s="919"/>
      <c r="D50" s="149" t="s">
        <v>143</v>
      </c>
      <c r="E50" s="150">
        <v>5900</v>
      </c>
      <c r="F50" s="151">
        <f>E50/E43</f>
        <v>6.5555555555555561E-2</v>
      </c>
      <c r="G50" s="152">
        <v>22900</v>
      </c>
      <c r="H50" s="153">
        <f>G50/G43</f>
        <v>2.8625000000000001E-2</v>
      </c>
      <c r="I50" s="154">
        <v>5100</v>
      </c>
      <c r="J50" s="155">
        <f>I50/I43</f>
        <v>6.7999999999999996E-3</v>
      </c>
      <c r="K50" s="150">
        <v>2700</v>
      </c>
      <c r="L50" s="151">
        <f>K50/K43</f>
        <v>4.8214285714285711E-3</v>
      </c>
      <c r="M50" s="150">
        <v>1400</v>
      </c>
      <c r="N50" s="151">
        <f>M50/M43</f>
        <v>5.4474708171206223E-3</v>
      </c>
      <c r="O50" s="156">
        <v>24000</v>
      </c>
      <c r="P50" s="157"/>
      <c r="Q50" s="151">
        <f>P50/P43</f>
        <v>0</v>
      </c>
      <c r="R50" s="150"/>
      <c r="S50" s="151">
        <f>R50/R43</f>
        <v>0</v>
      </c>
      <c r="T50" s="150"/>
      <c r="U50" s="151">
        <f>T50/T43</f>
        <v>0</v>
      </c>
    </row>
    <row r="51" spans="2:21">
      <c r="B51" s="920" t="s">
        <v>144</v>
      </c>
      <c r="C51" s="158" t="s">
        <v>145</v>
      </c>
      <c r="D51" s="159"/>
      <c r="E51" s="62">
        <f t="shared" ref="E51:E58" si="20">E43/E35-1</f>
        <v>0.31675201170446243</v>
      </c>
      <c r="F51" s="160" t="s">
        <v>146</v>
      </c>
      <c r="G51" s="161">
        <f t="shared" ref="G51:G58" si="21">G43/G35-1</f>
        <v>0.13021488210446019</v>
      </c>
      <c r="H51" s="162" t="s">
        <v>39</v>
      </c>
      <c r="I51" s="163">
        <f t="shared" ref="I51:I58" si="22">I43/I35-1</f>
        <v>0.15021854152288938</v>
      </c>
      <c r="J51" s="164" t="s">
        <v>39</v>
      </c>
      <c r="K51" s="62">
        <f t="shared" ref="K51:K58" si="23">K43/K35-1</f>
        <v>0.68750941690522827</v>
      </c>
      <c r="L51" s="160" t="s">
        <v>146</v>
      </c>
      <c r="M51" s="62">
        <f t="shared" ref="M51:M58" si="24">M43/M35-1</f>
        <v>0.14706538719035933</v>
      </c>
      <c r="N51" s="160" t="s">
        <v>146</v>
      </c>
      <c r="O51" s="165">
        <f>O43-O35</f>
        <v>4500</v>
      </c>
      <c r="P51" s="166">
        <f>P43/P35-1</f>
        <v>0.2999754721609027</v>
      </c>
      <c r="Q51" s="160" t="s">
        <v>146</v>
      </c>
      <c r="R51" s="62">
        <f t="shared" ref="R51:R56" si="25">R43/R35-1</f>
        <v>0.14921050172848727</v>
      </c>
      <c r="S51" s="160" t="s">
        <v>39</v>
      </c>
      <c r="T51" s="62">
        <f t="shared" ref="T51:T56" si="26">T43/T35-1</f>
        <v>0.14736831340948364</v>
      </c>
      <c r="U51" s="160" t="s">
        <v>39</v>
      </c>
    </row>
    <row r="52" spans="2:21">
      <c r="B52" s="921"/>
      <c r="C52" s="923" t="s">
        <v>112</v>
      </c>
      <c r="D52" s="924"/>
      <c r="E52" s="69">
        <f t="shared" si="20"/>
        <v>0.25587958607714012</v>
      </c>
      <c r="F52" s="167">
        <f>F44-F36</f>
        <v>-1.4379419653742953E-2</v>
      </c>
      <c r="G52" s="168">
        <f t="shared" si="21"/>
        <v>0.12778497680056855</v>
      </c>
      <c r="H52" s="169">
        <f>H44-H36</f>
        <v>-7.2663280731249946E-4</v>
      </c>
      <c r="I52" s="170">
        <f t="shared" si="22"/>
        <v>0.15339878099846471</v>
      </c>
      <c r="J52" s="171">
        <f>J44-J36</f>
        <v>9.1137182731387822E-4</v>
      </c>
      <c r="K52" s="69">
        <f t="shared" si="23"/>
        <v>0.62866449511400657</v>
      </c>
      <c r="L52" s="167">
        <f>L44-L36</f>
        <v>-1.3871639510105671E-2</v>
      </c>
      <c r="M52" s="69">
        <f t="shared" si="24"/>
        <v>0.15996649916247896</v>
      </c>
      <c r="N52" s="167">
        <f>N44-N36</f>
        <v>2.3974984738849847E-3</v>
      </c>
      <c r="O52" s="172">
        <f t="shared" ref="O52:O58" si="27">O44-O36</f>
        <v>5600</v>
      </c>
      <c r="P52" s="173">
        <f>P44/P36-1</f>
        <v>0.13836186950485896</v>
      </c>
      <c r="Q52" s="167">
        <f>Q44-Q36</f>
        <v>-6.5895659498058645E-2</v>
      </c>
      <c r="R52" s="69">
        <f t="shared" si="25"/>
        <v>9.210526315789469E-2</v>
      </c>
      <c r="S52" s="167">
        <f>S44-S36</f>
        <v>-2.1170722592024571E-2</v>
      </c>
      <c r="T52" s="69">
        <f t="shared" si="26"/>
        <v>0.1414718584133321</v>
      </c>
      <c r="U52" s="167">
        <f>U44-U36</f>
        <v>-2.3802548865213824E-3</v>
      </c>
    </row>
    <row r="53" spans="2:21">
      <c r="B53" s="921"/>
      <c r="C53" s="923" t="s">
        <v>147</v>
      </c>
      <c r="D53" s="924"/>
      <c r="E53" s="74">
        <f t="shared" si="20"/>
        <v>9.9830795262267236E-2</v>
      </c>
      <c r="F53" s="174">
        <f t="shared" ref="F53:H58" si="28">F45-F37</f>
        <v>-1.4244493213037474E-2</v>
      </c>
      <c r="G53" s="175">
        <f t="shared" si="21"/>
        <v>0.14812611540749554</v>
      </c>
      <c r="H53" s="176">
        <f t="shared" si="28"/>
        <v>3.7635978978003276E-4</v>
      </c>
      <c r="I53" s="177">
        <f t="shared" si="22"/>
        <v>0.14613180515759305</v>
      </c>
      <c r="J53" s="178">
        <f t="shared" ref="J53:L58" si="29">J45-J37</f>
        <v>-7.6067786212715566E-5</v>
      </c>
      <c r="K53" s="74">
        <f t="shared" si="23"/>
        <v>1.3255813953488373</v>
      </c>
      <c r="L53" s="174">
        <f t="shared" si="29"/>
        <v>3.4296368841343992E-3</v>
      </c>
      <c r="M53" s="74">
        <f t="shared" si="24"/>
        <v>0.14035087719298245</v>
      </c>
      <c r="N53" s="174">
        <f t="shared" ref="N53:N58" si="30">N45-N37</f>
        <v>-8.9352623311396429E-5</v>
      </c>
      <c r="O53" s="179">
        <f t="shared" si="27"/>
        <v>4000</v>
      </c>
      <c r="P53" s="180">
        <f>P45/P37-1</f>
        <v>0.15264797507788153</v>
      </c>
      <c r="Q53" s="174">
        <f t="shared" ref="Q53:Q58" si="31">Q45-Q37</f>
        <v>-3.5692170991433791E-2</v>
      </c>
      <c r="R53" s="74">
        <f t="shared" si="25"/>
        <v>0.1515151515151516</v>
      </c>
      <c r="S53" s="174">
        <f t="shared" ref="S53:S56" si="32">S45-S37</f>
        <v>2.4732826978834943E-4</v>
      </c>
      <c r="T53" s="74">
        <f t="shared" si="26"/>
        <v>0.10953506698187554</v>
      </c>
      <c r="U53" s="174">
        <f t="shared" ref="U53:U56" si="33">U45-U37</f>
        <v>-8.558001732020433E-4</v>
      </c>
    </row>
    <row r="54" spans="2:21">
      <c r="B54" s="921"/>
      <c r="C54" s="923" t="s">
        <v>120</v>
      </c>
      <c r="D54" s="924"/>
      <c r="E54" s="74">
        <f t="shared" si="20"/>
        <v>0.23268698060941828</v>
      </c>
      <c r="F54" s="174">
        <f t="shared" si="28"/>
        <v>-3.3719418028123171E-2</v>
      </c>
      <c r="G54" s="175">
        <f t="shared" si="21"/>
        <v>0.12227805695142369</v>
      </c>
      <c r="H54" s="176">
        <f t="shared" si="28"/>
        <v>-3.316799231453893E-3</v>
      </c>
      <c r="I54" s="177">
        <f t="shared" si="22"/>
        <v>0.14168440255396786</v>
      </c>
      <c r="J54" s="178">
        <f t="shared" si="29"/>
        <v>-3.7425044091710102E-3</v>
      </c>
      <c r="K54" s="74">
        <f t="shared" si="23"/>
        <v>0.73530000667423079</v>
      </c>
      <c r="L54" s="174">
        <f t="shared" si="29"/>
        <v>1.2786542973374393E-2</v>
      </c>
      <c r="M54" s="74">
        <f t="shared" si="24"/>
        <v>0.12478609977622757</v>
      </c>
      <c r="N54" s="174">
        <f t="shared" si="30"/>
        <v>-1.3171653422969665E-2</v>
      </c>
      <c r="O54" s="179">
        <f t="shared" si="27"/>
        <v>5500</v>
      </c>
      <c r="P54" s="180">
        <f>(-P46)/(-P46+P38)+1</f>
        <v>1.4215116279069768</v>
      </c>
      <c r="Q54" s="174">
        <f t="shared" si="31"/>
        <v>0.15233778073963006</v>
      </c>
      <c r="R54" s="74">
        <f t="shared" si="25"/>
        <v>0.25272331154684102</v>
      </c>
      <c r="S54" s="174">
        <f t="shared" si="32"/>
        <v>3.0902360784796301E-2</v>
      </c>
      <c r="T54" s="74">
        <f t="shared" si="26"/>
        <v>0.1545793084588718</v>
      </c>
      <c r="U54" s="174">
        <f t="shared" si="33"/>
        <v>3.1962574883617201E-3</v>
      </c>
    </row>
    <row r="55" spans="2:21">
      <c r="B55" s="921"/>
      <c r="C55" s="923" t="s">
        <v>121</v>
      </c>
      <c r="D55" s="924"/>
      <c r="E55" s="74">
        <f t="shared" si="20"/>
        <v>0.50579150579150589</v>
      </c>
      <c r="F55" s="174">
        <f t="shared" si="28"/>
        <v>5.4401365520604719E-3</v>
      </c>
      <c r="G55" s="175">
        <f t="shared" si="21"/>
        <v>0.10023378141437767</v>
      </c>
      <c r="H55" s="176">
        <f t="shared" si="28"/>
        <v>-2.564883164036566E-3</v>
      </c>
      <c r="I55" s="177">
        <f t="shared" si="22"/>
        <v>0.13847583643122685</v>
      </c>
      <c r="J55" s="178">
        <f t="shared" si="29"/>
        <v>-1.0108120542903082E-3</v>
      </c>
      <c r="K55" s="74">
        <f t="shared" si="23"/>
        <v>0.66613264979173348</v>
      </c>
      <c r="L55" s="174">
        <f t="shared" si="29"/>
        <v>-1.1913730385931659E-3</v>
      </c>
      <c r="M55" s="74">
        <f t="shared" si="24"/>
        <v>0.27285513361462721</v>
      </c>
      <c r="N55" s="174">
        <f t="shared" si="30"/>
        <v>6.9600396659653396E-3</v>
      </c>
      <c r="O55" s="179">
        <f t="shared" si="27"/>
        <v>4700</v>
      </c>
      <c r="P55" s="180">
        <f>P47/P39-1</f>
        <v>3.8834951456310662E-2</v>
      </c>
      <c r="Q55" s="174">
        <f t="shared" si="31"/>
        <v>-5.0749950250137676E-2</v>
      </c>
      <c r="R55" s="74">
        <f t="shared" si="25"/>
        <v>4.2571676802780178E-2</v>
      </c>
      <c r="S55" s="174">
        <f t="shared" si="32"/>
        <v>-9.9789664625600655E-3</v>
      </c>
      <c r="T55" s="74">
        <f t="shared" si="26"/>
        <v>0.16710875331564989</v>
      </c>
      <c r="U55" s="174">
        <f t="shared" si="33"/>
        <v>3.9797571361629286E-5</v>
      </c>
    </row>
    <row r="56" spans="2:21">
      <c r="B56" s="921"/>
      <c r="C56" s="925" t="s">
        <v>139</v>
      </c>
      <c r="D56" s="926"/>
      <c r="E56" s="181">
        <f t="shared" si="20"/>
        <v>0.23899180078955351</v>
      </c>
      <c r="F56" s="182">
        <f t="shared" si="28"/>
        <v>-5.69031943428433E-2</v>
      </c>
      <c r="G56" s="183">
        <f t="shared" si="21"/>
        <v>0.12264723740133565</v>
      </c>
      <c r="H56" s="184">
        <f t="shared" si="28"/>
        <v>-6.2319554130229049E-3</v>
      </c>
      <c r="I56" s="185">
        <f t="shared" si="22"/>
        <v>0.14549690688519323</v>
      </c>
      <c r="J56" s="186">
        <f t="shared" si="29"/>
        <v>-3.9180124223602286E-3</v>
      </c>
      <c r="K56" s="181">
        <f t="shared" si="23"/>
        <v>0.68955261659178646</v>
      </c>
      <c r="L56" s="182">
        <f t="shared" si="29"/>
        <v>1.1531673088099881E-3</v>
      </c>
      <c r="M56" s="181">
        <f t="shared" si="24"/>
        <v>0.142449618109874</v>
      </c>
      <c r="N56" s="182">
        <f t="shared" si="30"/>
        <v>-3.9034679064307021E-3</v>
      </c>
      <c r="O56" s="179">
        <f t="shared" si="27"/>
        <v>4800</v>
      </c>
      <c r="P56" s="187">
        <f>P48/P40-1</f>
        <v>0.2999754721609027</v>
      </c>
      <c r="Q56" s="182">
        <f t="shared" si="31"/>
        <v>0</v>
      </c>
      <c r="R56" s="181">
        <f t="shared" si="25"/>
        <v>0.14921050172848727</v>
      </c>
      <c r="S56" s="182">
        <f t="shared" si="32"/>
        <v>0</v>
      </c>
      <c r="T56" s="181">
        <f t="shared" si="26"/>
        <v>0.14736831340948364</v>
      </c>
      <c r="U56" s="188">
        <f t="shared" si="33"/>
        <v>0</v>
      </c>
    </row>
    <row r="57" spans="2:21">
      <c r="B57" s="921"/>
      <c r="C57" s="927" t="s">
        <v>116</v>
      </c>
      <c r="D57" s="189" t="s">
        <v>148</v>
      </c>
      <c r="E57" s="74">
        <f t="shared" si="20"/>
        <v>2.0487804878048781</v>
      </c>
      <c r="F57" s="174">
        <f t="shared" si="28"/>
        <v>1.5780703893359341E-2</v>
      </c>
      <c r="G57" s="175">
        <f>G49/G41-1</f>
        <v>0.22428991185112634</v>
      </c>
      <c r="H57" s="176">
        <f t="shared" si="28"/>
        <v>3.6018977014254869E-3</v>
      </c>
      <c r="I57" s="177">
        <f t="shared" si="22"/>
        <v>0.27135478744537145</v>
      </c>
      <c r="J57" s="178">
        <f t="shared" si="29"/>
        <v>4.0653324131584984E-3</v>
      </c>
      <c r="K57" s="74">
        <f t="shared" si="23"/>
        <v>0.63394109396914455</v>
      </c>
      <c r="L57" s="174">
        <f t="shared" si="29"/>
        <v>-1.3640790804795647E-3</v>
      </c>
      <c r="M57" s="74">
        <f t="shared" si="24"/>
        <v>0.33211678832116798</v>
      </c>
      <c r="N57" s="174">
        <f t="shared" si="30"/>
        <v>3.9458431058242462E-3</v>
      </c>
      <c r="O57" s="179">
        <f t="shared" si="27"/>
        <v>3100</v>
      </c>
      <c r="P57" s="180"/>
      <c r="Q57" s="174">
        <f t="shared" si="31"/>
        <v>0</v>
      </c>
      <c r="R57" s="74"/>
      <c r="S57" s="174"/>
      <c r="T57" s="190"/>
      <c r="U57" s="174"/>
    </row>
    <row r="58" spans="2:21" ht="17.5" thickBot="1">
      <c r="B58" s="922"/>
      <c r="C58" s="928"/>
      <c r="D58" s="191" t="s">
        <v>143</v>
      </c>
      <c r="E58" s="192">
        <f t="shared" si="20"/>
        <v>2.532934131736527</v>
      </c>
      <c r="F58" s="193">
        <f t="shared" si="28"/>
        <v>4.1122490449483871E-2</v>
      </c>
      <c r="G58" s="194">
        <f t="shared" si="21"/>
        <v>0.24456521739130443</v>
      </c>
      <c r="H58" s="195">
        <f t="shared" si="28"/>
        <v>2.630057711597418E-3</v>
      </c>
      <c r="I58" s="196">
        <f t="shared" si="22"/>
        <v>0.1258278145695364</v>
      </c>
      <c r="J58" s="197">
        <f t="shared" si="29"/>
        <v>-1.4731999079825239E-4</v>
      </c>
      <c r="K58" s="192">
        <f t="shared" si="23"/>
        <v>0.76470588235294112</v>
      </c>
      <c r="L58" s="193">
        <f t="shared" si="29"/>
        <v>2.1091177166964424E-4</v>
      </c>
      <c r="M58" s="192">
        <f t="shared" si="24"/>
        <v>0.13821138211382111</v>
      </c>
      <c r="N58" s="193">
        <f t="shared" si="30"/>
        <v>-4.2375199393548425E-5</v>
      </c>
      <c r="O58" s="198">
        <f t="shared" si="27"/>
        <v>2300</v>
      </c>
      <c r="P58" s="199"/>
      <c r="Q58" s="193">
        <f t="shared" si="31"/>
        <v>0</v>
      </c>
      <c r="R58" s="83"/>
      <c r="S58" s="193"/>
      <c r="T58" s="83"/>
      <c r="U58" s="200"/>
    </row>
    <row r="59" spans="2:21">
      <c r="B59" s="8" t="s">
        <v>149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9"/>
      <c r="P59" s="8"/>
      <c r="Q59" s="8"/>
      <c r="R59" s="8"/>
      <c r="S59" s="8"/>
      <c r="T59" s="8"/>
      <c r="U59" s="8"/>
    </row>
    <row r="60" spans="2:21">
      <c r="B60" s="8" t="s">
        <v>150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9"/>
      <c r="P60" s="8"/>
      <c r="Q60" s="8"/>
      <c r="R60" s="8"/>
      <c r="S60" s="8"/>
      <c r="T60" s="8"/>
      <c r="U60" s="8"/>
    </row>
    <row r="61" spans="2:21">
      <c r="B61" s="8" t="s">
        <v>151</v>
      </c>
      <c r="C61" s="8"/>
      <c r="D61" s="8"/>
      <c r="E61" s="8"/>
      <c r="F61" s="8"/>
      <c r="G61" s="8"/>
      <c r="H61" s="8"/>
      <c r="I61" s="8"/>
      <c r="J61" s="8"/>
      <c r="K61" s="201"/>
      <c r="L61" s="201"/>
      <c r="M61" s="8"/>
      <c r="N61" s="8"/>
      <c r="O61" s="9"/>
      <c r="P61" s="8"/>
      <c r="Q61" s="8"/>
      <c r="R61" s="8"/>
      <c r="S61" s="8"/>
      <c r="T61" s="8"/>
      <c r="U61" s="8"/>
    </row>
    <row r="62" spans="2:21">
      <c r="B62" s="8" t="s">
        <v>152</v>
      </c>
      <c r="C62" s="8"/>
      <c r="D62" s="8"/>
      <c r="E62" s="8"/>
      <c r="F62" s="8"/>
      <c r="G62" s="8"/>
      <c r="H62" s="8"/>
      <c r="I62" s="8"/>
      <c r="J62" s="8"/>
      <c r="K62" s="201"/>
      <c r="L62" s="201"/>
      <c r="M62" s="8"/>
      <c r="N62" s="8"/>
      <c r="O62" s="9"/>
      <c r="P62" s="8"/>
      <c r="Q62" s="8"/>
      <c r="R62" s="8"/>
      <c r="S62" s="8"/>
      <c r="T62" s="8"/>
      <c r="U62" s="8"/>
    </row>
    <row r="63" spans="2:21">
      <c r="B63" s="8" t="s">
        <v>153</v>
      </c>
      <c r="C63" s="8"/>
      <c r="D63" s="8"/>
      <c r="E63" s="8"/>
      <c r="F63" s="8"/>
      <c r="G63" s="8"/>
      <c r="H63" s="8"/>
      <c r="I63" s="8"/>
      <c r="J63" s="8"/>
      <c r="K63" s="201"/>
      <c r="L63" s="201"/>
      <c r="M63" s="8"/>
      <c r="N63" s="8"/>
      <c r="O63" s="9"/>
      <c r="P63" s="8"/>
      <c r="Q63" s="8"/>
      <c r="R63" s="8"/>
      <c r="S63" s="8"/>
      <c r="T63" s="8"/>
      <c r="U63" s="8"/>
    </row>
    <row r="64" spans="2:21">
      <c r="B64" s="3"/>
      <c r="C64" s="3"/>
      <c r="D64" s="3"/>
      <c r="E64" s="3"/>
      <c r="F64" s="3"/>
      <c r="G64" s="3"/>
      <c r="H64" s="3"/>
      <c r="I64" s="3"/>
      <c r="J64" s="3"/>
      <c r="K64" s="202"/>
      <c r="L64" s="202"/>
      <c r="M64" s="3"/>
      <c r="N64" s="3"/>
      <c r="O64" s="203"/>
      <c r="P64" s="3"/>
      <c r="Q64" s="3"/>
      <c r="R64" s="3"/>
      <c r="S64" s="3"/>
      <c r="T64" s="3"/>
      <c r="U64" s="3"/>
    </row>
    <row r="65" spans="2:21">
      <c r="B65" s="3"/>
      <c r="C65" s="3"/>
      <c r="D65" s="3"/>
      <c r="E65" s="3"/>
      <c r="F65" s="3"/>
      <c r="G65" s="3"/>
      <c r="H65" s="3"/>
      <c r="I65" s="3"/>
      <c r="J65" s="3"/>
      <c r="K65" s="202"/>
      <c r="L65" s="202"/>
      <c r="M65" s="3"/>
      <c r="N65" s="3"/>
      <c r="O65" s="203"/>
      <c r="P65" s="3"/>
      <c r="Q65" s="3"/>
      <c r="R65" s="3"/>
      <c r="S65" s="3"/>
      <c r="T65" s="3"/>
      <c r="U65" s="3"/>
    </row>
    <row r="66" spans="2:21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203"/>
      <c r="P66" s="3"/>
      <c r="Q66" s="3"/>
      <c r="R66" s="3"/>
      <c r="S66" s="3"/>
      <c r="T66" s="3"/>
      <c r="U66" s="3"/>
    </row>
    <row r="67" spans="2:21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203"/>
      <c r="P67" s="3"/>
      <c r="Q67" s="3"/>
      <c r="R67" s="3"/>
      <c r="S67" s="3"/>
      <c r="T67" s="3"/>
      <c r="U67" s="3"/>
    </row>
    <row r="68" spans="2:21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203"/>
      <c r="P68" s="3"/>
      <c r="Q68" s="3"/>
      <c r="R68" s="3"/>
      <c r="S68" s="3"/>
      <c r="T68" s="3"/>
      <c r="U68" s="3"/>
    </row>
  </sheetData>
  <mergeCells count="61">
    <mergeCell ref="B51:B58"/>
    <mergeCell ref="C52:D52"/>
    <mergeCell ref="C53:D53"/>
    <mergeCell ref="C54:D54"/>
    <mergeCell ref="C55:D55"/>
    <mergeCell ref="C56:D56"/>
    <mergeCell ref="C57:C58"/>
    <mergeCell ref="B43:B50"/>
    <mergeCell ref="C44:D44"/>
    <mergeCell ref="C45:D45"/>
    <mergeCell ref="C46:D46"/>
    <mergeCell ref="C47:D47"/>
    <mergeCell ref="C48:D48"/>
    <mergeCell ref="C49:C50"/>
    <mergeCell ref="B35:B42"/>
    <mergeCell ref="C35:D35"/>
    <mergeCell ref="C36:D36"/>
    <mergeCell ref="C37:D37"/>
    <mergeCell ref="C38:D38"/>
    <mergeCell ref="C39:D39"/>
    <mergeCell ref="C40:D40"/>
    <mergeCell ref="C41:C42"/>
    <mergeCell ref="B20:B25"/>
    <mergeCell ref="T27:U27"/>
    <mergeCell ref="T31:U31"/>
    <mergeCell ref="B32:D34"/>
    <mergeCell ref="E32:O32"/>
    <mergeCell ref="P32:U32"/>
    <mergeCell ref="E33:E34"/>
    <mergeCell ref="G33:J33"/>
    <mergeCell ref="K33:K34"/>
    <mergeCell ref="M33:M34"/>
    <mergeCell ref="O33:O34"/>
    <mergeCell ref="P33:P34"/>
    <mergeCell ref="R33:R34"/>
    <mergeCell ref="T33:T34"/>
    <mergeCell ref="B13:B19"/>
    <mergeCell ref="C14:D14"/>
    <mergeCell ref="O14:O15"/>
    <mergeCell ref="C15:D15"/>
    <mergeCell ref="C16:D16"/>
    <mergeCell ref="C17:D17"/>
    <mergeCell ref="C18:C19"/>
    <mergeCell ref="B6:B12"/>
    <mergeCell ref="C6:D6"/>
    <mergeCell ref="C7:D7"/>
    <mergeCell ref="O7:O8"/>
    <mergeCell ref="C8:D8"/>
    <mergeCell ref="C9:D9"/>
    <mergeCell ref="C10:D10"/>
    <mergeCell ref="C11:C12"/>
    <mergeCell ref="B1:U1"/>
    <mergeCell ref="B3:D5"/>
    <mergeCell ref="E3:M3"/>
    <mergeCell ref="P3:R3"/>
    <mergeCell ref="E4:E5"/>
    <mergeCell ref="G4:I4"/>
    <mergeCell ref="K4:K5"/>
    <mergeCell ref="M4:M5"/>
    <mergeCell ref="P4:P5"/>
    <mergeCell ref="R4:R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R55"/>
  <sheetViews>
    <sheetView showGridLines="0" topLeftCell="A22" zoomScale="70" zoomScaleNormal="70" workbookViewId="0">
      <selection activeCell="B4" sqref="A4:XFD9"/>
    </sheetView>
  </sheetViews>
  <sheetFormatPr defaultRowHeight="17"/>
  <cols>
    <col min="1" max="1" width="5.75" customWidth="1"/>
    <col min="2" max="2" width="29.5" customWidth="1"/>
    <col min="3" max="3" width="19.08203125" customWidth="1"/>
    <col min="4" max="18" width="11.25" customWidth="1"/>
  </cols>
  <sheetData>
    <row r="2" spans="2:18" ht="40.4" customHeight="1">
      <c r="B2" s="933" t="s">
        <v>308</v>
      </c>
      <c r="C2" s="933"/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</row>
    <row r="4" spans="2:18" ht="18.5">
      <c r="B4" s="623" t="s">
        <v>302</v>
      </c>
    </row>
    <row r="5" spans="2:18" ht="18.5">
      <c r="B5" s="623" t="s">
        <v>300</v>
      </c>
    </row>
    <row r="6" spans="2:18" ht="18.5">
      <c r="B6" s="623" t="s">
        <v>301</v>
      </c>
    </row>
    <row r="7" spans="2:18" ht="18.5">
      <c r="B7" s="623" t="s">
        <v>307</v>
      </c>
    </row>
    <row r="8" spans="2:18" ht="18.5" hidden="1">
      <c r="B8" s="623" t="s">
        <v>299</v>
      </c>
    </row>
    <row r="9" spans="2:18" ht="18.5">
      <c r="B9" s="623" t="s">
        <v>152</v>
      </c>
    </row>
    <row r="10" spans="2:18" ht="17.5" thickBot="1"/>
    <row r="11" spans="2:18" ht="19" thickBot="1">
      <c r="B11" s="940" t="s">
        <v>298</v>
      </c>
      <c r="C11" s="943" t="s">
        <v>275</v>
      </c>
      <c r="D11" s="946" t="s">
        <v>34</v>
      </c>
      <c r="E11" s="934" t="s">
        <v>70</v>
      </c>
      <c r="F11" s="937" t="s">
        <v>35</v>
      </c>
      <c r="G11" s="610" t="s">
        <v>31</v>
      </c>
      <c r="H11" s="244"/>
      <c r="I11" s="244"/>
      <c r="J11" s="244"/>
      <c r="K11" s="244"/>
      <c r="L11" s="244"/>
      <c r="M11" s="244"/>
      <c r="N11" s="244"/>
      <c r="O11" s="244"/>
      <c r="P11" s="244"/>
      <c r="Q11" s="244"/>
      <c r="R11" s="244"/>
    </row>
    <row r="12" spans="2:18" ht="19" thickTop="1">
      <c r="B12" s="941"/>
      <c r="C12" s="944"/>
      <c r="D12" s="947"/>
      <c r="E12" s="935"/>
      <c r="F12" s="938"/>
      <c r="G12" s="632" t="s">
        <v>19</v>
      </c>
      <c r="H12" s="633" t="s">
        <v>20</v>
      </c>
      <c r="I12" s="634" t="s">
        <v>21</v>
      </c>
      <c r="J12" s="634" t="s">
        <v>22</v>
      </c>
      <c r="K12" s="634" t="s">
        <v>23</v>
      </c>
      <c r="L12" s="634" t="s">
        <v>24</v>
      </c>
      <c r="M12" s="634" t="s">
        <v>25</v>
      </c>
      <c r="N12" s="634" t="s">
        <v>26</v>
      </c>
      <c r="O12" s="634" t="s">
        <v>27</v>
      </c>
      <c r="P12" s="634" t="s">
        <v>28</v>
      </c>
      <c r="Q12" s="634" t="s">
        <v>29</v>
      </c>
      <c r="R12" s="634" t="s">
        <v>30</v>
      </c>
    </row>
    <row r="13" spans="2:18" ht="18.5">
      <c r="B13" s="942"/>
      <c r="C13" s="945"/>
      <c r="D13" s="948"/>
      <c r="E13" s="936"/>
      <c r="F13" s="939"/>
      <c r="G13" s="635" t="s">
        <v>283</v>
      </c>
      <c r="H13" s="611" t="s">
        <v>282</v>
      </c>
      <c r="I13" s="636" t="s">
        <v>282</v>
      </c>
      <c r="J13" s="636" t="s">
        <v>282</v>
      </c>
      <c r="K13" s="636" t="s">
        <v>282</v>
      </c>
      <c r="L13" s="636" t="s">
        <v>282</v>
      </c>
      <c r="M13" s="636" t="s">
        <v>282</v>
      </c>
      <c r="N13" s="636" t="s">
        <v>282</v>
      </c>
      <c r="O13" s="636" t="s">
        <v>282</v>
      </c>
      <c r="P13" s="636" t="s">
        <v>282</v>
      </c>
      <c r="Q13" s="636" t="s">
        <v>282</v>
      </c>
      <c r="R13" s="636" t="s">
        <v>282</v>
      </c>
    </row>
    <row r="14" spans="2:18" ht="18.5">
      <c r="B14" s="929" t="s">
        <v>303</v>
      </c>
      <c r="C14" s="259" t="s">
        <v>293</v>
      </c>
      <c r="D14" s="262">
        <v>707817</v>
      </c>
      <c r="E14" s="263">
        <f t="shared" ref="E14:E54" si="0">(F14-D14)/D14</f>
        <v>0.13023564000299512</v>
      </c>
      <c r="F14" s="625">
        <f>SUM(F15:F20)</f>
        <v>800000</v>
      </c>
      <c r="G14" s="637">
        <f>SUM(G15:G20)</f>
        <v>70406.108026554022</v>
      </c>
      <c r="H14" s="629">
        <f t="shared" ref="H14:R14" si="1">SUM(H15:H20)</f>
        <v>62770.108026554015</v>
      </c>
      <c r="I14" s="266">
        <f t="shared" si="1"/>
        <v>68094.108026554022</v>
      </c>
      <c r="J14" s="266">
        <f t="shared" si="1"/>
        <v>62940.993361496679</v>
      </c>
      <c r="K14" s="266">
        <f t="shared" si="1"/>
        <v>69178.706698853348</v>
      </c>
      <c r="L14" s="266">
        <f t="shared" si="1"/>
        <v>66039.920036210009</v>
      </c>
      <c r="M14" s="266">
        <f t="shared" si="1"/>
        <v>62177.259303962986</v>
      </c>
      <c r="N14" s="266">
        <f t="shared" si="1"/>
        <v>69896.259303962986</v>
      </c>
      <c r="O14" s="266">
        <f t="shared" si="1"/>
        <v>62554.259303962986</v>
      </c>
      <c r="P14" s="266">
        <f t="shared" si="1"/>
        <v>70613.259303962986</v>
      </c>
      <c r="Q14" s="266">
        <f t="shared" si="1"/>
        <v>68937.759303962986</v>
      </c>
      <c r="R14" s="267">
        <f t="shared" si="1"/>
        <v>66391.259303962986</v>
      </c>
    </row>
    <row r="15" spans="2:18" ht="18.5">
      <c r="B15" s="930"/>
      <c r="C15" s="268" t="s">
        <v>112</v>
      </c>
      <c r="D15" s="271">
        <v>239227.5</v>
      </c>
      <c r="E15" s="272">
        <f t="shared" si="0"/>
        <v>0.12779676249595051</v>
      </c>
      <c r="F15" s="626">
        <v>269800</v>
      </c>
      <c r="G15" s="638">
        <v>23177</v>
      </c>
      <c r="H15" s="624">
        <v>19003</v>
      </c>
      <c r="I15" s="275">
        <v>23575</v>
      </c>
      <c r="J15" s="275">
        <v>22702</v>
      </c>
      <c r="K15" s="275">
        <v>22702</v>
      </c>
      <c r="L15" s="275">
        <v>22702</v>
      </c>
      <c r="M15" s="275">
        <v>22496</v>
      </c>
      <c r="N15" s="275">
        <v>21622</v>
      </c>
      <c r="O15" s="275">
        <v>23177</v>
      </c>
      <c r="P15" s="275">
        <v>23447</v>
      </c>
      <c r="Q15" s="275">
        <v>22702</v>
      </c>
      <c r="R15" s="276">
        <v>22495</v>
      </c>
    </row>
    <row r="16" spans="2:18" ht="18.5">
      <c r="B16" s="930"/>
      <c r="C16" s="268" t="s">
        <v>295</v>
      </c>
      <c r="D16" s="271">
        <v>16806</v>
      </c>
      <c r="E16" s="272">
        <f t="shared" si="0"/>
        <v>0.14839938117339047</v>
      </c>
      <c r="F16" s="626">
        <v>19300</v>
      </c>
      <c r="G16" s="638">
        <v>1153.1080265540133</v>
      </c>
      <c r="H16" s="624">
        <v>1153.1080265540133</v>
      </c>
      <c r="I16" s="275">
        <v>1153.1080265540133</v>
      </c>
      <c r="J16" s="275">
        <v>1222.9933614966808</v>
      </c>
      <c r="K16" s="275">
        <v>1397.7066988533495</v>
      </c>
      <c r="L16" s="275">
        <v>1572.4200362100182</v>
      </c>
      <c r="M16" s="275">
        <v>1941.2593039629853</v>
      </c>
      <c r="N16" s="275">
        <v>1941.2593039629853</v>
      </c>
      <c r="O16" s="275">
        <v>1941.2593039629853</v>
      </c>
      <c r="P16" s="275">
        <v>1941.2593039629853</v>
      </c>
      <c r="Q16" s="275">
        <v>1941.2593039629853</v>
      </c>
      <c r="R16" s="276">
        <v>1941.2593039629853</v>
      </c>
    </row>
    <row r="17" spans="2:18" ht="18.5">
      <c r="B17" s="930"/>
      <c r="C17" s="641" t="s">
        <v>120</v>
      </c>
      <c r="D17" s="642">
        <v>334315.5</v>
      </c>
      <c r="E17" s="643">
        <f t="shared" si="0"/>
        <v>0.12229316319464698</v>
      </c>
      <c r="F17" s="644">
        <v>375200</v>
      </c>
      <c r="G17" s="645">
        <v>33662</v>
      </c>
      <c r="H17" s="646">
        <v>32857</v>
      </c>
      <c r="I17" s="647">
        <v>32594</v>
      </c>
      <c r="J17" s="647">
        <v>28717</v>
      </c>
      <c r="K17" s="647">
        <v>34677</v>
      </c>
      <c r="L17" s="647">
        <v>31276</v>
      </c>
      <c r="M17" s="647">
        <v>26850</v>
      </c>
      <c r="N17" s="647">
        <v>35051</v>
      </c>
      <c r="O17" s="647">
        <v>26785</v>
      </c>
      <c r="P17" s="647">
        <v>29609</v>
      </c>
      <c r="Q17" s="647">
        <v>31561</v>
      </c>
      <c r="R17" s="648">
        <v>31561</v>
      </c>
    </row>
    <row r="18" spans="2:18" ht="18.5">
      <c r="B18" s="930"/>
      <c r="C18" s="277" t="s">
        <v>121</v>
      </c>
      <c r="D18" s="271">
        <v>68439.5</v>
      </c>
      <c r="E18" s="272">
        <f t="shared" si="0"/>
        <v>0.10024181941714945</v>
      </c>
      <c r="F18" s="626">
        <v>75300</v>
      </c>
      <c r="G18" s="638">
        <v>6207</v>
      </c>
      <c r="H18" s="624">
        <v>5199</v>
      </c>
      <c r="I18" s="275">
        <v>5382</v>
      </c>
      <c r="J18" s="275">
        <v>5559</v>
      </c>
      <c r="K18" s="275">
        <v>5664</v>
      </c>
      <c r="L18" s="275">
        <v>5974.5</v>
      </c>
      <c r="M18" s="275">
        <v>5559</v>
      </c>
      <c r="N18" s="275">
        <v>6594</v>
      </c>
      <c r="O18" s="275">
        <v>6024</v>
      </c>
      <c r="P18" s="275">
        <v>9462</v>
      </c>
      <c r="Q18" s="275">
        <v>7651.5</v>
      </c>
      <c r="R18" s="276">
        <v>6024</v>
      </c>
    </row>
    <row r="19" spans="2:18" ht="18.5">
      <c r="B19" s="930"/>
      <c r="C19" s="277" t="s">
        <v>117</v>
      </c>
      <c r="D19" s="271">
        <v>30633</v>
      </c>
      <c r="E19" s="272">
        <f t="shared" si="0"/>
        <v>0.22417001273136813</v>
      </c>
      <c r="F19" s="626">
        <v>37500</v>
      </c>
      <c r="G19" s="638">
        <v>4347</v>
      </c>
      <c r="H19" s="624">
        <v>2778</v>
      </c>
      <c r="I19" s="275">
        <v>3610</v>
      </c>
      <c r="J19" s="275">
        <v>2880</v>
      </c>
      <c r="K19" s="275">
        <v>2878</v>
      </c>
      <c r="L19" s="275">
        <v>2585</v>
      </c>
      <c r="M19" s="275">
        <v>3471</v>
      </c>
      <c r="N19" s="275">
        <v>2828</v>
      </c>
      <c r="O19" s="275">
        <v>2607</v>
      </c>
      <c r="P19" s="275">
        <v>3754</v>
      </c>
      <c r="Q19" s="275">
        <v>3082</v>
      </c>
      <c r="R19" s="276">
        <v>2680</v>
      </c>
    </row>
    <row r="20" spans="2:18" ht="18.5">
      <c r="B20" s="931"/>
      <c r="C20" s="279" t="s">
        <v>118</v>
      </c>
      <c r="D20" s="282">
        <v>18395.5</v>
      </c>
      <c r="E20" s="283">
        <f t="shared" si="0"/>
        <v>0.24486966921257916</v>
      </c>
      <c r="F20" s="627">
        <v>22900</v>
      </c>
      <c r="G20" s="639">
        <v>1860</v>
      </c>
      <c r="H20" s="630">
        <v>1780</v>
      </c>
      <c r="I20" s="286">
        <v>1780</v>
      </c>
      <c r="J20" s="286">
        <v>1860</v>
      </c>
      <c r="K20" s="286">
        <v>1860</v>
      </c>
      <c r="L20" s="286">
        <v>1930</v>
      </c>
      <c r="M20" s="286">
        <v>1860</v>
      </c>
      <c r="N20" s="286">
        <v>1860</v>
      </c>
      <c r="O20" s="286">
        <v>2020</v>
      </c>
      <c r="P20" s="286">
        <v>2400</v>
      </c>
      <c r="Q20" s="286">
        <v>2000</v>
      </c>
      <c r="R20" s="287">
        <v>1690</v>
      </c>
    </row>
    <row r="21" spans="2:18" ht="18.5">
      <c r="B21" s="929" t="s">
        <v>304</v>
      </c>
      <c r="C21" s="259" t="s">
        <v>154</v>
      </c>
      <c r="D21" s="262">
        <v>652050</v>
      </c>
      <c r="E21" s="263">
        <f t="shared" si="0"/>
        <v>0.14255041791273676</v>
      </c>
      <c r="F21" s="625">
        <f>SUM(F22:F27)</f>
        <v>745000</v>
      </c>
      <c r="G21" s="637">
        <f>SUM(G22:G27)</f>
        <v>65684.94447797224</v>
      </c>
      <c r="H21" s="629">
        <f t="shared" ref="H21" si="2">SUM(H22:H27)</f>
        <v>58723.94447797224</v>
      </c>
      <c r="I21" s="266">
        <f t="shared" ref="I21" si="3">SUM(I22:I27)</f>
        <v>63557.94447797224</v>
      </c>
      <c r="J21" s="266">
        <f t="shared" ref="J21" si="4">SUM(J22:J27)</f>
        <v>58540.880506940259</v>
      </c>
      <c r="K21" s="266">
        <f t="shared" ref="K21" si="5">SUM(K22:K27)</f>
        <v>64674.720579360292</v>
      </c>
      <c r="L21" s="266">
        <f t="shared" ref="L21" si="6">SUM(L22:L27)</f>
        <v>61521.060651780324</v>
      </c>
      <c r="M21" s="266">
        <f t="shared" ref="M21" si="7">SUM(M22:M27)</f>
        <v>57598.334138000399</v>
      </c>
      <c r="N21" s="266">
        <f t="shared" ref="N21" si="8">SUM(N22:N27)</f>
        <v>65343.334138000399</v>
      </c>
      <c r="O21" s="266">
        <f t="shared" ref="O21" si="9">SUM(O22:O27)</f>
        <v>57909.334138000399</v>
      </c>
      <c r="P21" s="266">
        <f t="shared" ref="P21" si="10">SUM(P22:P27)</f>
        <v>65316.334138000399</v>
      </c>
      <c r="Q21" s="266">
        <f t="shared" ref="Q21" si="11">SUM(Q22:Q27)</f>
        <v>64137.834138000399</v>
      </c>
      <c r="R21" s="267">
        <f t="shared" ref="R21" si="12">SUM(R22:R27)</f>
        <v>61991.334138000399</v>
      </c>
    </row>
    <row r="22" spans="2:18" ht="18.5">
      <c r="B22" s="930"/>
      <c r="C22" s="268" t="s">
        <v>155</v>
      </c>
      <c r="D22" s="271">
        <v>214930</v>
      </c>
      <c r="E22" s="272">
        <f t="shared" si="0"/>
        <v>0.15339878099846463</v>
      </c>
      <c r="F22" s="626">
        <v>247900</v>
      </c>
      <c r="G22" s="638">
        <v>21296</v>
      </c>
      <c r="H22" s="624">
        <v>17461</v>
      </c>
      <c r="I22" s="275">
        <v>21661</v>
      </c>
      <c r="J22" s="275">
        <v>20859</v>
      </c>
      <c r="K22" s="275">
        <v>20859</v>
      </c>
      <c r="L22" s="275">
        <v>20859</v>
      </c>
      <c r="M22" s="275">
        <v>20670</v>
      </c>
      <c r="N22" s="275">
        <v>19867</v>
      </c>
      <c r="O22" s="275">
        <v>21296</v>
      </c>
      <c r="P22" s="275">
        <v>21544</v>
      </c>
      <c r="Q22" s="275">
        <v>20858</v>
      </c>
      <c r="R22" s="276">
        <v>20670</v>
      </c>
    </row>
    <row r="23" spans="2:18" ht="18.5">
      <c r="B23" s="930"/>
      <c r="C23" s="268" t="s">
        <v>156</v>
      </c>
      <c r="D23" s="271">
        <v>13960</v>
      </c>
      <c r="E23" s="272">
        <f t="shared" si="0"/>
        <v>0.14613180515759314</v>
      </c>
      <c r="F23" s="626">
        <v>16000</v>
      </c>
      <c r="G23" s="638">
        <v>955.94447797223904</v>
      </c>
      <c r="H23" s="624">
        <v>955.94447797223904</v>
      </c>
      <c r="I23" s="275">
        <v>955.94447797223904</v>
      </c>
      <c r="J23" s="275">
        <v>1013.8805069402534</v>
      </c>
      <c r="K23" s="275">
        <v>1158.7205793602898</v>
      </c>
      <c r="L23" s="275">
        <v>1303.560651780326</v>
      </c>
      <c r="M23" s="275">
        <v>1609.3341380004022</v>
      </c>
      <c r="N23" s="275">
        <v>1609.3341380004022</v>
      </c>
      <c r="O23" s="275">
        <v>1609.3341380004022</v>
      </c>
      <c r="P23" s="275">
        <v>1609.3341380004022</v>
      </c>
      <c r="Q23" s="275">
        <v>1609.3341380004022</v>
      </c>
      <c r="R23" s="276">
        <v>1609.3341380004022</v>
      </c>
    </row>
    <row r="24" spans="2:18" ht="18.5">
      <c r="B24" s="930"/>
      <c r="C24" s="641" t="s">
        <v>114</v>
      </c>
      <c r="D24" s="642">
        <v>328900</v>
      </c>
      <c r="E24" s="643">
        <f t="shared" si="0"/>
        <v>0.12648221343873517</v>
      </c>
      <c r="F24" s="644">
        <v>370500</v>
      </c>
      <c r="G24" s="645">
        <v>33240</v>
      </c>
      <c r="H24" s="646">
        <v>32445</v>
      </c>
      <c r="I24" s="647">
        <v>32186</v>
      </c>
      <c r="J24" s="647">
        <v>28357</v>
      </c>
      <c r="K24" s="647">
        <v>34243</v>
      </c>
      <c r="L24" s="647">
        <v>30884</v>
      </c>
      <c r="M24" s="647">
        <v>26514</v>
      </c>
      <c r="N24" s="647">
        <v>34612</v>
      </c>
      <c r="O24" s="647">
        <v>26449</v>
      </c>
      <c r="P24" s="647">
        <v>29238</v>
      </c>
      <c r="Q24" s="647">
        <v>31166</v>
      </c>
      <c r="R24" s="648">
        <v>31166</v>
      </c>
    </row>
    <row r="25" spans="2:18" ht="18.5">
      <c r="B25" s="930"/>
      <c r="C25" s="277" t="s">
        <v>115</v>
      </c>
      <c r="D25" s="271">
        <v>64560</v>
      </c>
      <c r="E25" s="272">
        <f t="shared" si="0"/>
        <v>0.13847583643122677</v>
      </c>
      <c r="F25" s="626">
        <v>73500</v>
      </c>
      <c r="G25" s="638">
        <v>6063</v>
      </c>
      <c r="H25" s="624">
        <v>5091</v>
      </c>
      <c r="I25" s="275">
        <v>5274</v>
      </c>
      <c r="J25" s="275">
        <v>5433</v>
      </c>
      <c r="K25" s="275">
        <v>5538</v>
      </c>
      <c r="L25" s="275">
        <v>5839.5</v>
      </c>
      <c r="M25" s="275">
        <v>5433</v>
      </c>
      <c r="N25" s="275">
        <v>6432</v>
      </c>
      <c r="O25" s="275">
        <v>5880</v>
      </c>
      <c r="P25" s="275">
        <v>9192</v>
      </c>
      <c r="Q25" s="275">
        <v>7444.5</v>
      </c>
      <c r="R25" s="276">
        <v>5880</v>
      </c>
    </row>
    <row r="26" spans="2:18" ht="18.5">
      <c r="B26" s="930"/>
      <c r="C26" s="277" t="s">
        <v>122</v>
      </c>
      <c r="D26" s="271">
        <v>25170</v>
      </c>
      <c r="E26" s="272">
        <f t="shared" si="0"/>
        <v>0.27135478744537145</v>
      </c>
      <c r="F26" s="626">
        <v>32000</v>
      </c>
      <c r="G26" s="638">
        <v>3710</v>
      </c>
      <c r="H26" s="624">
        <v>2371</v>
      </c>
      <c r="I26" s="275">
        <v>3081</v>
      </c>
      <c r="J26" s="275">
        <v>2458</v>
      </c>
      <c r="K26" s="275">
        <v>2456</v>
      </c>
      <c r="L26" s="275">
        <v>2205</v>
      </c>
      <c r="M26" s="275">
        <v>2962</v>
      </c>
      <c r="N26" s="275">
        <v>2413</v>
      </c>
      <c r="O26" s="275">
        <v>2225</v>
      </c>
      <c r="P26" s="275">
        <v>3203</v>
      </c>
      <c r="Q26" s="275">
        <v>2630</v>
      </c>
      <c r="R26" s="276">
        <v>2286</v>
      </c>
    </row>
    <row r="27" spans="2:18" ht="18.5">
      <c r="B27" s="931"/>
      <c r="C27" s="279" t="s">
        <v>123</v>
      </c>
      <c r="D27" s="282">
        <v>4530</v>
      </c>
      <c r="E27" s="283">
        <f t="shared" si="0"/>
        <v>0.12582781456953643</v>
      </c>
      <c r="F27" s="627">
        <v>5100</v>
      </c>
      <c r="G27" s="639">
        <v>420</v>
      </c>
      <c r="H27" s="630">
        <v>400</v>
      </c>
      <c r="I27" s="286">
        <v>400</v>
      </c>
      <c r="J27" s="286">
        <v>420</v>
      </c>
      <c r="K27" s="286">
        <v>420</v>
      </c>
      <c r="L27" s="286">
        <v>430</v>
      </c>
      <c r="M27" s="286">
        <v>410</v>
      </c>
      <c r="N27" s="286">
        <v>410</v>
      </c>
      <c r="O27" s="286">
        <v>450</v>
      </c>
      <c r="P27" s="286">
        <v>530</v>
      </c>
      <c r="Q27" s="286">
        <v>430</v>
      </c>
      <c r="R27" s="287">
        <v>380</v>
      </c>
    </row>
    <row r="28" spans="2:18" ht="18.5">
      <c r="B28" s="929" t="s">
        <v>305</v>
      </c>
      <c r="C28" s="259" t="s">
        <v>154</v>
      </c>
      <c r="D28" s="262">
        <v>331850</v>
      </c>
      <c r="E28" s="263">
        <f t="shared" si="0"/>
        <v>0.68750941690522827</v>
      </c>
      <c r="F28" s="625">
        <f>SUM(F29:F34)</f>
        <v>560000</v>
      </c>
      <c r="G28" s="637">
        <f>SUM(G29:G34)</f>
        <v>42475.225709112856</v>
      </c>
      <c r="H28" s="629">
        <f t="shared" ref="H28" si="13">SUM(H29:H34)</f>
        <v>39183.225709112856</v>
      </c>
      <c r="I28" s="266">
        <f t="shared" ref="I28" si="14">SUM(I29:I34)</f>
        <v>44763.225709112856</v>
      </c>
      <c r="J28" s="266">
        <f t="shared" ref="J28" si="15">SUM(J29:J34)</f>
        <v>43015.57272178636</v>
      </c>
      <c r="K28" s="266">
        <f t="shared" ref="K28" si="16">SUM(K29:K34)</f>
        <v>48779.940253470122</v>
      </c>
      <c r="L28" s="266">
        <f t="shared" ref="L28" si="17">SUM(L29:L34)</f>
        <v>45920.307785153891</v>
      </c>
      <c r="M28" s="266">
        <f t="shared" ref="M28" si="18">SUM(M29:M34)</f>
        <v>44585.083685375175</v>
      </c>
      <c r="N28" s="266">
        <f t="shared" ref="N28" si="19">SUM(N29:N34)</f>
        <v>51125.083685375175</v>
      </c>
      <c r="O28" s="266">
        <f t="shared" ref="O28" si="20">SUM(O29:O34)</f>
        <v>45263.083685375175</v>
      </c>
      <c r="P28" s="266">
        <f t="shared" ref="P28" si="21">SUM(P29:P34)</f>
        <v>52823.083685375175</v>
      </c>
      <c r="Q28" s="266">
        <f t="shared" ref="Q28" si="22">SUM(Q29:Q34)</f>
        <v>51789.083685375175</v>
      </c>
      <c r="R28" s="267">
        <f t="shared" ref="R28" si="23">SUM(R29:R34)</f>
        <v>50277.083685375175</v>
      </c>
    </row>
    <row r="29" spans="2:18" ht="18.5">
      <c r="B29" s="930"/>
      <c r="C29" s="268" t="s">
        <v>155</v>
      </c>
      <c r="D29" s="271">
        <v>132010</v>
      </c>
      <c r="E29" s="272">
        <f t="shared" si="0"/>
        <v>0.62866449511400646</v>
      </c>
      <c r="F29" s="626">
        <v>215000</v>
      </c>
      <c r="G29" s="638">
        <v>18470</v>
      </c>
      <c r="H29" s="624">
        <v>15143</v>
      </c>
      <c r="I29" s="275">
        <v>18786</v>
      </c>
      <c r="J29" s="275">
        <v>18091</v>
      </c>
      <c r="K29" s="275">
        <v>18091</v>
      </c>
      <c r="L29" s="275">
        <v>18091</v>
      </c>
      <c r="M29" s="275">
        <v>17926</v>
      </c>
      <c r="N29" s="275">
        <v>17231</v>
      </c>
      <c r="O29" s="275">
        <v>18470</v>
      </c>
      <c r="P29" s="275">
        <v>18685</v>
      </c>
      <c r="Q29" s="275">
        <v>18091</v>
      </c>
      <c r="R29" s="276">
        <v>17925</v>
      </c>
    </row>
    <row r="30" spans="2:18" ht="18.5">
      <c r="B30" s="930"/>
      <c r="C30" s="268" t="s">
        <v>156</v>
      </c>
      <c r="D30" s="271">
        <v>3010</v>
      </c>
      <c r="E30" s="272">
        <f t="shared" si="0"/>
        <v>1.3255813953488371</v>
      </c>
      <c r="F30" s="626">
        <v>7000</v>
      </c>
      <c r="G30" s="638">
        <v>418.22570911285459</v>
      </c>
      <c r="H30" s="624">
        <v>418.22570911285459</v>
      </c>
      <c r="I30" s="275">
        <v>418.22570911285459</v>
      </c>
      <c r="J30" s="275">
        <v>443.57272178636089</v>
      </c>
      <c r="K30" s="275">
        <v>506.94025347012678</v>
      </c>
      <c r="L30" s="275">
        <v>570.30778515389261</v>
      </c>
      <c r="M30" s="275">
        <v>704.08368537517595</v>
      </c>
      <c r="N30" s="275">
        <v>704.08368537517595</v>
      </c>
      <c r="O30" s="275">
        <v>704.08368537517595</v>
      </c>
      <c r="P30" s="275">
        <v>704.08368537517595</v>
      </c>
      <c r="Q30" s="275">
        <v>704.08368537517595</v>
      </c>
      <c r="R30" s="276">
        <v>704.08368537517595</v>
      </c>
    </row>
    <row r="31" spans="2:18" ht="18.5">
      <c r="B31" s="930"/>
      <c r="C31" s="641" t="s">
        <v>114</v>
      </c>
      <c r="D31" s="642">
        <v>149830</v>
      </c>
      <c r="E31" s="643">
        <f t="shared" si="0"/>
        <v>0.73530000667423079</v>
      </c>
      <c r="F31" s="644">
        <v>260000</v>
      </c>
      <c r="G31" s="645">
        <v>16831</v>
      </c>
      <c r="H31" s="646">
        <v>18071</v>
      </c>
      <c r="I31" s="647">
        <v>19556</v>
      </c>
      <c r="J31" s="647">
        <v>18666</v>
      </c>
      <c r="K31" s="647">
        <v>24274</v>
      </c>
      <c r="L31" s="647">
        <v>21893</v>
      </c>
      <c r="M31" s="647">
        <v>20138</v>
      </c>
      <c r="N31" s="647">
        <v>26288</v>
      </c>
      <c r="O31" s="647">
        <v>20089</v>
      </c>
      <c r="P31" s="647">
        <v>23687</v>
      </c>
      <c r="Q31" s="647">
        <v>25249</v>
      </c>
      <c r="R31" s="648">
        <v>25258</v>
      </c>
    </row>
    <row r="32" spans="2:18" ht="18.5">
      <c r="B32" s="930"/>
      <c r="C32" s="277" t="s">
        <v>115</v>
      </c>
      <c r="D32" s="271">
        <v>31210</v>
      </c>
      <c r="E32" s="272">
        <f t="shared" si="0"/>
        <v>0.66613264979173337</v>
      </c>
      <c r="F32" s="626">
        <v>52000</v>
      </c>
      <c r="G32" s="638">
        <v>3805.0000000000005</v>
      </c>
      <c r="H32" s="624">
        <v>3615</v>
      </c>
      <c r="I32" s="275">
        <v>3550</v>
      </c>
      <c r="J32" s="275">
        <v>3805.0000000000005</v>
      </c>
      <c r="K32" s="275">
        <v>3870.0000000000005</v>
      </c>
      <c r="L32" s="275">
        <v>3550</v>
      </c>
      <c r="M32" s="275">
        <v>3450</v>
      </c>
      <c r="N32" s="275">
        <v>4935</v>
      </c>
      <c r="O32" s="275">
        <v>4160</v>
      </c>
      <c r="P32" s="275">
        <v>7165</v>
      </c>
      <c r="Q32" s="275">
        <v>5580</v>
      </c>
      <c r="R32" s="276">
        <v>4515</v>
      </c>
    </row>
    <row r="33" spans="2:18" ht="18.5">
      <c r="B33" s="930"/>
      <c r="C33" s="277" t="s">
        <v>122</v>
      </c>
      <c r="D33" s="271">
        <v>14260</v>
      </c>
      <c r="E33" s="272">
        <f t="shared" si="0"/>
        <v>0.63394109396914444</v>
      </c>
      <c r="F33" s="626">
        <v>23300</v>
      </c>
      <c r="G33" s="638">
        <v>2701</v>
      </c>
      <c r="H33" s="624">
        <v>1726</v>
      </c>
      <c r="I33" s="275">
        <v>2243</v>
      </c>
      <c r="J33" s="275">
        <v>1790</v>
      </c>
      <c r="K33" s="275">
        <v>1788</v>
      </c>
      <c r="L33" s="275">
        <v>1606</v>
      </c>
      <c r="M33" s="275">
        <v>2157</v>
      </c>
      <c r="N33" s="275">
        <v>1757</v>
      </c>
      <c r="O33" s="275">
        <v>1620</v>
      </c>
      <c r="P33" s="275">
        <v>2332</v>
      </c>
      <c r="Q33" s="275">
        <v>1915</v>
      </c>
      <c r="R33" s="276">
        <v>1665</v>
      </c>
    </row>
    <row r="34" spans="2:18" ht="18.5">
      <c r="B34" s="931"/>
      <c r="C34" s="279" t="s">
        <v>123</v>
      </c>
      <c r="D34" s="282">
        <v>1530</v>
      </c>
      <c r="E34" s="283">
        <f t="shared" si="0"/>
        <v>0.76470588235294112</v>
      </c>
      <c r="F34" s="627">
        <v>2700</v>
      </c>
      <c r="G34" s="639">
        <v>250</v>
      </c>
      <c r="H34" s="630">
        <v>210</v>
      </c>
      <c r="I34" s="286">
        <v>210</v>
      </c>
      <c r="J34" s="286">
        <v>220</v>
      </c>
      <c r="K34" s="286">
        <v>250</v>
      </c>
      <c r="L34" s="286">
        <v>210</v>
      </c>
      <c r="M34" s="286">
        <v>210</v>
      </c>
      <c r="N34" s="286">
        <v>210</v>
      </c>
      <c r="O34" s="286">
        <v>220</v>
      </c>
      <c r="P34" s="286">
        <v>250</v>
      </c>
      <c r="Q34" s="286">
        <v>250</v>
      </c>
      <c r="R34" s="287">
        <v>210</v>
      </c>
    </row>
    <row r="35" spans="2:18" ht="18.5">
      <c r="B35" s="929" t="s">
        <v>306</v>
      </c>
      <c r="C35" s="259" t="s">
        <v>154</v>
      </c>
      <c r="D35" s="262">
        <v>224050</v>
      </c>
      <c r="E35" s="263">
        <f t="shared" si="0"/>
        <v>0.1470653871903593</v>
      </c>
      <c r="F35" s="625">
        <f>SUM(F36:F41)</f>
        <v>257000</v>
      </c>
      <c r="G35" s="637">
        <f>SUM(G36:G41)</f>
        <v>22271.011466505734</v>
      </c>
      <c r="H35" s="629">
        <f t="shared" ref="H35" si="24">SUM(H36:H41)</f>
        <v>21017.011466505734</v>
      </c>
      <c r="I35" s="266">
        <f t="shared" ref="I35" si="25">SUM(I36:I41)</f>
        <v>22144.011466505734</v>
      </c>
      <c r="J35" s="266">
        <f t="shared" ref="J35" si="26">SUM(J36:J41)</f>
        <v>19987.133373566685</v>
      </c>
      <c r="K35" s="266">
        <f t="shared" ref="K35" si="27">SUM(K36:K41)</f>
        <v>22448.438141219071</v>
      </c>
      <c r="L35" s="266">
        <f t="shared" ref="L35" si="28">SUM(L36:L41)</f>
        <v>21518.742908871456</v>
      </c>
      <c r="M35" s="266">
        <f t="shared" ref="M35" si="29">SUM(M36:M41)</f>
        <v>19733.275196137598</v>
      </c>
      <c r="N35" s="266">
        <f t="shared" ref="N35" si="30">SUM(N36:N41)</f>
        <v>23535.275196137598</v>
      </c>
      <c r="O35" s="266">
        <f t="shared" ref="O35" si="31">SUM(O36:O41)</f>
        <v>19305.275196137598</v>
      </c>
      <c r="P35" s="266">
        <f t="shared" ref="P35" si="32">SUM(P36:P41)</f>
        <v>21353.275196137598</v>
      </c>
      <c r="Q35" s="266">
        <f t="shared" ref="Q35" si="33">SUM(Q36:Q41)</f>
        <v>22256.275196137598</v>
      </c>
      <c r="R35" s="267">
        <f t="shared" ref="R35" si="34">SUM(R36:R41)</f>
        <v>21430.275196137598</v>
      </c>
    </row>
    <row r="36" spans="2:18" ht="18.5">
      <c r="B36" s="930"/>
      <c r="C36" s="268" t="s">
        <v>155</v>
      </c>
      <c r="D36" s="271">
        <v>47760</v>
      </c>
      <c r="E36" s="272">
        <f t="shared" si="0"/>
        <v>0.15996649916247907</v>
      </c>
      <c r="F36" s="626">
        <v>55400</v>
      </c>
      <c r="G36" s="638">
        <v>4759</v>
      </c>
      <c r="H36" s="624">
        <v>3902</v>
      </c>
      <c r="I36" s="275">
        <v>4841</v>
      </c>
      <c r="J36" s="275">
        <v>4661</v>
      </c>
      <c r="K36" s="275">
        <v>4661</v>
      </c>
      <c r="L36" s="275">
        <v>4661</v>
      </c>
      <c r="M36" s="275">
        <v>4619</v>
      </c>
      <c r="N36" s="275">
        <v>4440</v>
      </c>
      <c r="O36" s="275">
        <v>4759</v>
      </c>
      <c r="P36" s="275">
        <v>4815</v>
      </c>
      <c r="Q36" s="275">
        <v>4661</v>
      </c>
      <c r="R36" s="276">
        <v>4621</v>
      </c>
    </row>
    <row r="37" spans="2:18" ht="18.5">
      <c r="B37" s="930"/>
      <c r="C37" s="268" t="s">
        <v>156</v>
      </c>
      <c r="D37" s="271">
        <v>3420</v>
      </c>
      <c r="E37" s="272">
        <f t="shared" si="0"/>
        <v>0.14035087719298245</v>
      </c>
      <c r="F37" s="626">
        <v>3900</v>
      </c>
      <c r="G37" s="638">
        <v>233.01146650573327</v>
      </c>
      <c r="H37" s="624">
        <v>233.01146650573327</v>
      </c>
      <c r="I37" s="275">
        <v>233.01146650573327</v>
      </c>
      <c r="J37" s="275">
        <v>247.13337356668677</v>
      </c>
      <c r="K37" s="275">
        <v>282.43814121907064</v>
      </c>
      <c r="L37" s="275">
        <v>317.74290887145446</v>
      </c>
      <c r="M37" s="275">
        <v>392.27519613759807</v>
      </c>
      <c r="N37" s="275">
        <v>392.27519613759807</v>
      </c>
      <c r="O37" s="275">
        <v>392.27519613759807</v>
      </c>
      <c r="P37" s="275">
        <v>392.27519613759807</v>
      </c>
      <c r="Q37" s="275">
        <v>392.27519613759807</v>
      </c>
      <c r="R37" s="276">
        <v>392.27519613759807</v>
      </c>
    </row>
    <row r="38" spans="2:18" ht="18.5">
      <c r="B38" s="930"/>
      <c r="C38" s="641" t="s">
        <v>114</v>
      </c>
      <c r="D38" s="642">
        <v>151940</v>
      </c>
      <c r="E38" s="643">
        <f t="shared" si="0"/>
        <v>0.12478609977622745</v>
      </c>
      <c r="F38" s="644">
        <v>170900</v>
      </c>
      <c r="G38" s="645">
        <v>15148</v>
      </c>
      <c r="H38" s="646">
        <v>14786</v>
      </c>
      <c r="I38" s="647">
        <v>14667</v>
      </c>
      <c r="J38" s="647">
        <v>12923</v>
      </c>
      <c r="K38" s="647">
        <v>15605</v>
      </c>
      <c r="L38" s="647">
        <v>14387</v>
      </c>
      <c r="M38" s="647">
        <v>12351</v>
      </c>
      <c r="N38" s="647">
        <v>16123</v>
      </c>
      <c r="O38" s="647">
        <v>12321</v>
      </c>
      <c r="P38" s="647">
        <v>13620</v>
      </c>
      <c r="Q38" s="647">
        <v>14518</v>
      </c>
      <c r="R38" s="648">
        <v>14451</v>
      </c>
    </row>
    <row r="39" spans="2:18" ht="18.5">
      <c r="B39" s="930"/>
      <c r="C39" s="277" t="s">
        <v>115</v>
      </c>
      <c r="D39" s="271">
        <v>14220</v>
      </c>
      <c r="E39" s="272">
        <f t="shared" si="0"/>
        <v>0.27285513361462727</v>
      </c>
      <c r="F39" s="626">
        <v>18100</v>
      </c>
      <c r="G39" s="638">
        <v>1155</v>
      </c>
      <c r="H39" s="624">
        <v>1455</v>
      </c>
      <c r="I39" s="275">
        <v>1600</v>
      </c>
      <c r="J39" s="275">
        <v>1485</v>
      </c>
      <c r="K39" s="275">
        <v>1220</v>
      </c>
      <c r="L39" s="275">
        <v>1530</v>
      </c>
      <c r="M39" s="275">
        <v>1585</v>
      </c>
      <c r="N39" s="275">
        <v>1920</v>
      </c>
      <c r="O39" s="275">
        <v>1195</v>
      </c>
      <c r="P39" s="275">
        <v>1655</v>
      </c>
      <c r="Q39" s="275">
        <v>1965</v>
      </c>
      <c r="R39" s="276">
        <v>1335</v>
      </c>
    </row>
    <row r="40" spans="2:18" ht="18.5">
      <c r="B40" s="930"/>
      <c r="C40" s="277" t="s">
        <v>122</v>
      </c>
      <c r="D40" s="271">
        <v>5480</v>
      </c>
      <c r="E40" s="272">
        <f t="shared" si="0"/>
        <v>0.33211678832116787</v>
      </c>
      <c r="F40" s="626">
        <v>7300</v>
      </c>
      <c r="G40" s="638">
        <v>846</v>
      </c>
      <c r="H40" s="624">
        <v>541</v>
      </c>
      <c r="I40" s="275">
        <v>703</v>
      </c>
      <c r="J40" s="275">
        <v>561</v>
      </c>
      <c r="K40" s="275">
        <v>560</v>
      </c>
      <c r="L40" s="275">
        <v>503</v>
      </c>
      <c r="M40" s="275">
        <v>676</v>
      </c>
      <c r="N40" s="275">
        <v>550</v>
      </c>
      <c r="O40" s="275">
        <v>508</v>
      </c>
      <c r="P40" s="275">
        <v>731</v>
      </c>
      <c r="Q40" s="275">
        <v>600</v>
      </c>
      <c r="R40" s="276">
        <v>521</v>
      </c>
    </row>
    <row r="41" spans="2:18" ht="18.5">
      <c r="B41" s="931"/>
      <c r="C41" s="279" t="s">
        <v>123</v>
      </c>
      <c r="D41" s="282">
        <v>1230</v>
      </c>
      <c r="E41" s="283">
        <f t="shared" si="0"/>
        <v>0.13821138211382114</v>
      </c>
      <c r="F41" s="627">
        <v>1400</v>
      </c>
      <c r="G41" s="639">
        <v>130</v>
      </c>
      <c r="H41" s="630">
        <v>100</v>
      </c>
      <c r="I41" s="286">
        <v>100</v>
      </c>
      <c r="J41" s="286">
        <v>110</v>
      </c>
      <c r="K41" s="286">
        <v>120</v>
      </c>
      <c r="L41" s="286">
        <v>120</v>
      </c>
      <c r="M41" s="286">
        <v>110</v>
      </c>
      <c r="N41" s="286">
        <v>110</v>
      </c>
      <c r="O41" s="286">
        <v>130</v>
      </c>
      <c r="P41" s="286">
        <v>140</v>
      </c>
      <c r="Q41" s="286">
        <v>120</v>
      </c>
      <c r="R41" s="287">
        <v>110</v>
      </c>
    </row>
    <row r="42" spans="2:18" ht="18.5">
      <c r="B42" s="929" t="s">
        <v>164</v>
      </c>
      <c r="C42" s="259" t="s">
        <v>154</v>
      </c>
      <c r="D42" s="262">
        <v>107030</v>
      </c>
      <c r="E42" s="263">
        <f t="shared" si="0"/>
        <v>0.14921050172848735</v>
      </c>
      <c r="F42" s="625">
        <f t="shared" ref="F42:R42" si="35">SUM(F43:F46)</f>
        <v>123000</v>
      </c>
      <c r="G42" s="637">
        <f t="shared" si="35"/>
        <v>10968.147254073627</v>
      </c>
      <c r="H42" s="629">
        <f t="shared" si="35"/>
        <v>8958.1472540736268</v>
      </c>
      <c r="I42" s="266">
        <f t="shared" si="35"/>
        <v>10688.147254073627</v>
      </c>
      <c r="J42" s="266">
        <f t="shared" si="35"/>
        <v>10143.18648159324</v>
      </c>
      <c r="K42" s="266">
        <f t="shared" si="35"/>
        <v>10080.784550392276</v>
      </c>
      <c r="L42" s="266">
        <f t="shared" si="35"/>
        <v>9818.3826191913104</v>
      </c>
      <c r="M42" s="266">
        <f t="shared" si="35"/>
        <v>10278.867431100382</v>
      </c>
      <c r="N42" s="266">
        <f t="shared" si="35"/>
        <v>10108.867431100382</v>
      </c>
      <c r="O42" s="266">
        <f t="shared" si="35"/>
        <v>9658.8674311003815</v>
      </c>
      <c r="P42" s="266">
        <f t="shared" si="35"/>
        <v>10828.867431100382</v>
      </c>
      <c r="Q42" s="266">
        <f t="shared" si="35"/>
        <v>10858.867431100382</v>
      </c>
      <c r="R42" s="267">
        <f t="shared" si="35"/>
        <v>10608.867431100382</v>
      </c>
    </row>
    <row r="43" spans="2:18" ht="18.5">
      <c r="B43" s="930"/>
      <c r="C43" s="268" t="s">
        <v>155</v>
      </c>
      <c r="D43" s="271">
        <v>45600</v>
      </c>
      <c r="E43" s="272">
        <f t="shared" si="0"/>
        <v>9.2105263157894732E-2</v>
      </c>
      <c r="F43" s="626">
        <v>49800</v>
      </c>
      <c r="G43" s="638">
        <v>4560</v>
      </c>
      <c r="H43" s="624">
        <v>3250</v>
      </c>
      <c r="I43" s="275">
        <v>4580</v>
      </c>
      <c r="J43" s="275">
        <v>4180</v>
      </c>
      <c r="K43" s="275">
        <v>3980</v>
      </c>
      <c r="L43" s="275">
        <v>4080</v>
      </c>
      <c r="M43" s="275">
        <v>4250</v>
      </c>
      <c r="N43" s="275">
        <v>4080</v>
      </c>
      <c r="O43" s="275">
        <v>4130</v>
      </c>
      <c r="P43" s="275">
        <v>4300</v>
      </c>
      <c r="Q43" s="275">
        <v>4330</v>
      </c>
      <c r="R43" s="276">
        <v>4080</v>
      </c>
    </row>
    <row r="44" spans="2:18" ht="18.5">
      <c r="B44" s="930"/>
      <c r="C44" s="268" t="s">
        <v>156</v>
      </c>
      <c r="D44" s="271">
        <v>13200</v>
      </c>
      <c r="E44" s="272">
        <f t="shared" si="0"/>
        <v>0.15151515151515152</v>
      </c>
      <c r="F44" s="626">
        <v>15200</v>
      </c>
      <c r="G44" s="638">
        <v>908.1472540736271</v>
      </c>
      <c r="H44" s="624">
        <v>908.1472540736271</v>
      </c>
      <c r="I44" s="275">
        <v>908.1472540736271</v>
      </c>
      <c r="J44" s="275">
        <v>963.18648159324073</v>
      </c>
      <c r="K44" s="275">
        <v>1100.7845503922752</v>
      </c>
      <c r="L44" s="275">
        <v>1238.3826191913097</v>
      </c>
      <c r="M44" s="275">
        <v>1528.8674311003822</v>
      </c>
      <c r="N44" s="275">
        <v>1528.8674311003822</v>
      </c>
      <c r="O44" s="275">
        <v>1528.8674311003822</v>
      </c>
      <c r="P44" s="275">
        <v>1528.8674311003822</v>
      </c>
      <c r="Q44" s="275">
        <v>1528.8674311003822</v>
      </c>
      <c r="R44" s="276">
        <v>1528.8674311003822</v>
      </c>
    </row>
    <row r="45" spans="2:18" ht="18.5">
      <c r="B45" s="930"/>
      <c r="C45" s="641" t="s">
        <v>114</v>
      </c>
      <c r="D45" s="642">
        <v>36720</v>
      </c>
      <c r="E45" s="643">
        <f t="shared" si="0"/>
        <v>0.25272331154684097</v>
      </c>
      <c r="F45" s="644">
        <v>46000</v>
      </c>
      <c r="G45" s="645">
        <v>4500</v>
      </c>
      <c r="H45" s="646">
        <v>3800</v>
      </c>
      <c r="I45" s="647">
        <v>4200</v>
      </c>
      <c r="J45" s="647">
        <v>4000</v>
      </c>
      <c r="K45" s="647">
        <v>4000</v>
      </c>
      <c r="L45" s="647">
        <v>3500</v>
      </c>
      <c r="M45" s="647">
        <v>3500</v>
      </c>
      <c r="N45" s="647">
        <v>3500</v>
      </c>
      <c r="O45" s="647">
        <v>3000</v>
      </c>
      <c r="P45" s="647">
        <v>4000</v>
      </c>
      <c r="Q45" s="647">
        <v>4000</v>
      </c>
      <c r="R45" s="648">
        <v>4000</v>
      </c>
    </row>
    <row r="46" spans="2:18" ht="18.5">
      <c r="B46" s="931"/>
      <c r="C46" s="279" t="s">
        <v>115</v>
      </c>
      <c r="D46" s="282">
        <v>11510</v>
      </c>
      <c r="E46" s="283">
        <f t="shared" si="0"/>
        <v>4.2571676802780192E-2</v>
      </c>
      <c r="F46" s="627">
        <v>12000</v>
      </c>
      <c r="G46" s="639">
        <v>1000</v>
      </c>
      <c r="H46" s="630">
        <v>1000</v>
      </c>
      <c r="I46" s="286">
        <v>1000</v>
      </c>
      <c r="J46" s="286">
        <v>1000</v>
      </c>
      <c r="K46" s="286">
        <v>1000</v>
      </c>
      <c r="L46" s="286">
        <v>1000</v>
      </c>
      <c r="M46" s="286">
        <v>1000</v>
      </c>
      <c r="N46" s="286">
        <v>1000</v>
      </c>
      <c r="O46" s="286">
        <v>1000</v>
      </c>
      <c r="P46" s="286">
        <v>1000</v>
      </c>
      <c r="Q46" s="286">
        <v>1000</v>
      </c>
      <c r="R46" s="287">
        <v>1000</v>
      </c>
    </row>
    <row r="47" spans="2:18" ht="18.5">
      <c r="B47" s="929" t="s">
        <v>137</v>
      </c>
      <c r="C47" s="259" t="s">
        <v>154</v>
      </c>
      <c r="D47" s="262">
        <v>44450</v>
      </c>
      <c r="E47" s="263">
        <f t="shared" si="0"/>
        <v>0.14735658042744657</v>
      </c>
      <c r="F47" s="625">
        <f t="shared" ref="F47:R47" si="36">SUM(F48:F51)</f>
        <v>51000</v>
      </c>
      <c r="G47" s="637">
        <f t="shared" si="36"/>
        <v>4586.4755582377793</v>
      </c>
      <c r="H47" s="629">
        <f t="shared" si="36"/>
        <v>3816.4755582377793</v>
      </c>
      <c r="I47" s="266">
        <f t="shared" si="36"/>
        <v>4646.4755582377793</v>
      </c>
      <c r="J47" s="266">
        <f t="shared" si="36"/>
        <v>4361.1104405552196</v>
      </c>
      <c r="K47" s="266">
        <f t="shared" si="36"/>
        <v>4282.6976463488227</v>
      </c>
      <c r="L47" s="266">
        <f t="shared" si="36"/>
        <v>4044.2848521424262</v>
      </c>
      <c r="M47" s="266">
        <f t="shared" si="36"/>
        <v>4138.7467310400316</v>
      </c>
      <c r="N47" s="266">
        <f t="shared" si="36"/>
        <v>4068.746731040032</v>
      </c>
      <c r="O47" s="266">
        <f t="shared" si="36"/>
        <v>3768.746731040032</v>
      </c>
      <c r="P47" s="266">
        <f t="shared" si="36"/>
        <v>4438.7467310400316</v>
      </c>
      <c r="Q47" s="266">
        <f t="shared" si="36"/>
        <v>4478.7467310400316</v>
      </c>
      <c r="R47" s="267">
        <f t="shared" si="36"/>
        <v>4368.7467310400316</v>
      </c>
    </row>
    <row r="48" spans="2:18" ht="18.5">
      <c r="B48" s="930"/>
      <c r="C48" s="268" t="s">
        <v>155</v>
      </c>
      <c r="D48" s="271">
        <v>20587</v>
      </c>
      <c r="E48" s="272">
        <f t="shared" si="0"/>
        <v>0.14149706125224656</v>
      </c>
      <c r="F48" s="626">
        <v>23500</v>
      </c>
      <c r="G48" s="638">
        <v>2200</v>
      </c>
      <c r="H48" s="624">
        <v>1530</v>
      </c>
      <c r="I48" s="275">
        <v>2160</v>
      </c>
      <c r="J48" s="275">
        <v>1970</v>
      </c>
      <c r="K48" s="275">
        <v>1880</v>
      </c>
      <c r="L48" s="275">
        <v>1930</v>
      </c>
      <c r="M48" s="275">
        <v>2000</v>
      </c>
      <c r="N48" s="275">
        <v>1930</v>
      </c>
      <c r="O48" s="275">
        <v>1930</v>
      </c>
      <c r="P48" s="275">
        <v>2000</v>
      </c>
      <c r="Q48" s="275">
        <v>2040</v>
      </c>
      <c r="R48" s="276">
        <v>1930</v>
      </c>
    </row>
    <row r="49" spans="2:18" ht="18.5">
      <c r="B49" s="930"/>
      <c r="C49" s="268" t="s">
        <v>156</v>
      </c>
      <c r="D49" s="271">
        <v>1154</v>
      </c>
      <c r="E49" s="272">
        <f t="shared" si="0"/>
        <v>0.10918544194107452</v>
      </c>
      <c r="F49" s="626">
        <v>1280</v>
      </c>
      <c r="G49" s="638">
        <v>76.475558237779126</v>
      </c>
      <c r="H49" s="624">
        <v>76.475558237779126</v>
      </c>
      <c r="I49" s="275">
        <v>76.475558237779126</v>
      </c>
      <c r="J49" s="275">
        <v>81.110440555220279</v>
      </c>
      <c r="K49" s="275">
        <v>92.697646348823184</v>
      </c>
      <c r="L49" s="275">
        <v>104.28485214242608</v>
      </c>
      <c r="M49" s="275">
        <v>128.74673104003219</v>
      </c>
      <c r="N49" s="275">
        <v>128.74673104003219</v>
      </c>
      <c r="O49" s="275">
        <v>128.74673104003219</v>
      </c>
      <c r="P49" s="275">
        <v>128.74673104003219</v>
      </c>
      <c r="Q49" s="275">
        <v>128.74673104003219</v>
      </c>
      <c r="R49" s="276">
        <v>128.74673104003219</v>
      </c>
    </row>
    <row r="50" spans="2:18" ht="18.5">
      <c r="B50" s="930"/>
      <c r="C50" s="641" t="s">
        <v>114</v>
      </c>
      <c r="D50" s="642">
        <v>22606</v>
      </c>
      <c r="E50" s="643">
        <f t="shared" si="0"/>
        <v>0.1545607360877643</v>
      </c>
      <c r="F50" s="644">
        <v>26100</v>
      </c>
      <c r="G50" s="645">
        <v>2300</v>
      </c>
      <c r="H50" s="646">
        <v>2200</v>
      </c>
      <c r="I50" s="647">
        <v>2400</v>
      </c>
      <c r="J50" s="647">
        <v>2300</v>
      </c>
      <c r="K50" s="647">
        <v>2300</v>
      </c>
      <c r="L50" s="647">
        <v>2000</v>
      </c>
      <c r="M50" s="647">
        <v>2000</v>
      </c>
      <c r="N50" s="647">
        <v>2000</v>
      </c>
      <c r="O50" s="647">
        <v>1700</v>
      </c>
      <c r="P50" s="647">
        <v>2300</v>
      </c>
      <c r="Q50" s="647">
        <v>2300</v>
      </c>
      <c r="R50" s="648">
        <v>2300</v>
      </c>
    </row>
    <row r="51" spans="2:18" ht="18.5">
      <c r="B51" s="931"/>
      <c r="C51" s="279" t="s">
        <v>115</v>
      </c>
      <c r="D51" s="282">
        <v>103</v>
      </c>
      <c r="E51" s="283">
        <f t="shared" si="0"/>
        <v>0.1650485436893204</v>
      </c>
      <c r="F51" s="627">
        <v>120</v>
      </c>
      <c r="G51" s="639">
        <v>10</v>
      </c>
      <c r="H51" s="630">
        <v>10</v>
      </c>
      <c r="I51" s="286">
        <v>10</v>
      </c>
      <c r="J51" s="286">
        <v>10</v>
      </c>
      <c r="K51" s="286">
        <v>10</v>
      </c>
      <c r="L51" s="286">
        <v>10</v>
      </c>
      <c r="M51" s="286">
        <v>10</v>
      </c>
      <c r="N51" s="286">
        <v>10</v>
      </c>
      <c r="O51" s="286">
        <v>10</v>
      </c>
      <c r="P51" s="286">
        <v>10</v>
      </c>
      <c r="Q51" s="286">
        <v>10</v>
      </c>
      <c r="R51" s="287">
        <v>10</v>
      </c>
    </row>
    <row r="52" spans="2:18" ht="18.5" hidden="1">
      <c r="B52" s="929" t="s">
        <v>179</v>
      </c>
      <c r="C52" s="259" t="s">
        <v>154</v>
      </c>
      <c r="D52" s="262">
        <f>SUM(D53:D54)</f>
        <v>53741.454545454544</v>
      </c>
      <c r="E52" s="263">
        <f t="shared" si="0"/>
        <v>8.4823633693982659E-2</v>
      </c>
      <c r="F52" s="625">
        <v>58300</v>
      </c>
      <c r="G52" s="637">
        <v>4500</v>
      </c>
      <c r="H52" s="629">
        <v>4600</v>
      </c>
      <c r="I52" s="266">
        <v>4700</v>
      </c>
      <c r="J52" s="266">
        <v>4700</v>
      </c>
      <c r="K52" s="266">
        <v>4800</v>
      </c>
      <c r="L52" s="266">
        <v>4800</v>
      </c>
      <c r="M52" s="266">
        <v>4900</v>
      </c>
      <c r="N52" s="266">
        <v>4900</v>
      </c>
      <c r="O52" s="266">
        <v>5000</v>
      </c>
      <c r="P52" s="266">
        <v>5100</v>
      </c>
      <c r="Q52" s="266">
        <v>5100</v>
      </c>
      <c r="R52" s="267">
        <v>5200</v>
      </c>
    </row>
    <row r="53" spans="2:18" ht="18.5" hidden="1">
      <c r="B53" s="930"/>
      <c r="C53" s="621" t="s">
        <v>112</v>
      </c>
      <c r="D53" s="613">
        <v>23057.454545454544</v>
      </c>
      <c r="E53" s="614">
        <f t="shared" si="0"/>
        <v>8.4811853393893577E-2</v>
      </c>
      <c r="F53" s="628">
        <v>25013</v>
      </c>
      <c r="G53" s="640">
        <v>1931</v>
      </c>
      <c r="H53" s="631">
        <v>1974</v>
      </c>
      <c r="I53" s="617">
        <v>2017</v>
      </c>
      <c r="J53" s="617">
        <v>2017</v>
      </c>
      <c r="K53" s="617">
        <v>2059</v>
      </c>
      <c r="L53" s="617">
        <v>2059</v>
      </c>
      <c r="M53" s="617">
        <v>2102</v>
      </c>
      <c r="N53" s="617">
        <v>2102</v>
      </c>
      <c r="O53" s="617">
        <v>2145</v>
      </c>
      <c r="P53" s="617">
        <v>2188</v>
      </c>
      <c r="Q53" s="617">
        <v>2188</v>
      </c>
      <c r="R53" s="618">
        <v>2231</v>
      </c>
    </row>
    <row r="54" spans="2:18" ht="19" thickBot="1">
      <c r="B54" s="932"/>
      <c r="C54" s="649" t="s">
        <v>297</v>
      </c>
      <c r="D54" s="650">
        <v>30684</v>
      </c>
      <c r="E54" s="651">
        <f t="shared" si="0"/>
        <v>8.4832485986181719E-2</v>
      </c>
      <c r="F54" s="652">
        <v>33287</v>
      </c>
      <c r="G54" s="653">
        <v>2569</v>
      </c>
      <c r="H54" s="654">
        <v>2626</v>
      </c>
      <c r="I54" s="655">
        <v>2683</v>
      </c>
      <c r="J54" s="655">
        <v>2683</v>
      </c>
      <c r="K54" s="655">
        <v>2741</v>
      </c>
      <c r="L54" s="655">
        <v>2741</v>
      </c>
      <c r="M54" s="655">
        <v>2798</v>
      </c>
      <c r="N54" s="655">
        <v>2798</v>
      </c>
      <c r="O54" s="655">
        <v>2855</v>
      </c>
      <c r="P54" s="655">
        <v>2912</v>
      </c>
      <c r="Q54" s="655">
        <v>2912</v>
      </c>
      <c r="R54" s="656">
        <v>2969</v>
      </c>
    </row>
    <row r="55" spans="2:18" ht="17.5" thickTop="1"/>
  </sheetData>
  <mergeCells count="13">
    <mergeCell ref="B35:B41"/>
    <mergeCell ref="B42:B46"/>
    <mergeCell ref="B47:B51"/>
    <mergeCell ref="B52:B54"/>
    <mergeCell ref="B2:R2"/>
    <mergeCell ref="E11:E13"/>
    <mergeCell ref="F11:F13"/>
    <mergeCell ref="B14:B20"/>
    <mergeCell ref="B21:B27"/>
    <mergeCell ref="B28:B34"/>
    <mergeCell ref="B11:B13"/>
    <mergeCell ref="C11:C13"/>
    <mergeCell ref="D11:D13"/>
  </mergeCells>
  <phoneticPr fontId="1" type="noConversion"/>
  <printOptions horizontalCentered="1" verticalCentered="1"/>
  <pageMargins left="0" right="0" top="0" bottom="0" header="0" footer="0"/>
  <pageSetup paperSize="9" scale="59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5:XFD18"/>
  <sheetViews>
    <sheetView showGridLines="0" topLeftCell="A2" zoomScale="130" zoomScaleNormal="130" workbookViewId="0">
      <selection activeCell="E14" sqref="E14"/>
    </sheetView>
  </sheetViews>
  <sheetFormatPr defaultRowHeight="17"/>
  <cols>
    <col min="4" max="4" width="11.08203125" customWidth="1"/>
    <col min="5" max="5" width="12.5" customWidth="1"/>
    <col min="6" max="7" width="17.58203125" customWidth="1"/>
    <col min="9" max="9" width="9.5" bestFit="1" customWidth="1"/>
  </cols>
  <sheetData>
    <row r="5" spans="4:9 16384:16384" ht="21">
      <c r="D5" s="782" t="s">
        <v>1212</v>
      </c>
    </row>
    <row r="6" spans="4:9 16384:16384" ht="34">
      <c r="D6" s="774" t="s">
        <v>310</v>
      </c>
      <c r="E6" s="781" t="s">
        <v>1211</v>
      </c>
      <c r="F6" s="775" t="s">
        <v>1208</v>
      </c>
      <c r="G6" s="776" t="s">
        <v>1209</v>
      </c>
    </row>
    <row r="7" spans="4:9 16384:16384">
      <c r="D7" s="777" t="s">
        <v>656</v>
      </c>
      <c r="E7" s="777"/>
      <c r="F7" s="783">
        <v>200000000</v>
      </c>
      <c r="G7" s="784">
        <v>19000000</v>
      </c>
    </row>
    <row r="8" spans="4:9 16384:16384">
      <c r="D8" s="772" t="s">
        <v>331</v>
      </c>
      <c r="E8" s="779" t="e">
        <f>#REF!/#REF!</f>
        <v>#REF!</v>
      </c>
      <c r="F8" s="785">
        <v>26455000</v>
      </c>
      <c r="G8" s="786">
        <v>2513000</v>
      </c>
      <c r="XFD8">
        <f>ROUND($F$7*XFC8,-3)</f>
        <v>0</v>
      </c>
    </row>
    <row r="9" spans="4:9 16384:16384">
      <c r="D9" s="772" t="s">
        <v>347</v>
      </c>
      <c r="E9" s="779" t="e">
        <f>#REF!/#REF!</f>
        <v>#REF!</v>
      </c>
      <c r="F9" s="785">
        <v>12782000</v>
      </c>
      <c r="G9" s="786">
        <v>1214000</v>
      </c>
    </row>
    <row r="10" spans="4:9 16384:16384">
      <c r="D10" s="772" t="s">
        <v>349</v>
      </c>
      <c r="E10" s="779" t="e">
        <f>#REF!/#REF!</f>
        <v>#REF!</v>
      </c>
      <c r="F10" s="785">
        <v>28018000</v>
      </c>
      <c r="G10" s="786">
        <v>2662000</v>
      </c>
    </row>
    <row r="11" spans="4:9 16384:16384">
      <c r="D11" s="772" t="s">
        <v>334</v>
      </c>
      <c r="E11" s="779" t="e">
        <f>#REF!/#REF!</f>
        <v>#REF!</v>
      </c>
      <c r="F11" s="785">
        <v>27636000</v>
      </c>
      <c r="G11" s="786">
        <v>2625000</v>
      </c>
    </row>
    <row r="12" spans="4:9 16384:16384">
      <c r="D12" s="772" t="s">
        <v>351</v>
      </c>
      <c r="E12" s="779" t="e">
        <f>#REF!/#REF!</f>
        <v>#REF!</v>
      </c>
      <c r="F12" s="785">
        <v>29200000</v>
      </c>
      <c r="G12" s="786">
        <v>2774000</v>
      </c>
    </row>
    <row r="13" spans="4:9 16384:16384">
      <c r="D13" s="772" t="s">
        <v>352</v>
      </c>
      <c r="E13" s="779" t="e">
        <f>#REF!/#REF!</f>
        <v>#REF!</v>
      </c>
      <c r="F13" s="785">
        <v>21691000</v>
      </c>
      <c r="G13" s="786">
        <v>2061000</v>
      </c>
    </row>
    <row r="14" spans="4:9 16384:16384">
      <c r="D14" s="772" t="s">
        <v>354</v>
      </c>
      <c r="E14" s="779" t="e">
        <f>#REF!/#REF!</f>
        <v>#REF!</v>
      </c>
      <c r="F14" s="785">
        <v>30036000</v>
      </c>
      <c r="G14" s="786">
        <v>2853000</v>
      </c>
      <c r="I14">
        <f>F8*95%</f>
        <v>25132250</v>
      </c>
    </row>
    <row r="15" spans="4:9 16384:16384">
      <c r="D15" s="773" t="s">
        <v>1210</v>
      </c>
      <c r="E15" s="780" t="e">
        <f>#REF!/#REF!</f>
        <v>#REF!</v>
      </c>
      <c r="F15" s="787">
        <v>24182000</v>
      </c>
      <c r="G15" s="788">
        <v>2298000</v>
      </c>
    </row>
    <row r="16" spans="4:9 16384:16384">
      <c r="D16" s="789" t="s">
        <v>1213</v>
      </c>
      <c r="F16" s="778"/>
      <c r="G16" s="778"/>
    </row>
    <row r="17" spans="4:4">
      <c r="D17" s="790" t="s">
        <v>1214</v>
      </c>
    </row>
    <row r="18" spans="4:4">
      <c r="D18" s="791" t="s">
        <v>1215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B2:AI376"/>
  <sheetViews>
    <sheetView showGridLines="0" zoomScale="55" zoomScaleNormal="55" workbookViewId="0">
      <selection activeCell="B6" sqref="B6"/>
    </sheetView>
  </sheetViews>
  <sheetFormatPr defaultColWidth="9" defaultRowHeight="16"/>
  <cols>
    <col min="1" max="1" width="4.58203125" style="732" customWidth="1"/>
    <col min="2" max="2" width="8.75" style="732" customWidth="1"/>
    <col min="3" max="3" width="7" style="732" bestFit="1" customWidth="1"/>
    <col min="4" max="4" width="10" style="732" customWidth="1"/>
    <col min="5" max="5" width="11.75" style="732" bestFit="1" customWidth="1"/>
    <col min="6" max="6" width="7.75" style="732" bestFit="1" customWidth="1"/>
    <col min="7" max="7" width="13.33203125" style="732" bestFit="1" customWidth="1"/>
    <col min="8" max="13" width="9.5" style="732" customWidth="1"/>
    <col min="14" max="14" width="7.75" style="732" customWidth="1"/>
    <col min="15" max="15" width="13" style="732" customWidth="1"/>
    <col min="16" max="16" width="9.08203125" style="732" hidden="1" customWidth="1"/>
    <col min="17" max="17" width="9.08203125" style="732" customWidth="1"/>
    <col min="18" max="18" width="8.25" style="747" customWidth="1"/>
    <col min="19" max="19" width="6.83203125" style="747" bestFit="1" customWidth="1"/>
    <col min="20" max="20" width="6.83203125" style="747" customWidth="1"/>
    <col min="21" max="21" width="6.5" style="747" bestFit="1" customWidth="1"/>
    <col min="22" max="22" width="6.83203125" style="747" bestFit="1" customWidth="1"/>
    <col min="23" max="23" width="7.25" style="747" bestFit="1" customWidth="1"/>
    <col min="24" max="24" width="6.5" style="747" bestFit="1" customWidth="1"/>
    <col min="25" max="25" width="6.83203125" style="747" bestFit="1" customWidth="1"/>
    <col min="26" max="26" width="7.25" style="747" bestFit="1" customWidth="1"/>
    <col min="27" max="27" width="6.5" style="747" bestFit="1" customWidth="1"/>
    <col min="28" max="28" width="6.83203125" style="747" bestFit="1" customWidth="1"/>
    <col min="29" max="29" width="7.25" style="747" bestFit="1" customWidth="1"/>
    <col min="30" max="30" width="6.5" style="747" bestFit="1" customWidth="1"/>
    <col min="31" max="31" width="6.83203125" style="747" bestFit="1" customWidth="1"/>
    <col min="32" max="32" width="7.25" style="747" bestFit="1" customWidth="1"/>
    <col min="33" max="33" width="7.33203125" style="747" customWidth="1"/>
    <col min="34" max="34" width="6.83203125" style="747" bestFit="1" customWidth="1"/>
    <col min="35" max="35" width="6" style="747" bestFit="1" customWidth="1"/>
    <col min="36" max="16384" width="9" style="732"/>
  </cols>
  <sheetData>
    <row r="2" spans="2:35" ht="51.5">
      <c r="B2" s="767" t="s">
        <v>693</v>
      </c>
    </row>
    <row r="4" spans="2:35" ht="33.5">
      <c r="B4" s="733" t="s">
        <v>680</v>
      </c>
      <c r="C4" s="734"/>
      <c r="D4" s="734"/>
      <c r="E4" s="734"/>
      <c r="F4" s="734"/>
      <c r="G4" s="734"/>
      <c r="H4" s="734"/>
      <c r="I4" s="734"/>
      <c r="J4" s="734"/>
      <c r="K4" s="734"/>
      <c r="L4" s="734"/>
      <c r="M4" s="734"/>
      <c r="O4" s="735" t="s">
        <v>673</v>
      </c>
      <c r="P4" s="736"/>
      <c r="Q4" s="736"/>
      <c r="R4" s="748"/>
      <c r="S4" s="748"/>
      <c r="T4" s="748"/>
      <c r="U4" s="748"/>
      <c r="V4" s="748"/>
      <c r="W4" s="748"/>
      <c r="X4" s="748"/>
      <c r="Y4" s="748"/>
      <c r="Z4" s="748"/>
      <c r="AA4" s="748"/>
      <c r="AB4" s="748"/>
      <c r="AC4" s="748"/>
      <c r="AD4" s="748"/>
      <c r="AE4" s="748"/>
      <c r="AF4" s="748"/>
      <c r="AG4" s="748"/>
      <c r="AH4" s="748"/>
      <c r="AI4" s="748"/>
    </row>
    <row r="5" spans="2:35" s="738" customFormat="1" ht="20.5">
      <c r="B5" s="737" t="s">
        <v>1267</v>
      </c>
      <c r="O5" s="737" t="s">
        <v>658</v>
      </c>
      <c r="P5" s="732"/>
      <c r="Q5" s="732"/>
      <c r="R5" s="747"/>
      <c r="S5" s="747"/>
      <c r="T5" s="747"/>
      <c r="U5" s="747"/>
      <c r="V5" s="747"/>
      <c r="W5" s="747"/>
      <c r="X5" s="747"/>
      <c r="Y5" s="747"/>
      <c r="Z5" s="747"/>
      <c r="AA5" s="747"/>
      <c r="AB5" s="747"/>
      <c r="AC5" s="747"/>
      <c r="AD5" s="747"/>
      <c r="AE5" s="747"/>
      <c r="AF5" s="747"/>
      <c r="AG5" s="747"/>
      <c r="AH5" s="747"/>
      <c r="AI5" s="747"/>
    </row>
    <row r="6" spans="2:35" ht="29">
      <c r="B6" s="739" t="s">
        <v>659</v>
      </c>
      <c r="C6" s="739" t="s">
        <v>660</v>
      </c>
      <c r="D6" s="739" t="s">
        <v>661</v>
      </c>
      <c r="E6" s="739" t="s">
        <v>516</v>
      </c>
      <c r="F6" s="739" t="s">
        <v>662</v>
      </c>
      <c r="G6" s="739" t="s">
        <v>663</v>
      </c>
      <c r="H6" s="795" t="s">
        <v>309</v>
      </c>
      <c r="I6" s="795" t="s">
        <v>1241</v>
      </c>
      <c r="J6" s="795" t="s">
        <v>1254</v>
      </c>
      <c r="K6" s="795" t="s">
        <v>1255</v>
      </c>
      <c r="L6" s="795" t="s">
        <v>1256</v>
      </c>
      <c r="M6" s="796" t="s">
        <v>1257</v>
      </c>
      <c r="O6" s="959" t="s">
        <v>664</v>
      </c>
      <c r="P6" s="959"/>
      <c r="Q6" s="960"/>
      <c r="R6" s="950" t="s">
        <v>1258</v>
      </c>
      <c r="S6" s="951"/>
      <c r="T6" s="952"/>
      <c r="U6" s="950" t="s">
        <v>1259</v>
      </c>
      <c r="V6" s="951"/>
      <c r="W6" s="952"/>
      <c r="X6" s="950" t="s">
        <v>1260</v>
      </c>
      <c r="Y6" s="951"/>
      <c r="Z6" s="952"/>
      <c r="AA6" s="950" t="s">
        <v>1242</v>
      </c>
      <c r="AB6" s="951"/>
      <c r="AC6" s="952"/>
      <c r="AD6" s="950" t="s">
        <v>1256</v>
      </c>
      <c r="AE6" s="951"/>
      <c r="AF6" s="952"/>
      <c r="AG6" s="950" t="s">
        <v>1243</v>
      </c>
      <c r="AH6" s="951"/>
      <c r="AI6" s="952"/>
    </row>
    <row r="7" spans="2:35">
      <c r="B7" s="740"/>
      <c r="C7" s="740"/>
      <c r="D7" s="740"/>
      <c r="E7" s="740"/>
      <c r="F7" s="740"/>
      <c r="G7" s="740"/>
      <c r="H7" s="740"/>
      <c r="I7" s="740"/>
      <c r="J7" s="740"/>
      <c r="K7" s="740"/>
      <c r="L7" s="740"/>
      <c r="M7" s="740"/>
      <c r="O7" s="961"/>
      <c r="P7" s="961"/>
      <c r="Q7" s="962"/>
      <c r="R7" s="749" t="s">
        <v>665</v>
      </c>
      <c r="S7" s="749" t="s">
        <v>666</v>
      </c>
      <c r="T7" s="749" t="s">
        <v>667</v>
      </c>
      <c r="U7" s="749" t="s">
        <v>283</v>
      </c>
      <c r="V7" s="749" t="s">
        <v>666</v>
      </c>
      <c r="W7" s="749" t="s">
        <v>667</v>
      </c>
      <c r="X7" s="749" t="s">
        <v>283</v>
      </c>
      <c r="Y7" s="749" t="s">
        <v>666</v>
      </c>
      <c r="Z7" s="749" t="s">
        <v>667</v>
      </c>
      <c r="AA7" s="749" t="s">
        <v>283</v>
      </c>
      <c r="AB7" s="749" t="s">
        <v>666</v>
      </c>
      <c r="AC7" s="749" t="s">
        <v>667</v>
      </c>
      <c r="AD7" s="749" t="s">
        <v>283</v>
      </c>
      <c r="AE7" s="749" t="s">
        <v>666</v>
      </c>
      <c r="AF7" s="749" t="s">
        <v>667</v>
      </c>
      <c r="AG7" s="749" t="s">
        <v>283</v>
      </c>
      <c r="AH7" s="749" t="s">
        <v>666</v>
      </c>
      <c r="AI7" s="749" t="s">
        <v>667</v>
      </c>
    </row>
    <row r="8" spans="2:35">
      <c r="B8" s="740"/>
      <c r="C8" s="740"/>
      <c r="D8" s="740"/>
      <c r="E8" s="740"/>
      <c r="F8" s="740"/>
      <c r="G8" s="740"/>
      <c r="H8" s="740"/>
      <c r="I8" s="740"/>
      <c r="J8" s="740"/>
      <c r="K8" s="740"/>
      <c r="L8" s="740"/>
      <c r="M8" s="740"/>
      <c r="O8" s="963" t="s">
        <v>656</v>
      </c>
      <c r="P8" s="963"/>
      <c r="Q8" s="964"/>
      <c r="R8" s="750" t="e">
        <f>SUM(R9:R16)</f>
        <v>#REF!</v>
      </c>
      <c r="S8" s="750">
        <f t="shared" ref="S8:T8" si="0">SUM(S9:S16)</f>
        <v>0</v>
      </c>
      <c r="T8" s="750" t="e">
        <f t="shared" si="0"/>
        <v>#REF!</v>
      </c>
      <c r="U8" s="750" t="e">
        <f>SUM(U9:U16)</f>
        <v>#REF!</v>
      </c>
      <c r="V8" s="750">
        <f t="shared" ref="V8:W8" si="1">SUM(V9:V16)</f>
        <v>0</v>
      </c>
      <c r="W8" s="750" t="e">
        <f t="shared" si="1"/>
        <v>#REF!</v>
      </c>
      <c r="X8" s="750" t="e">
        <f>SUM(X9:X16)</f>
        <v>#REF!</v>
      </c>
      <c r="Y8" s="750">
        <f t="shared" ref="Y8:Z8" si="2">SUM(Y9:Y16)</f>
        <v>0</v>
      </c>
      <c r="Z8" s="750" t="e">
        <f t="shared" si="2"/>
        <v>#REF!</v>
      </c>
      <c r="AA8" s="750" t="e">
        <f>SUM(AA9:AA16)</f>
        <v>#REF!</v>
      </c>
      <c r="AB8" s="750">
        <f t="shared" ref="AB8:AC8" si="3">SUM(AB9:AB16)</f>
        <v>0</v>
      </c>
      <c r="AC8" s="750" t="e">
        <f t="shared" si="3"/>
        <v>#REF!</v>
      </c>
      <c r="AD8" s="750" t="e">
        <f>SUM(AD9:AD16)</f>
        <v>#REF!</v>
      </c>
      <c r="AE8" s="750">
        <f t="shared" ref="AE8:AF8" si="4">SUM(AE9:AE16)</f>
        <v>0</v>
      </c>
      <c r="AF8" s="750" t="e">
        <f t="shared" si="4"/>
        <v>#REF!</v>
      </c>
      <c r="AG8" s="750" t="e">
        <f>SUM(AG9:AG16)</f>
        <v>#REF!</v>
      </c>
      <c r="AH8" s="750">
        <f t="shared" ref="AH8:AI8" si="5">SUM(AH9:AH16)</f>
        <v>0</v>
      </c>
      <c r="AI8" s="750" t="e">
        <f t="shared" si="5"/>
        <v>#REF!</v>
      </c>
    </row>
    <row r="9" spans="2:35">
      <c r="B9" s="740"/>
      <c r="C9" s="740"/>
      <c r="D9" s="740"/>
      <c r="E9" s="740"/>
      <c r="F9" s="740"/>
      <c r="G9" s="740"/>
      <c r="H9" s="740"/>
      <c r="I9" s="740"/>
      <c r="J9" s="740"/>
      <c r="K9" s="740"/>
      <c r="L9" s="740"/>
      <c r="M9" s="740"/>
      <c r="O9" s="965" t="s">
        <v>1261</v>
      </c>
      <c r="P9" s="965"/>
      <c r="Q9" s="966"/>
      <c r="R9" s="751" t="e">
        <f t="shared" ref="R9:AG16" si="6">SUMIFS(R$22:R$63,$O$22:$O$63,$O9)</f>
        <v>#REF!</v>
      </c>
      <c r="S9" s="751">
        <f t="shared" si="6"/>
        <v>0</v>
      </c>
      <c r="T9" s="751" t="e">
        <f t="shared" si="6"/>
        <v>#REF!</v>
      </c>
      <c r="U9" s="751" t="e">
        <f t="shared" si="6"/>
        <v>#REF!</v>
      </c>
      <c r="V9" s="751">
        <f t="shared" si="6"/>
        <v>0</v>
      </c>
      <c r="W9" s="751" t="e">
        <f t="shared" si="6"/>
        <v>#REF!</v>
      </c>
      <c r="X9" s="751" t="e">
        <f t="shared" si="6"/>
        <v>#REF!</v>
      </c>
      <c r="Y9" s="751">
        <f t="shared" si="6"/>
        <v>0</v>
      </c>
      <c r="Z9" s="751" t="e">
        <f t="shared" si="6"/>
        <v>#REF!</v>
      </c>
      <c r="AA9" s="751" t="e">
        <f t="shared" si="6"/>
        <v>#REF!</v>
      </c>
      <c r="AB9" s="751">
        <f t="shared" si="6"/>
        <v>0</v>
      </c>
      <c r="AC9" s="751" t="e">
        <f t="shared" si="6"/>
        <v>#REF!</v>
      </c>
      <c r="AD9" s="751" t="e">
        <f t="shared" si="6"/>
        <v>#REF!</v>
      </c>
      <c r="AE9" s="751">
        <f t="shared" si="6"/>
        <v>0</v>
      </c>
      <c r="AF9" s="751" t="e">
        <f t="shared" si="6"/>
        <v>#REF!</v>
      </c>
      <c r="AG9" s="751" t="e">
        <f t="shared" si="6"/>
        <v>#REF!</v>
      </c>
      <c r="AH9" s="751">
        <f t="shared" ref="AG9:AI16" si="7">SUMIFS(AH$22:AH$63,$O$22:$O$63,$O9)</f>
        <v>0</v>
      </c>
      <c r="AI9" s="751" t="e">
        <f t="shared" si="7"/>
        <v>#REF!</v>
      </c>
    </row>
    <row r="10" spans="2:35">
      <c r="B10" s="740"/>
      <c r="C10" s="740"/>
      <c r="D10" s="740"/>
      <c r="E10" s="740"/>
      <c r="F10" s="740"/>
      <c r="G10" s="740"/>
      <c r="H10" s="740"/>
      <c r="I10" s="740"/>
      <c r="J10" s="740"/>
      <c r="K10" s="740"/>
      <c r="L10" s="740"/>
      <c r="M10" s="740"/>
      <c r="O10" s="965" t="s">
        <v>1262</v>
      </c>
      <c r="P10" s="965"/>
      <c r="Q10" s="966"/>
      <c r="R10" s="751" t="e">
        <f t="shared" si="6"/>
        <v>#REF!</v>
      </c>
      <c r="S10" s="751">
        <f t="shared" si="6"/>
        <v>0</v>
      </c>
      <c r="T10" s="751" t="e">
        <f t="shared" si="6"/>
        <v>#REF!</v>
      </c>
      <c r="U10" s="751" t="e">
        <f t="shared" si="6"/>
        <v>#REF!</v>
      </c>
      <c r="V10" s="751">
        <f t="shared" si="6"/>
        <v>0</v>
      </c>
      <c r="W10" s="751" t="e">
        <f t="shared" si="6"/>
        <v>#REF!</v>
      </c>
      <c r="X10" s="751" t="e">
        <f t="shared" si="6"/>
        <v>#REF!</v>
      </c>
      <c r="Y10" s="751">
        <f t="shared" si="6"/>
        <v>0</v>
      </c>
      <c r="Z10" s="751" t="e">
        <f t="shared" si="6"/>
        <v>#REF!</v>
      </c>
      <c r="AA10" s="751" t="e">
        <f t="shared" si="6"/>
        <v>#REF!</v>
      </c>
      <c r="AB10" s="751">
        <f t="shared" si="6"/>
        <v>0</v>
      </c>
      <c r="AC10" s="751" t="e">
        <f t="shared" si="6"/>
        <v>#REF!</v>
      </c>
      <c r="AD10" s="751" t="e">
        <f t="shared" si="6"/>
        <v>#REF!</v>
      </c>
      <c r="AE10" s="751">
        <f t="shared" si="6"/>
        <v>0</v>
      </c>
      <c r="AF10" s="751" t="e">
        <f t="shared" si="6"/>
        <v>#REF!</v>
      </c>
      <c r="AG10" s="751" t="e">
        <f t="shared" si="7"/>
        <v>#REF!</v>
      </c>
      <c r="AH10" s="751">
        <f t="shared" si="7"/>
        <v>0</v>
      </c>
      <c r="AI10" s="751" t="e">
        <f t="shared" si="7"/>
        <v>#REF!</v>
      </c>
    </row>
    <row r="11" spans="2:35">
      <c r="B11" s="740"/>
      <c r="C11" s="740"/>
      <c r="D11" s="740"/>
      <c r="E11" s="740"/>
      <c r="F11" s="740"/>
      <c r="G11" s="740"/>
      <c r="H11" s="740"/>
      <c r="I11" s="740"/>
      <c r="J11" s="740"/>
      <c r="K11" s="740"/>
      <c r="L11" s="740"/>
      <c r="M11" s="740"/>
      <c r="O11" s="965" t="s">
        <v>332</v>
      </c>
      <c r="P11" s="965"/>
      <c r="Q11" s="966"/>
      <c r="R11" s="751" t="e">
        <f t="shared" si="6"/>
        <v>#REF!</v>
      </c>
      <c r="S11" s="751">
        <f t="shared" si="6"/>
        <v>0</v>
      </c>
      <c r="T11" s="751" t="e">
        <f t="shared" si="6"/>
        <v>#REF!</v>
      </c>
      <c r="U11" s="751" t="e">
        <f t="shared" si="6"/>
        <v>#REF!</v>
      </c>
      <c r="V11" s="751">
        <f t="shared" si="6"/>
        <v>0</v>
      </c>
      <c r="W11" s="751" t="e">
        <f t="shared" si="6"/>
        <v>#REF!</v>
      </c>
      <c r="X11" s="751" t="e">
        <f t="shared" si="6"/>
        <v>#REF!</v>
      </c>
      <c r="Y11" s="751">
        <f t="shared" si="6"/>
        <v>0</v>
      </c>
      <c r="Z11" s="751" t="e">
        <f t="shared" si="6"/>
        <v>#REF!</v>
      </c>
      <c r="AA11" s="751" t="e">
        <f t="shared" si="6"/>
        <v>#REF!</v>
      </c>
      <c r="AB11" s="751">
        <f t="shared" si="6"/>
        <v>0</v>
      </c>
      <c r="AC11" s="751" t="e">
        <f t="shared" si="6"/>
        <v>#REF!</v>
      </c>
      <c r="AD11" s="751" t="e">
        <f t="shared" si="6"/>
        <v>#REF!</v>
      </c>
      <c r="AE11" s="751">
        <f t="shared" si="6"/>
        <v>0</v>
      </c>
      <c r="AF11" s="751" t="e">
        <f t="shared" si="6"/>
        <v>#REF!</v>
      </c>
      <c r="AG11" s="751" t="e">
        <f t="shared" si="7"/>
        <v>#REF!</v>
      </c>
      <c r="AH11" s="751">
        <f t="shared" si="7"/>
        <v>0</v>
      </c>
      <c r="AI11" s="751" t="e">
        <f t="shared" si="7"/>
        <v>#REF!</v>
      </c>
    </row>
    <row r="12" spans="2:35">
      <c r="B12" s="740"/>
      <c r="C12" s="740"/>
      <c r="D12" s="740"/>
      <c r="E12" s="740"/>
      <c r="F12" s="740"/>
      <c r="G12" s="740"/>
      <c r="H12" s="740"/>
      <c r="I12" s="740"/>
      <c r="J12" s="740"/>
      <c r="K12" s="740"/>
      <c r="L12" s="740"/>
      <c r="M12" s="740"/>
      <c r="O12" s="965" t="s">
        <v>1240</v>
      </c>
      <c r="P12" s="965"/>
      <c r="Q12" s="966"/>
      <c r="R12" s="751" t="e">
        <f t="shared" si="6"/>
        <v>#REF!</v>
      </c>
      <c r="S12" s="751">
        <f t="shared" si="6"/>
        <v>0</v>
      </c>
      <c r="T12" s="751" t="e">
        <f t="shared" si="6"/>
        <v>#REF!</v>
      </c>
      <c r="U12" s="751" t="e">
        <f t="shared" si="6"/>
        <v>#REF!</v>
      </c>
      <c r="V12" s="751">
        <f t="shared" si="6"/>
        <v>0</v>
      </c>
      <c r="W12" s="751" t="e">
        <f t="shared" si="6"/>
        <v>#REF!</v>
      </c>
      <c r="X12" s="751" t="e">
        <f t="shared" si="6"/>
        <v>#REF!</v>
      </c>
      <c r="Y12" s="751">
        <f t="shared" si="6"/>
        <v>0</v>
      </c>
      <c r="Z12" s="751" t="e">
        <f t="shared" si="6"/>
        <v>#REF!</v>
      </c>
      <c r="AA12" s="751" t="e">
        <f t="shared" si="6"/>
        <v>#REF!</v>
      </c>
      <c r="AB12" s="751">
        <f t="shared" si="6"/>
        <v>0</v>
      </c>
      <c r="AC12" s="751" t="e">
        <f t="shared" si="6"/>
        <v>#REF!</v>
      </c>
      <c r="AD12" s="751" t="e">
        <f t="shared" si="6"/>
        <v>#REF!</v>
      </c>
      <c r="AE12" s="751">
        <f t="shared" si="6"/>
        <v>0</v>
      </c>
      <c r="AF12" s="751" t="e">
        <f t="shared" si="6"/>
        <v>#REF!</v>
      </c>
      <c r="AG12" s="751" t="e">
        <f t="shared" si="7"/>
        <v>#REF!</v>
      </c>
      <c r="AH12" s="751">
        <f t="shared" si="7"/>
        <v>0</v>
      </c>
      <c r="AI12" s="751" t="e">
        <f t="shared" si="7"/>
        <v>#REF!</v>
      </c>
    </row>
    <row r="13" spans="2:35">
      <c r="B13" s="740"/>
      <c r="C13" s="740"/>
      <c r="D13" s="740"/>
      <c r="E13" s="740"/>
      <c r="F13" s="740"/>
      <c r="G13" s="740"/>
      <c r="H13" s="740"/>
      <c r="I13" s="740"/>
      <c r="J13" s="740"/>
      <c r="K13" s="740"/>
      <c r="L13" s="740"/>
      <c r="M13" s="740"/>
      <c r="O13" s="965" t="s">
        <v>1263</v>
      </c>
      <c r="P13" s="965"/>
      <c r="Q13" s="966"/>
      <c r="R13" s="751" t="e">
        <f t="shared" si="6"/>
        <v>#REF!</v>
      </c>
      <c r="S13" s="751">
        <f t="shared" si="6"/>
        <v>0</v>
      </c>
      <c r="T13" s="751" t="e">
        <f t="shared" si="6"/>
        <v>#REF!</v>
      </c>
      <c r="U13" s="751" t="e">
        <f t="shared" si="6"/>
        <v>#REF!</v>
      </c>
      <c r="V13" s="751">
        <f t="shared" si="6"/>
        <v>0</v>
      </c>
      <c r="W13" s="751" t="e">
        <f t="shared" si="6"/>
        <v>#REF!</v>
      </c>
      <c r="X13" s="751" t="e">
        <f t="shared" si="6"/>
        <v>#REF!</v>
      </c>
      <c r="Y13" s="751">
        <f t="shared" si="6"/>
        <v>0</v>
      </c>
      <c r="Z13" s="751" t="e">
        <f t="shared" si="6"/>
        <v>#REF!</v>
      </c>
      <c r="AA13" s="751" t="e">
        <f t="shared" si="6"/>
        <v>#REF!</v>
      </c>
      <c r="AB13" s="751">
        <f t="shared" si="6"/>
        <v>0</v>
      </c>
      <c r="AC13" s="751" t="e">
        <f t="shared" si="6"/>
        <v>#REF!</v>
      </c>
      <c r="AD13" s="751" t="e">
        <f t="shared" si="6"/>
        <v>#REF!</v>
      </c>
      <c r="AE13" s="751">
        <f t="shared" si="6"/>
        <v>0</v>
      </c>
      <c r="AF13" s="751" t="e">
        <f t="shared" si="6"/>
        <v>#REF!</v>
      </c>
      <c r="AG13" s="751" t="e">
        <f t="shared" si="7"/>
        <v>#REF!</v>
      </c>
      <c r="AH13" s="751">
        <f t="shared" si="7"/>
        <v>0</v>
      </c>
      <c r="AI13" s="751" t="e">
        <f t="shared" si="7"/>
        <v>#REF!</v>
      </c>
    </row>
    <row r="14" spans="2:35">
      <c r="B14" s="740"/>
      <c r="C14" s="740"/>
      <c r="D14" s="740"/>
      <c r="E14" s="740"/>
      <c r="F14" s="740"/>
      <c r="G14" s="740"/>
      <c r="H14" s="740"/>
      <c r="I14" s="740"/>
      <c r="J14" s="740"/>
      <c r="K14" s="740"/>
      <c r="L14" s="740"/>
      <c r="M14" s="740"/>
      <c r="O14" s="965" t="s">
        <v>1264</v>
      </c>
      <c r="P14" s="965"/>
      <c r="Q14" s="966"/>
      <c r="R14" s="751" t="e">
        <f t="shared" si="6"/>
        <v>#REF!</v>
      </c>
      <c r="S14" s="751">
        <f t="shared" si="6"/>
        <v>0</v>
      </c>
      <c r="T14" s="751" t="e">
        <f t="shared" si="6"/>
        <v>#REF!</v>
      </c>
      <c r="U14" s="751" t="e">
        <f t="shared" si="6"/>
        <v>#REF!</v>
      </c>
      <c r="V14" s="751">
        <f t="shared" si="6"/>
        <v>0</v>
      </c>
      <c r="W14" s="751" t="e">
        <f t="shared" si="6"/>
        <v>#REF!</v>
      </c>
      <c r="X14" s="751" t="e">
        <f t="shared" si="6"/>
        <v>#REF!</v>
      </c>
      <c r="Y14" s="751">
        <f t="shared" si="6"/>
        <v>0</v>
      </c>
      <c r="Z14" s="751" t="e">
        <f t="shared" si="6"/>
        <v>#REF!</v>
      </c>
      <c r="AA14" s="751" t="e">
        <f t="shared" si="6"/>
        <v>#REF!</v>
      </c>
      <c r="AB14" s="751">
        <f t="shared" si="6"/>
        <v>0</v>
      </c>
      <c r="AC14" s="751" t="e">
        <f t="shared" si="6"/>
        <v>#REF!</v>
      </c>
      <c r="AD14" s="751" t="e">
        <f t="shared" si="6"/>
        <v>#REF!</v>
      </c>
      <c r="AE14" s="751">
        <f t="shared" si="6"/>
        <v>0</v>
      </c>
      <c r="AF14" s="751" t="e">
        <f t="shared" si="6"/>
        <v>#REF!</v>
      </c>
      <c r="AG14" s="751" t="e">
        <f t="shared" si="7"/>
        <v>#REF!</v>
      </c>
      <c r="AH14" s="751">
        <f t="shared" si="7"/>
        <v>0</v>
      </c>
      <c r="AI14" s="751" t="e">
        <f t="shared" si="7"/>
        <v>#REF!</v>
      </c>
    </row>
    <row r="15" spans="2:35">
      <c r="B15" s="740"/>
      <c r="C15" s="740"/>
      <c r="D15" s="740"/>
      <c r="E15" s="740"/>
      <c r="F15" s="740"/>
      <c r="G15" s="740"/>
      <c r="H15" s="740"/>
      <c r="I15" s="740"/>
      <c r="J15" s="740"/>
      <c r="K15" s="740"/>
      <c r="L15" s="740"/>
      <c r="M15" s="740"/>
      <c r="O15" s="965" t="s">
        <v>1265</v>
      </c>
      <c r="P15" s="965"/>
      <c r="Q15" s="966"/>
      <c r="R15" s="751" t="e">
        <f t="shared" si="6"/>
        <v>#REF!</v>
      </c>
      <c r="S15" s="751">
        <f t="shared" si="6"/>
        <v>0</v>
      </c>
      <c r="T15" s="751" t="e">
        <f t="shared" si="6"/>
        <v>#REF!</v>
      </c>
      <c r="U15" s="751" t="e">
        <f t="shared" si="6"/>
        <v>#REF!</v>
      </c>
      <c r="V15" s="751">
        <f t="shared" si="6"/>
        <v>0</v>
      </c>
      <c r="W15" s="751" t="e">
        <f t="shared" si="6"/>
        <v>#REF!</v>
      </c>
      <c r="X15" s="751" t="e">
        <f t="shared" si="6"/>
        <v>#REF!</v>
      </c>
      <c r="Y15" s="751">
        <f t="shared" si="6"/>
        <v>0</v>
      </c>
      <c r="Z15" s="751" t="e">
        <f t="shared" si="6"/>
        <v>#REF!</v>
      </c>
      <c r="AA15" s="751" t="e">
        <f t="shared" si="6"/>
        <v>#REF!</v>
      </c>
      <c r="AB15" s="751">
        <f t="shared" si="6"/>
        <v>0</v>
      </c>
      <c r="AC15" s="751" t="e">
        <f t="shared" si="6"/>
        <v>#REF!</v>
      </c>
      <c r="AD15" s="751" t="e">
        <f t="shared" si="6"/>
        <v>#REF!</v>
      </c>
      <c r="AE15" s="751">
        <f t="shared" si="6"/>
        <v>0</v>
      </c>
      <c r="AF15" s="751" t="e">
        <f t="shared" si="6"/>
        <v>#REF!</v>
      </c>
      <c r="AG15" s="751" t="e">
        <f t="shared" si="7"/>
        <v>#REF!</v>
      </c>
      <c r="AH15" s="751">
        <f t="shared" si="7"/>
        <v>0</v>
      </c>
      <c r="AI15" s="751" t="e">
        <f t="shared" si="7"/>
        <v>#REF!</v>
      </c>
    </row>
    <row r="16" spans="2:35">
      <c r="B16" s="740"/>
      <c r="C16" s="740"/>
      <c r="D16" s="740"/>
      <c r="E16" s="740"/>
      <c r="F16" s="740"/>
      <c r="G16" s="740"/>
      <c r="H16" s="740"/>
      <c r="I16" s="740"/>
      <c r="J16" s="740"/>
      <c r="K16" s="740"/>
      <c r="L16" s="740"/>
      <c r="M16" s="740"/>
      <c r="O16" s="957" t="s">
        <v>1266</v>
      </c>
      <c r="P16" s="957"/>
      <c r="Q16" s="958"/>
      <c r="R16" s="752" t="e">
        <f t="shared" si="6"/>
        <v>#REF!</v>
      </c>
      <c r="S16" s="752">
        <f t="shared" si="6"/>
        <v>0</v>
      </c>
      <c r="T16" s="752" t="e">
        <f t="shared" si="6"/>
        <v>#REF!</v>
      </c>
      <c r="U16" s="752" t="e">
        <f t="shared" si="6"/>
        <v>#REF!</v>
      </c>
      <c r="V16" s="752">
        <f t="shared" si="6"/>
        <v>0</v>
      </c>
      <c r="W16" s="752" t="e">
        <f t="shared" si="6"/>
        <v>#REF!</v>
      </c>
      <c r="X16" s="752" t="e">
        <f t="shared" si="6"/>
        <v>#REF!</v>
      </c>
      <c r="Y16" s="752">
        <f t="shared" si="6"/>
        <v>0</v>
      </c>
      <c r="Z16" s="752" t="e">
        <f t="shared" si="6"/>
        <v>#REF!</v>
      </c>
      <c r="AA16" s="752" t="e">
        <f t="shared" si="6"/>
        <v>#REF!</v>
      </c>
      <c r="AB16" s="752">
        <f t="shared" si="6"/>
        <v>0</v>
      </c>
      <c r="AC16" s="752" t="e">
        <f t="shared" si="6"/>
        <v>#REF!</v>
      </c>
      <c r="AD16" s="752" t="e">
        <f t="shared" si="6"/>
        <v>#REF!</v>
      </c>
      <c r="AE16" s="752">
        <f t="shared" si="6"/>
        <v>0</v>
      </c>
      <c r="AF16" s="752" t="e">
        <f t="shared" si="6"/>
        <v>#REF!</v>
      </c>
      <c r="AG16" s="752" t="e">
        <f t="shared" si="7"/>
        <v>#REF!</v>
      </c>
      <c r="AH16" s="752">
        <f t="shared" si="7"/>
        <v>0</v>
      </c>
      <c r="AI16" s="752" t="e">
        <f t="shared" si="7"/>
        <v>#REF!</v>
      </c>
    </row>
    <row r="17" spans="2:35">
      <c r="B17" s="740"/>
      <c r="C17" s="740"/>
      <c r="D17" s="740"/>
      <c r="E17" s="740"/>
      <c r="F17" s="740"/>
      <c r="G17" s="740"/>
      <c r="H17" s="740"/>
      <c r="I17" s="740"/>
      <c r="J17" s="740"/>
      <c r="K17" s="740"/>
      <c r="L17" s="740"/>
      <c r="M17" s="740"/>
    </row>
    <row r="18" spans="2:35" ht="20.5">
      <c r="B18" s="740"/>
      <c r="C18" s="740"/>
      <c r="D18" s="740"/>
      <c r="E18" s="740"/>
      <c r="F18" s="740"/>
      <c r="G18" s="740"/>
      <c r="H18" s="740"/>
      <c r="I18" s="740"/>
      <c r="J18" s="740"/>
      <c r="K18" s="740"/>
      <c r="L18" s="740"/>
      <c r="M18" s="740"/>
      <c r="O18" s="737" t="s">
        <v>669</v>
      </c>
      <c r="P18" s="737"/>
    </row>
    <row r="19" spans="2:35">
      <c r="B19" s="740"/>
      <c r="C19" s="740"/>
      <c r="D19" s="740"/>
      <c r="E19" s="740"/>
      <c r="F19" s="740"/>
      <c r="G19" s="740"/>
      <c r="H19" s="740"/>
      <c r="I19" s="740"/>
      <c r="J19" s="740"/>
      <c r="K19" s="740"/>
      <c r="L19" s="740"/>
      <c r="M19" s="740"/>
      <c r="O19" s="953" t="s">
        <v>516</v>
      </c>
      <c r="P19" s="955" t="s">
        <v>670</v>
      </c>
      <c r="Q19" s="955" t="s">
        <v>663</v>
      </c>
      <c r="R19" s="950" t="s">
        <v>1258</v>
      </c>
      <c r="S19" s="951"/>
      <c r="T19" s="952"/>
      <c r="U19" s="950" t="s">
        <v>1259</v>
      </c>
      <c r="V19" s="951"/>
      <c r="W19" s="952"/>
      <c r="X19" s="950" t="s">
        <v>1260</v>
      </c>
      <c r="Y19" s="951"/>
      <c r="Z19" s="952"/>
      <c r="AA19" s="950" t="s">
        <v>1242</v>
      </c>
      <c r="AB19" s="951"/>
      <c r="AC19" s="952"/>
      <c r="AD19" s="950" t="s">
        <v>1256</v>
      </c>
      <c r="AE19" s="951"/>
      <c r="AF19" s="952"/>
      <c r="AG19" s="950" t="s">
        <v>1243</v>
      </c>
      <c r="AH19" s="951"/>
      <c r="AI19" s="952"/>
    </row>
    <row r="20" spans="2:35">
      <c r="B20" s="740"/>
      <c r="C20" s="740"/>
      <c r="D20" s="740"/>
      <c r="E20" s="740"/>
      <c r="F20" s="740"/>
      <c r="G20" s="740"/>
      <c r="H20" s="740"/>
      <c r="I20" s="740"/>
      <c r="J20" s="740"/>
      <c r="K20" s="740"/>
      <c r="L20" s="740"/>
      <c r="M20" s="740"/>
      <c r="O20" s="954"/>
      <c r="P20" s="956"/>
      <c r="Q20" s="956"/>
      <c r="R20" s="753" t="s">
        <v>283</v>
      </c>
      <c r="S20" s="753" t="s">
        <v>666</v>
      </c>
      <c r="T20" s="753" t="s">
        <v>668</v>
      </c>
      <c r="U20" s="753" t="s">
        <v>283</v>
      </c>
      <c r="V20" s="753" t="s">
        <v>666</v>
      </c>
      <c r="W20" s="753" t="s">
        <v>667</v>
      </c>
      <c r="X20" s="753" t="s">
        <v>283</v>
      </c>
      <c r="Y20" s="753" t="s">
        <v>666</v>
      </c>
      <c r="Z20" s="753" t="s">
        <v>667</v>
      </c>
      <c r="AA20" s="753" t="s">
        <v>283</v>
      </c>
      <c r="AB20" s="753" t="s">
        <v>666</v>
      </c>
      <c r="AC20" s="753" t="s">
        <v>667</v>
      </c>
      <c r="AD20" s="753" t="s">
        <v>283</v>
      </c>
      <c r="AE20" s="753" t="s">
        <v>666</v>
      </c>
      <c r="AF20" s="753" t="s">
        <v>667</v>
      </c>
      <c r="AG20" s="753" t="s">
        <v>283</v>
      </c>
      <c r="AH20" s="753" t="s">
        <v>666</v>
      </c>
      <c r="AI20" s="753" t="s">
        <v>667</v>
      </c>
    </row>
    <row r="21" spans="2:35">
      <c r="B21" s="740"/>
      <c r="C21" s="740"/>
      <c r="D21" s="740"/>
      <c r="E21" s="740"/>
      <c r="F21" s="740"/>
      <c r="G21" s="740"/>
      <c r="H21" s="740"/>
      <c r="I21" s="740"/>
      <c r="J21" s="740"/>
      <c r="K21" s="740"/>
      <c r="L21" s="740"/>
      <c r="M21" s="740"/>
      <c r="O21" s="741" t="s">
        <v>656</v>
      </c>
      <c r="P21" s="742"/>
      <c r="Q21" s="742"/>
      <c r="R21" s="750" t="e">
        <f t="shared" ref="R21:AI21" si="8">SUM(R22:R63)</f>
        <v>#REF!</v>
      </c>
      <c r="S21" s="750">
        <f t="shared" si="8"/>
        <v>0</v>
      </c>
      <c r="T21" s="750" t="e">
        <f t="shared" si="8"/>
        <v>#REF!</v>
      </c>
      <c r="U21" s="750" t="e">
        <f t="shared" si="8"/>
        <v>#REF!</v>
      </c>
      <c r="V21" s="750">
        <f t="shared" si="8"/>
        <v>0</v>
      </c>
      <c r="W21" s="750" t="e">
        <f t="shared" si="8"/>
        <v>#REF!</v>
      </c>
      <c r="X21" s="750" t="e">
        <f t="shared" si="8"/>
        <v>#REF!</v>
      </c>
      <c r="Y21" s="750">
        <f t="shared" si="8"/>
        <v>0</v>
      </c>
      <c r="Z21" s="750" t="e">
        <f t="shared" si="8"/>
        <v>#REF!</v>
      </c>
      <c r="AA21" s="750" t="e">
        <f t="shared" si="8"/>
        <v>#REF!</v>
      </c>
      <c r="AB21" s="750">
        <f t="shared" si="8"/>
        <v>0</v>
      </c>
      <c r="AC21" s="750" t="e">
        <f t="shared" si="8"/>
        <v>#REF!</v>
      </c>
      <c r="AD21" s="750" t="e">
        <f t="shared" si="8"/>
        <v>#REF!</v>
      </c>
      <c r="AE21" s="750">
        <f t="shared" si="8"/>
        <v>0</v>
      </c>
      <c r="AF21" s="750" t="e">
        <f t="shared" si="8"/>
        <v>#REF!</v>
      </c>
      <c r="AG21" s="750" t="e">
        <f t="shared" si="8"/>
        <v>#REF!</v>
      </c>
      <c r="AH21" s="750">
        <f t="shared" si="8"/>
        <v>0</v>
      </c>
      <c r="AI21" s="750" t="e">
        <f t="shared" si="8"/>
        <v>#REF!</v>
      </c>
    </row>
    <row r="22" spans="2:35">
      <c r="B22" s="740"/>
      <c r="C22" s="740"/>
      <c r="D22" s="740"/>
      <c r="E22" s="740"/>
      <c r="F22" s="740"/>
      <c r="G22" s="740"/>
      <c r="H22" s="740"/>
      <c r="I22" s="740"/>
      <c r="J22" s="740"/>
      <c r="K22" s="740"/>
      <c r="L22" s="740"/>
      <c r="M22" s="740"/>
      <c r="O22" s="743" t="s">
        <v>346</v>
      </c>
      <c r="P22" s="744" t="s">
        <v>366</v>
      </c>
      <c r="Q22" s="744" t="s">
        <v>367</v>
      </c>
      <c r="R22" s="754" t="e">
        <f>VLOOKUP($P22,#REF!,3,0)</f>
        <v>#REF!</v>
      </c>
      <c r="S22" s="751">
        <f>SUMIFS(H:H,$F:$F,$P22)</f>
        <v>0</v>
      </c>
      <c r="T22" s="751" t="e">
        <f>S22-R22</f>
        <v>#REF!</v>
      </c>
      <c r="U22" s="754" t="e">
        <f>VLOOKUP($P22,#REF!,4,0)</f>
        <v>#REF!</v>
      </c>
      <c r="V22" s="751">
        <f>SUMIFS(I:I,$F:$F,$P22)</f>
        <v>0</v>
      </c>
      <c r="W22" s="751" t="e">
        <f>V22-U22</f>
        <v>#REF!</v>
      </c>
      <c r="X22" s="754" t="e">
        <f>VLOOKUP($P22,#REF!,5,0)</f>
        <v>#REF!</v>
      </c>
      <c r="Y22" s="751">
        <f>SUMIFS(J:J,$F:$F,$P22)</f>
        <v>0</v>
      </c>
      <c r="Z22" s="751" t="e">
        <f>Y22-X22</f>
        <v>#REF!</v>
      </c>
      <c r="AA22" s="754" t="e">
        <f>VLOOKUP($P22,#REF!,9,0)</f>
        <v>#REF!</v>
      </c>
      <c r="AB22" s="751">
        <f>SUMIFS(K:K,$F:$F,$P22)</f>
        <v>0</v>
      </c>
      <c r="AC22" s="751" t="e">
        <f>AB22-AA22</f>
        <v>#REF!</v>
      </c>
      <c r="AD22" s="754" t="e">
        <f>VLOOKUP($P22,#REF!,11,0)</f>
        <v>#REF!</v>
      </c>
      <c r="AE22" s="751">
        <f>SUMIFS(L:L,$F:$F,$P22)</f>
        <v>0</v>
      </c>
      <c r="AF22" s="751" t="e">
        <f>AE22-AD22</f>
        <v>#REF!</v>
      </c>
      <c r="AG22" s="754" t="e">
        <f>VLOOKUP($P22,#REF!,14,0)</f>
        <v>#REF!</v>
      </c>
      <c r="AH22" s="751">
        <f>SUMIFS(M:M,$F:$F,$P22)</f>
        <v>0</v>
      </c>
      <c r="AI22" s="751" t="e">
        <f>AH22-AG22</f>
        <v>#REF!</v>
      </c>
    </row>
    <row r="23" spans="2:35">
      <c r="B23" s="740"/>
      <c r="C23" s="740"/>
      <c r="D23" s="740"/>
      <c r="E23" s="740"/>
      <c r="F23" s="740"/>
      <c r="G23" s="740"/>
      <c r="H23" s="740"/>
      <c r="I23" s="740"/>
      <c r="J23" s="740"/>
      <c r="K23" s="740"/>
      <c r="L23" s="740"/>
      <c r="M23" s="740"/>
      <c r="O23" s="743" t="s">
        <v>346</v>
      </c>
      <c r="P23" s="744" t="s">
        <v>370</v>
      </c>
      <c r="Q23" s="744" t="s">
        <v>371</v>
      </c>
      <c r="R23" s="754" t="e">
        <f>VLOOKUP($P23,#REF!,3,0)</f>
        <v>#REF!</v>
      </c>
      <c r="S23" s="751">
        <f t="shared" ref="S23:S63" si="9">SUMIFS(H:H,$F:$F,$P23)</f>
        <v>0</v>
      </c>
      <c r="T23" s="751" t="e">
        <f t="shared" ref="T23:T63" si="10">S23-R23</f>
        <v>#REF!</v>
      </c>
      <c r="U23" s="754" t="e">
        <f>VLOOKUP($P23,#REF!,4,0)</f>
        <v>#REF!</v>
      </c>
      <c r="V23" s="751">
        <f t="shared" ref="V23:V63" si="11">SUMIFS(I:I,$F:$F,$P23)</f>
        <v>0</v>
      </c>
      <c r="W23" s="751" t="e">
        <f t="shared" ref="W23:W63" si="12">V23-U23</f>
        <v>#REF!</v>
      </c>
      <c r="X23" s="754" t="e">
        <f>VLOOKUP($P23,#REF!,5,0)</f>
        <v>#REF!</v>
      </c>
      <c r="Y23" s="751">
        <f t="shared" ref="Y23:Y63" si="13">SUMIFS(J:J,$F:$F,$P23)</f>
        <v>0</v>
      </c>
      <c r="Z23" s="751" t="e">
        <f t="shared" ref="Z23:Z63" si="14">Y23-X23</f>
        <v>#REF!</v>
      </c>
      <c r="AA23" s="754" t="e">
        <f>VLOOKUP($P23,#REF!,9,0)</f>
        <v>#REF!</v>
      </c>
      <c r="AB23" s="751">
        <f t="shared" ref="AB23:AB63" si="15">SUMIFS(K:K,$F:$F,$P23)</f>
        <v>0</v>
      </c>
      <c r="AC23" s="751" t="e">
        <f t="shared" ref="AC23:AC63" si="16">AB23-AA23</f>
        <v>#REF!</v>
      </c>
      <c r="AD23" s="754" t="e">
        <f>VLOOKUP($P23,#REF!,11,0)</f>
        <v>#REF!</v>
      </c>
      <c r="AE23" s="751">
        <f t="shared" ref="AE23:AE63" si="17">SUMIFS(L:L,$F:$F,$P23)</f>
        <v>0</v>
      </c>
      <c r="AF23" s="751" t="e">
        <f t="shared" ref="AF23:AF63" si="18">AE23-AD23</f>
        <v>#REF!</v>
      </c>
      <c r="AG23" s="754" t="e">
        <f>VLOOKUP($P23,#REF!,14,0)</f>
        <v>#REF!</v>
      </c>
      <c r="AH23" s="751">
        <f t="shared" ref="AH23:AH63" si="19">SUMIFS(M:M,$F:$F,$P23)</f>
        <v>0</v>
      </c>
      <c r="AI23" s="751" t="e">
        <f t="shared" ref="AI23:AI63" si="20">AH23-AG23</f>
        <v>#REF!</v>
      </c>
    </row>
    <row r="24" spans="2:35">
      <c r="B24" s="740"/>
      <c r="C24" s="740"/>
      <c r="D24" s="740"/>
      <c r="E24" s="740"/>
      <c r="F24" s="740"/>
      <c r="G24" s="740"/>
      <c r="H24" s="740"/>
      <c r="I24" s="740"/>
      <c r="J24" s="740"/>
      <c r="K24" s="740"/>
      <c r="L24" s="740"/>
      <c r="M24" s="740"/>
      <c r="O24" s="743" t="s">
        <v>346</v>
      </c>
      <c r="P24" s="744" t="s">
        <v>374</v>
      </c>
      <c r="Q24" s="744" t="s">
        <v>375</v>
      </c>
      <c r="R24" s="754" t="e">
        <f>VLOOKUP($P24,#REF!,3,0)</f>
        <v>#REF!</v>
      </c>
      <c r="S24" s="751">
        <f t="shared" si="9"/>
        <v>0</v>
      </c>
      <c r="T24" s="751" t="e">
        <f t="shared" si="10"/>
        <v>#REF!</v>
      </c>
      <c r="U24" s="754" t="e">
        <f>VLOOKUP($P24,#REF!,4,0)</f>
        <v>#REF!</v>
      </c>
      <c r="V24" s="751">
        <f t="shared" si="11"/>
        <v>0</v>
      </c>
      <c r="W24" s="751" t="e">
        <f t="shared" si="12"/>
        <v>#REF!</v>
      </c>
      <c r="X24" s="754" t="e">
        <f>VLOOKUP($P24,#REF!,5,0)</f>
        <v>#REF!</v>
      </c>
      <c r="Y24" s="751">
        <f t="shared" si="13"/>
        <v>0</v>
      </c>
      <c r="Z24" s="751" t="e">
        <f t="shared" si="14"/>
        <v>#REF!</v>
      </c>
      <c r="AA24" s="754" t="e">
        <f>VLOOKUP($P24,#REF!,9,0)</f>
        <v>#REF!</v>
      </c>
      <c r="AB24" s="751">
        <f t="shared" si="15"/>
        <v>0</v>
      </c>
      <c r="AC24" s="751" t="e">
        <f t="shared" si="16"/>
        <v>#REF!</v>
      </c>
      <c r="AD24" s="754" t="e">
        <f>VLOOKUP($P24,#REF!,11,0)</f>
        <v>#REF!</v>
      </c>
      <c r="AE24" s="751">
        <f t="shared" si="17"/>
        <v>0</v>
      </c>
      <c r="AF24" s="751" t="e">
        <f t="shared" si="18"/>
        <v>#REF!</v>
      </c>
      <c r="AG24" s="754" t="e">
        <f>VLOOKUP($P24,#REF!,14,0)</f>
        <v>#REF!</v>
      </c>
      <c r="AH24" s="751">
        <f t="shared" si="19"/>
        <v>0</v>
      </c>
      <c r="AI24" s="751" t="e">
        <f t="shared" si="20"/>
        <v>#REF!</v>
      </c>
    </row>
    <row r="25" spans="2:35">
      <c r="B25" s="740"/>
      <c r="C25" s="740"/>
      <c r="D25" s="740"/>
      <c r="E25" s="740"/>
      <c r="F25" s="740"/>
      <c r="G25" s="740"/>
      <c r="H25" s="740"/>
      <c r="I25" s="740"/>
      <c r="J25" s="740"/>
      <c r="K25" s="740"/>
      <c r="L25" s="740"/>
      <c r="M25" s="740"/>
      <c r="O25" s="743" t="s">
        <v>346</v>
      </c>
      <c r="P25" s="744" t="s">
        <v>377</v>
      </c>
      <c r="Q25" s="744" t="s">
        <v>378</v>
      </c>
      <c r="R25" s="754" t="e">
        <f>VLOOKUP($P25,#REF!,3,0)</f>
        <v>#REF!</v>
      </c>
      <c r="S25" s="751">
        <f t="shared" si="9"/>
        <v>0</v>
      </c>
      <c r="T25" s="751" t="e">
        <f t="shared" si="10"/>
        <v>#REF!</v>
      </c>
      <c r="U25" s="754" t="e">
        <f>VLOOKUP($P25,#REF!,4,0)</f>
        <v>#REF!</v>
      </c>
      <c r="V25" s="751">
        <f t="shared" si="11"/>
        <v>0</v>
      </c>
      <c r="W25" s="751" t="e">
        <f t="shared" si="12"/>
        <v>#REF!</v>
      </c>
      <c r="X25" s="754" t="e">
        <f>VLOOKUP($P25,#REF!,5,0)</f>
        <v>#REF!</v>
      </c>
      <c r="Y25" s="751">
        <f t="shared" si="13"/>
        <v>0</v>
      </c>
      <c r="Z25" s="751" t="e">
        <f t="shared" si="14"/>
        <v>#REF!</v>
      </c>
      <c r="AA25" s="754" t="e">
        <f>VLOOKUP($P25,#REF!,9,0)</f>
        <v>#REF!</v>
      </c>
      <c r="AB25" s="751">
        <f t="shared" si="15"/>
        <v>0</v>
      </c>
      <c r="AC25" s="751" t="e">
        <f t="shared" si="16"/>
        <v>#REF!</v>
      </c>
      <c r="AD25" s="754" t="e">
        <f>VLOOKUP($P25,#REF!,11,0)</f>
        <v>#REF!</v>
      </c>
      <c r="AE25" s="751">
        <f t="shared" si="17"/>
        <v>0</v>
      </c>
      <c r="AF25" s="751" t="e">
        <f t="shared" si="18"/>
        <v>#REF!</v>
      </c>
      <c r="AG25" s="754" t="e">
        <f>VLOOKUP($P25,#REF!,14,0)</f>
        <v>#REF!</v>
      </c>
      <c r="AH25" s="751">
        <f t="shared" si="19"/>
        <v>0</v>
      </c>
      <c r="AI25" s="751" t="e">
        <f t="shared" si="20"/>
        <v>#REF!</v>
      </c>
    </row>
    <row r="26" spans="2:35">
      <c r="B26" s="740"/>
      <c r="C26" s="740"/>
      <c r="D26" s="740"/>
      <c r="E26" s="740"/>
      <c r="F26" s="740"/>
      <c r="G26" s="740"/>
      <c r="H26" s="740"/>
      <c r="I26" s="740"/>
      <c r="J26" s="740"/>
      <c r="K26" s="740"/>
      <c r="L26" s="740"/>
      <c r="M26" s="740"/>
      <c r="O26" s="743" t="s">
        <v>346</v>
      </c>
      <c r="P26" s="744" t="s">
        <v>379</v>
      </c>
      <c r="Q26" s="744" t="s">
        <v>380</v>
      </c>
      <c r="R26" s="754" t="e">
        <f>VLOOKUP($P26,#REF!,3,0)</f>
        <v>#REF!</v>
      </c>
      <c r="S26" s="751">
        <f t="shared" si="9"/>
        <v>0</v>
      </c>
      <c r="T26" s="751" t="e">
        <f t="shared" si="10"/>
        <v>#REF!</v>
      </c>
      <c r="U26" s="754" t="e">
        <f>VLOOKUP($P26,#REF!,4,0)</f>
        <v>#REF!</v>
      </c>
      <c r="V26" s="751">
        <f t="shared" si="11"/>
        <v>0</v>
      </c>
      <c r="W26" s="751" t="e">
        <f t="shared" si="12"/>
        <v>#REF!</v>
      </c>
      <c r="X26" s="754" t="e">
        <f>VLOOKUP($P26,#REF!,5,0)</f>
        <v>#REF!</v>
      </c>
      <c r="Y26" s="751">
        <f t="shared" si="13"/>
        <v>0</v>
      </c>
      <c r="Z26" s="751" t="e">
        <f t="shared" si="14"/>
        <v>#REF!</v>
      </c>
      <c r="AA26" s="754" t="e">
        <f>VLOOKUP($P26,#REF!,9,0)</f>
        <v>#REF!</v>
      </c>
      <c r="AB26" s="751">
        <f t="shared" si="15"/>
        <v>0</v>
      </c>
      <c r="AC26" s="751" t="e">
        <f t="shared" si="16"/>
        <v>#REF!</v>
      </c>
      <c r="AD26" s="754" t="e">
        <f>VLOOKUP($P26,#REF!,11,0)</f>
        <v>#REF!</v>
      </c>
      <c r="AE26" s="751">
        <f t="shared" si="17"/>
        <v>0</v>
      </c>
      <c r="AF26" s="751" t="e">
        <f t="shared" si="18"/>
        <v>#REF!</v>
      </c>
      <c r="AG26" s="754" t="e">
        <f>VLOOKUP($P26,#REF!,14,0)</f>
        <v>#REF!</v>
      </c>
      <c r="AH26" s="751">
        <f t="shared" si="19"/>
        <v>0</v>
      </c>
      <c r="AI26" s="751" t="e">
        <f t="shared" si="20"/>
        <v>#REF!</v>
      </c>
    </row>
    <row r="27" spans="2:35">
      <c r="B27" s="740"/>
      <c r="C27" s="740"/>
      <c r="D27" s="740"/>
      <c r="E27" s="740"/>
      <c r="F27" s="740"/>
      <c r="G27" s="740"/>
      <c r="H27" s="740"/>
      <c r="I27" s="740"/>
      <c r="J27" s="740"/>
      <c r="K27" s="740"/>
      <c r="L27" s="740"/>
      <c r="M27" s="740"/>
      <c r="O27" s="743" t="s">
        <v>346</v>
      </c>
      <c r="P27" s="744" t="s">
        <v>381</v>
      </c>
      <c r="Q27" s="744" t="s">
        <v>382</v>
      </c>
      <c r="R27" s="754" t="e">
        <f>VLOOKUP($P27,#REF!,3,0)</f>
        <v>#REF!</v>
      </c>
      <c r="S27" s="751">
        <f t="shared" si="9"/>
        <v>0</v>
      </c>
      <c r="T27" s="751" t="e">
        <f t="shared" si="10"/>
        <v>#REF!</v>
      </c>
      <c r="U27" s="754" t="e">
        <f>VLOOKUP($P27,#REF!,4,0)</f>
        <v>#REF!</v>
      </c>
      <c r="V27" s="751">
        <f t="shared" si="11"/>
        <v>0</v>
      </c>
      <c r="W27" s="751" t="e">
        <f t="shared" si="12"/>
        <v>#REF!</v>
      </c>
      <c r="X27" s="754" t="e">
        <f>VLOOKUP($P27,#REF!,5,0)</f>
        <v>#REF!</v>
      </c>
      <c r="Y27" s="751">
        <f t="shared" si="13"/>
        <v>0</v>
      </c>
      <c r="Z27" s="751" t="e">
        <f t="shared" si="14"/>
        <v>#REF!</v>
      </c>
      <c r="AA27" s="754" t="e">
        <f>VLOOKUP($P27,#REF!,9,0)</f>
        <v>#REF!</v>
      </c>
      <c r="AB27" s="751">
        <f t="shared" si="15"/>
        <v>0</v>
      </c>
      <c r="AC27" s="751" t="e">
        <f t="shared" si="16"/>
        <v>#REF!</v>
      </c>
      <c r="AD27" s="754" t="e">
        <f>VLOOKUP($P27,#REF!,11,0)</f>
        <v>#REF!</v>
      </c>
      <c r="AE27" s="751">
        <f t="shared" si="17"/>
        <v>0</v>
      </c>
      <c r="AF27" s="751" t="e">
        <f t="shared" si="18"/>
        <v>#REF!</v>
      </c>
      <c r="AG27" s="754" t="e">
        <f>VLOOKUP($P27,#REF!,14,0)</f>
        <v>#REF!</v>
      </c>
      <c r="AH27" s="751">
        <f t="shared" si="19"/>
        <v>0</v>
      </c>
      <c r="AI27" s="751" t="e">
        <f t="shared" si="20"/>
        <v>#REF!</v>
      </c>
    </row>
    <row r="28" spans="2:35">
      <c r="B28" s="740"/>
      <c r="C28" s="740"/>
      <c r="D28" s="740"/>
      <c r="E28" s="740"/>
      <c r="F28" s="740"/>
      <c r="G28" s="740"/>
      <c r="H28" s="740"/>
      <c r="I28" s="740"/>
      <c r="J28" s="740"/>
      <c r="K28" s="740"/>
      <c r="L28" s="740"/>
      <c r="M28" s="740"/>
      <c r="O28" s="743" t="s">
        <v>357</v>
      </c>
      <c r="P28" s="744" t="s">
        <v>383</v>
      </c>
      <c r="Q28" s="744" t="s">
        <v>384</v>
      </c>
      <c r="R28" s="754" t="e">
        <f>VLOOKUP($P28,#REF!,3,0)</f>
        <v>#REF!</v>
      </c>
      <c r="S28" s="751">
        <f t="shared" si="9"/>
        <v>0</v>
      </c>
      <c r="T28" s="751" t="e">
        <f t="shared" si="10"/>
        <v>#REF!</v>
      </c>
      <c r="U28" s="754" t="e">
        <f>VLOOKUP($P28,#REF!,4,0)</f>
        <v>#REF!</v>
      </c>
      <c r="V28" s="751">
        <f t="shared" si="11"/>
        <v>0</v>
      </c>
      <c r="W28" s="751" t="e">
        <f t="shared" si="12"/>
        <v>#REF!</v>
      </c>
      <c r="X28" s="754" t="e">
        <f>VLOOKUP($P28,#REF!,5,0)</f>
        <v>#REF!</v>
      </c>
      <c r="Y28" s="751">
        <f t="shared" si="13"/>
        <v>0</v>
      </c>
      <c r="Z28" s="751" t="e">
        <f t="shared" si="14"/>
        <v>#REF!</v>
      </c>
      <c r="AA28" s="754" t="e">
        <f>VLOOKUP($P28,#REF!,9,0)</f>
        <v>#REF!</v>
      </c>
      <c r="AB28" s="751">
        <f t="shared" si="15"/>
        <v>0</v>
      </c>
      <c r="AC28" s="751" t="e">
        <f t="shared" si="16"/>
        <v>#REF!</v>
      </c>
      <c r="AD28" s="754" t="e">
        <f>VLOOKUP($P28,#REF!,11,0)</f>
        <v>#REF!</v>
      </c>
      <c r="AE28" s="751">
        <f t="shared" si="17"/>
        <v>0</v>
      </c>
      <c r="AF28" s="751" t="e">
        <f t="shared" si="18"/>
        <v>#REF!</v>
      </c>
      <c r="AG28" s="754" t="e">
        <f>VLOOKUP($P28,#REF!,14,0)</f>
        <v>#REF!</v>
      </c>
      <c r="AH28" s="751">
        <f t="shared" si="19"/>
        <v>0</v>
      </c>
      <c r="AI28" s="751" t="e">
        <f t="shared" si="20"/>
        <v>#REF!</v>
      </c>
    </row>
    <row r="29" spans="2:35">
      <c r="B29" s="740"/>
      <c r="C29" s="740"/>
      <c r="D29" s="740"/>
      <c r="E29" s="740"/>
      <c r="F29" s="740"/>
      <c r="G29" s="740"/>
      <c r="H29" s="740"/>
      <c r="I29" s="740"/>
      <c r="J29" s="740"/>
      <c r="K29" s="740"/>
      <c r="L29" s="740"/>
      <c r="M29" s="740"/>
      <c r="O29" s="743" t="s">
        <v>357</v>
      </c>
      <c r="P29" s="744" t="s">
        <v>385</v>
      </c>
      <c r="Q29" s="744" t="s">
        <v>386</v>
      </c>
      <c r="R29" s="754" t="e">
        <f>VLOOKUP($P29,#REF!,3,0)</f>
        <v>#REF!</v>
      </c>
      <c r="S29" s="751">
        <f t="shared" si="9"/>
        <v>0</v>
      </c>
      <c r="T29" s="751" t="e">
        <f t="shared" si="10"/>
        <v>#REF!</v>
      </c>
      <c r="U29" s="754" t="e">
        <f>VLOOKUP($P29,#REF!,4,0)</f>
        <v>#REF!</v>
      </c>
      <c r="V29" s="751">
        <f t="shared" si="11"/>
        <v>0</v>
      </c>
      <c r="W29" s="751" t="e">
        <f t="shared" si="12"/>
        <v>#REF!</v>
      </c>
      <c r="X29" s="754" t="e">
        <f>VLOOKUP($P29,#REF!,5,0)</f>
        <v>#REF!</v>
      </c>
      <c r="Y29" s="751">
        <f t="shared" si="13"/>
        <v>0</v>
      </c>
      <c r="Z29" s="751" t="e">
        <f t="shared" si="14"/>
        <v>#REF!</v>
      </c>
      <c r="AA29" s="754" t="e">
        <f>VLOOKUP($P29,#REF!,9,0)</f>
        <v>#REF!</v>
      </c>
      <c r="AB29" s="751">
        <f t="shared" si="15"/>
        <v>0</v>
      </c>
      <c r="AC29" s="751" t="e">
        <f t="shared" si="16"/>
        <v>#REF!</v>
      </c>
      <c r="AD29" s="754" t="e">
        <f>VLOOKUP($P29,#REF!,11,0)</f>
        <v>#REF!</v>
      </c>
      <c r="AE29" s="751">
        <f t="shared" si="17"/>
        <v>0</v>
      </c>
      <c r="AF29" s="751" t="e">
        <f t="shared" si="18"/>
        <v>#REF!</v>
      </c>
      <c r="AG29" s="754" t="e">
        <f>VLOOKUP($P29,#REF!,14,0)</f>
        <v>#REF!</v>
      </c>
      <c r="AH29" s="751">
        <f t="shared" si="19"/>
        <v>0</v>
      </c>
      <c r="AI29" s="751" t="e">
        <f t="shared" si="20"/>
        <v>#REF!</v>
      </c>
    </row>
    <row r="30" spans="2:35">
      <c r="B30" s="740"/>
      <c r="C30" s="740"/>
      <c r="D30" s="740"/>
      <c r="E30" s="740"/>
      <c r="F30" s="740"/>
      <c r="G30" s="740"/>
      <c r="H30" s="740"/>
      <c r="I30" s="740"/>
      <c r="J30" s="740"/>
      <c r="K30" s="740"/>
      <c r="L30" s="740"/>
      <c r="M30" s="740"/>
      <c r="O30" s="743" t="s">
        <v>357</v>
      </c>
      <c r="P30" s="744" t="s">
        <v>387</v>
      </c>
      <c r="Q30" s="744" t="s">
        <v>388</v>
      </c>
      <c r="R30" s="754" t="e">
        <f>VLOOKUP($P30,#REF!,3,0)</f>
        <v>#REF!</v>
      </c>
      <c r="S30" s="751">
        <f t="shared" si="9"/>
        <v>0</v>
      </c>
      <c r="T30" s="751" t="e">
        <f t="shared" si="10"/>
        <v>#REF!</v>
      </c>
      <c r="U30" s="754" t="e">
        <f>VLOOKUP($P30,#REF!,4,0)</f>
        <v>#REF!</v>
      </c>
      <c r="V30" s="751">
        <f t="shared" si="11"/>
        <v>0</v>
      </c>
      <c r="W30" s="751" t="e">
        <f t="shared" si="12"/>
        <v>#REF!</v>
      </c>
      <c r="X30" s="754" t="e">
        <f>VLOOKUP($P30,#REF!,5,0)</f>
        <v>#REF!</v>
      </c>
      <c r="Y30" s="751">
        <f t="shared" si="13"/>
        <v>0</v>
      </c>
      <c r="Z30" s="751" t="e">
        <f t="shared" si="14"/>
        <v>#REF!</v>
      </c>
      <c r="AA30" s="754" t="e">
        <f>VLOOKUP($P30,#REF!,9,0)</f>
        <v>#REF!</v>
      </c>
      <c r="AB30" s="751">
        <f t="shared" si="15"/>
        <v>0</v>
      </c>
      <c r="AC30" s="751" t="e">
        <f t="shared" si="16"/>
        <v>#REF!</v>
      </c>
      <c r="AD30" s="754" t="e">
        <f>VLOOKUP($P30,#REF!,11,0)</f>
        <v>#REF!</v>
      </c>
      <c r="AE30" s="751">
        <f t="shared" si="17"/>
        <v>0</v>
      </c>
      <c r="AF30" s="751" t="e">
        <f t="shared" si="18"/>
        <v>#REF!</v>
      </c>
      <c r="AG30" s="754" t="e">
        <f>VLOOKUP($P30,#REF!,14,0)</f>
        <v>#REF!</v>
      </c>
      <c r="AH30" s="751">
        <f t="shared" si="19"/>
        <v>0</v>
      </c>
      <c r="AI30" s="751" t="e">
        <f t="shared" si="20"/>
        <v>#REF!</v>
      </c>
    </row>
    <row r="31" spans="2:35">
      <c r="B31" s="740"/>
      <c r="C31" s="740"/>
      <c r="D31" s="740"/>
      <c r="E31" s="740"/>
      <c r="F31" s="740"/>
      <c r="G31" s="740"/>
      <c r="H31" s="740"/>
      <c r="I31" s="740"/>
      <c r="J31" s="740"/>
      <c r="K31" s="740"/>
      <c r="L31" s="740"/>
      <c r="M31" s="740"/>
      <c r="O31" s="743" t="s">
        <v>348</v>
      </c>
      <c r="P31" s="744" t="s">
        <v>389</v>
      </c>
      <c r="Q31" s="744" t="s">
        <v>348</v>
      </c>
      <c r="R31" s="754" t="e">
        <f>VLOOKUP($P31,#REF!,3,0)</f>
        <v>#REF!</v>
      </c>
      <c r="S31" s="751">
        <f t="shared" si="9"/>
        <v>0</v>
      </c>
      <c r="T31" s="751" t="e">
        <f t="shared" si="10"/>
        <v>#REF!</v>
      </c>
      <c r="U31" s="754" t="e">
        <f>VLOOKUP($P31,#REF!,4,0)</f>
        <v>#REF!</v>
      </c>
      <c r="V31" s="751">
        <f t="shared" si="11"/>
        <v>0</v>
      </c>
      <c r="W31" s="751" t="e">
        <f t="shared" si="12"/>
        <v>#REF!</v>
      </c>
      <c r="X31" s="754" t="e">
        <f>VLOOKUP($P31,#REF!,5,0)</f>
        <v>#REF!</v>
      </c>
      <c r="Y31" s="751">
        <f t="shared" si="13"/>
        <v>0</v>
      </c>
      <c r="Z31" s="751" t="e">
        <f t="shared" si="14"/>
        <v>#REF!</v>
      </c>
      <c r="AA31" s="754" t="e">
        <f>VLOOKUP($P31,#REF!,9,0)</f>
        <v>#REF!</v>
      </c>
      <c r="AB31" s="751">
        <f t="shared" si="15"/>
        <v>0</v>
      </c>
      <c r="AC31" s="751" t="e">
        <f t="shared" si="16"/>
        <v>#REF!</v>
      </c>
      <c r="AD31" s="754" t="e">
        <f>VLOOKUP($P31,#REF!,11,0)</f>
        <v>#REF!</v>
      </c>
      <c r="AE31" s="751">
        <f t="shared" si="17"/>
        <v>0</v>
      </c>
      <c r="AF31" s="751" t="e">
        <f t="shared" si="18"/>
        <v>#REF!</v>
      </c>
      <c r="AG31" s="754" t="e">
        <f>VLOOKUP($P31,#REF!,14,0)</f>
        <v>#REF!</v>
      </c>
      <c r="AH31" s="751">
        <f t="shared" si="19"/>
        <v>0</v>
      </c>
      <c r="AI31" s="751" t="e">
        <f t="shared" si="20"/>
        <v>#REF!</v>
      </c>
    </row>
    <row r="32" spans="2:35">
      <c r="B32" s="740"/>
      <c r="C32" s="740"/>
      <c r="D32" s="740"/>
      <c r="E32" s="740"/>
      <c r="F32" s="740"/>
      <c r="G32" s="740"/>
      <c r="H32" s="740"/>
      <c r="I32" s="740"/>
      <c r="J32" s="740"/>
      <c r="K32" s="740"/>
      <c r="L32" s="740"/>
      <c r="M32" s="740"/>
      <c r="O32" s="794" t="s">
        <v>348</v>
      </c>
      <c r="P32" s="744" t="s">
        <v>392</v>
      </c>
      <c r="Q32" s="744" t="s">
        <v>393</v>
      </c>
      <c r="R32" s="754" t="e">
        <f>VLOOKUP($P32,#REF!,3,0)</f>
        <v>#REF!</v>
      </c>
      <c r="S32" s="751">
        <f t="shared" si="9"/>
        <v>0</v>
      </c>
      <c r="T32" s="751" t="e">
        <f t="shared" si="10"/>
        <v>#REF!</v>
      </c>
      <c r="U32" s="754" t="e">
        <f>VLOOKUP($P32,#REF!,4,0)</f>
        <v>#REF!</v>
      </c>
      <c r="V32" s="751">
        <f t="shared" si="11"/>
        <v>0</v>
      </c>
      <c r="W32" s="751" t="e">
        <f t="shared" si="12"/>
        <v>#REF!</v>
      </c>
      <c r="X32" s="754" t="e">
        <f>VLOOKUP($P32,#REF!,5,0)</f>
        <v>#REF!</v>
      </c>
      <c r="Y32" s="751">
        <f t="shared" si="13"/>
        <v>0</v>
      </c>
      <c r="Z32" s="751" t="e">
        <f t="shared" si="14"/>
        <v>#REF!</v>
      </c>
      <c r="AA32" s="754" t="e">
        <f>VLOOKUP($P32,#REF!,9,0)</f>
        <v>#REF!</v>
      </c>
      <c r="AB32" s="751">
        <f t="shared" si="15"/>
        <v>0</v>
      </c>
      <c r="AC32" s="751" t="e">
        <f t="shared" si="16"/>
        <v>#REF!</v>
      </c>
      <c r="AD32" s="754" t="e">
        <f>VLOOKUP($P32,#REF!,11,0)</f>
        <v>#REF!</v>
      </c>
      <c r="AE32" s="751">
        <f t="shared" si="17"/>
        <v>0</v>
      </c>
      <c r="AF32" s="751" t="e">
        <f t="shared" si="18"/>
        <v>#REF!</v>
      </c>
      <c r="AG32" s="754" t="e">
        <f>VLOOKUP($P32,#REF!,14,0)</f>
        <v>#REF!</v>
      </c>
      <c r="AH32" s="751">
        <f t="shared" si="19"/>
        <v>0</v>
      </c>
      <c r="AI32" s="751" t="e">
        <f t="shared" si="20"/>
        <v>#REF!</v>
      </c>
    </row>
    <row r="33" spans="2:35">
      <c r="B33" s="740"/>
      <c r="C33" s="740"/>
      <c r="D33" s="740"/>
      <c r="E33" s="740"/>
      <c r="F33" s="740"/>
      <c r="G33" s="740"/>
      <c r="H33" s="740"/>
      <c r="I33" s="740"/>
      <c r="J33" s="740"/>
      <c r="K33" s="740"/>
      <c r="L33" s="740"/>
      <c r="M33" s="740"/>
      <c r="O33" s="794" t="s">
        <v>348</v>
      </c>
      <c r="P33" s="744" t="s">
        <v>397</v>
      </c>
      <c r="Q33" s="744" t="s">
        <v>671</v>
      </c>
      <c r="R33" s="754" t="e">
        <f>VLOOKUP($P33,#REF!,3,0)</f>
        <v>#REF!</v>
      </c>
      <c r="S33" s="751">
        <f t="shared" si="9"/>
        <v>0</v>
      </c>
      <c r="T33" s="751" t="e">
        <f t="shared" si="10"/>
        <v>#REF!</v>
      </c>
      <c r="U33" s="754" t="e">
        <f>VLOOKUP($P33,#REF!,4,0)</f>
        <v>#REF!</v>
      </c>
      <c r="V33" s="751">
        <f t="shared" si="11"/>
        <v>0</v>
      </c>
      <c r="W33" s="751" t="e">
        <f t="shared" si="12"/>
        <v>#REF!</v>
      </c>
      <c r="X33" s="754" t="e">
        <f>VLOOKUP($P33,#REF!,5,0)</f>
        <v>#REF!</v>
      </c>
      <c r="Y33" s="751">
        <f t="shared" si="13"/>
        <v>0</v>
      </c>
      <c r="Z33" s="751" t="e">
        <f t="shared" si="14"/>
        <v>#REF!</v>
      </c>
      <c r="AA33" s="754" t="e">
        <f>VLOOKUP($P33,#REF!,9,0)</f>
        <v>#REF!</v>
      </c>
      <c r="AB33" s="751">
        <f t="shared" si="15"/>
        <v>0</v>
      </c>
      <c r="AC33" s="751" t="e">
        <f t="shared" si="16"/>
        <v>#REF!</v>
      </c>
      <c r="AD33" s="754" t="e">
        <f>VLOOKUP($P33,#REF!,11,0)</f>
        <v>#REF!</v>
      </c>
      <c r="AE33" s="751">
        <f t="shared" si="17"/>
        <v>0</v>
      </c>
      <c r="AF33" s="751" t="e">
        <f t="shared" si="18"/>
        <v>#REF!</v>
      </c>
      <c r="AG33" s="754" t="e">
        <f>VLOOKUP($P33,#REF!,14,0)</f>
        <v>#REF!</v>
      </c>
      <c r="AH33" s="751">
        <f t="shared" si="19"/>
        <v>0</v>
      </c>
      <c r="AI33" s="751" t="e">
        <f t="shared" si="20"/>
        <v>#REF!</v>
      </c>
    </row>
    <row r="34" spans="2:35">
      <c r="B34" s="740"/>
      <c r="C34" s="740"/>
      <c r="D34" s="740"/>
      <c r="E34" s="740"/>
      <c r="F34" s="740"/>
      <c r="G34" s="740"/>
      <c r="H34" s="740"/>
      <c r="I34" s="740"/>
      <c r="J34" s="740"/>
      <c r="K34" s="740"/>
      <c r="L34" s="740"/>
      <c r="M34" s="740"/>
      <c r="O34" s="794" t="s">
        <v>348</v>
      </c>
      <c r="P34" s="744" t="s">
        <v>399</v>
      </c>
      <c r="Q34" s="744" t="s">
        <v>400</v>
      </c>
      <c r="R34" s="754" t="e">
        <f>VLOOKUP($P34,#REF!,3,0)</f>
        <v>#REF!</v>
      </c>
      <c r="S34" s="751">
        <f t="shared" si="9"/>
        <v>0</v>
      </c>
      <c r="T34" s="751" t="e">
        <f t="shared" si="10"/>
        <v>#REF!</v>
      </c>
      <c r="U34" s="754" t="e">
        <f>VLOOKUP($P34,#REF!,4,0)</f>
        <v>#REF!</v>
      </c>
      <c r="V34" s="751">
        <f t="shared" si="11"/>
        <v>0</v>
      </c>
      <c r="W34" s="751" t="e">
        <f t="shared" si="12"/>
        <v>#REF!</v>
      </c>
      <c r="X34" s="754" t="e">
        <f>VLOOKUP($P34,#REF!,5,0)</f>
        <v>#REF!</v>
      </c>
      <c r="Y34" s="751">
        <f t="shared" si="13"/>
        <v>0</v>
      </c>
      <c r="Z34" s="751" t="e">
        <f t="shared" si="14"/>
        <v>#REF!</v>
      </c>
      <c r="AA34" s="754" t="e">
        <f>VLOOKUP($P34,#REF!,9,0)</f>
        <v>#REF!</v>
      </c>
      <c r="AB34" s="751">
        <f t="shared" si="15"/>
        <v>0</v>
      </c>
      <c r="AC34" s="751" t="e">
        <f t="shared" si="16"/>
        <v>#REF!</v>
      </c>
      <c r="AD34" s="754" t="e">
        <f>VLOOKUP($P34,#REF!,11,0)</f>
        <v>#REF!</v>
      </c>
      <c r="AE34" s="751">
        <f t="shared" si="17"/>
        <v>0</v>
      </c>
      <c r="AF34" s="751" t="e">
        <f t="shared" si="18"/>
        <v>#REF!</v>
      </c>
      <c r="AG34" s="754" t="e">
        <f>VLOOKUP($P34,#REF!,14,0)</f>
        <v>#REF!</v>
      </c>
      <c r="AH34" s="751">
        <f t="shared" si="19"/>
        <v>0</v>
      </c>
      <c r="AI34" s="751" t="e">
        <f t="shared" si="20"/>
        <v>#REF!</v>
      </c>
    </row>
    <row r="35" spans="2:35">
      <c r="B35" s="740"/>
      <c r="C35" s="740"/>
      <c r="D35" s="740"/>
      <c r="E35" s="740"/>
      <c r="F35" s="740"/>
      <c r="G35" s="740"/>
      <c r="H35" s="740"/>
      <c r="I35" s="740"/>
      <c r="J35" s="740"/>
      <c r="K35" s="740"/>
      <c r="L35" s="740"/>
      <c r="M35" s="740"/>
      <c r="O35" s="794" t="s">
        <v>348</v>
      </c>
      <c r="P35" s="744" t="s">
        <v>401</v>
      </c>
      <c r="Q35" s="744" t="s">
        <v>402</v>
      </c>
      <c r="R35" s="754" t="e">
        <f>VLOOKUP($P35,#REF!,3,0)</f>
        <v>#REF!</v>
      </c>
      <c r="S35" s="751">
        <f t="shared" si="9"/>
        <v>0</v>
      </c>
      <c r="T35" s="751" t="e">
        <f t="shared" si="10"/>
        <v>#REF!</v>
      </c>
      <c r="U35" s="754" t="e">
        <f>VLOOKUP($P35,#REF!,4,0)</f>
        <v>#REF!</v>
      </c>
      <c r="V35" s="751">
        <f t="shared" si="11"/>
        <v>0</v>
      </c>
      <c r="W35" s="751" t="e">
        <f t="shared" si="12"/>
        <v>#REF!</v>
      </c>
      <c r="X35" s="754" t="e">
        <f>VLOOKUP($P35,#REF!,5,0)</f>
        <v>#REF!</v>
      </c>
      <c r="Y35" s="751">
        <f t="shared" si="13"/>
        <v>0</v>
      </c>
      <c r="Z35" s="751" t="e">
        <f t="shared" si="14"/>
        <v>#REF!</v>
      </c>
      <c r="AA35" s="754" t="e">
        <f>VLOOKUP($P35,#REF!,9,0)</f>
        <v>#REF!</v>
      </c>
      <c r="AB35" s="751">
        <f t="shared" si="15"/>
        <v>0</v>
      </c>
      <c r="AC35" s="751" t="e">
        <f t="shared" si="16"/>
        <v>#REF!</v>
      </c>
      <c r="AD35" s="754" t="e">
        <f>VLOOKUP($P35,#REF!,11,0)</f>
        <v>#REF!</v>
      </c>
      <c r="AE35" s="751">
        <f t="shared" si="17"/>
        <v>0</v>
      </c>
      <c r="AF35" s="751" t="e">
        <f t="shared" si="18"/>
        <v>#REF!</v>
      </c>
      <c r="AG35" s="754" t="e">
        <f>VLOOKUP($P35,#REF!,14,0)</f>
        <v>#REF!</v>
      </c>
      <c r="AH35" s="751">
        <f t="shared" si="19"/>
        <v>0</v>
      </c>
      <c r="AI35" s="751" t="e">
        <f t="shared" si="20"/>
        <v>#REF!</v>
      </c>
    </row>
    <row r="36" spans="2:35">
      <c r="B36" s="740"/>
      <c r="C36" s="740"/>
      <c r="D36" s="740"/>
      <c r="E36" s="740"/>
      <c r="F36" s="740"/>
      <c r="G36" s="740"/>
      <c r="H36" s="740"/>
      <c r="I36" s="740"/>
      <c r="J36" s="740"/>
      <c r="K36" s="740"/>
      <c r="L36" s="740"/>
      <c r="M36" s="740"/>
      <c r="O36" s="794" t="s">
        <v>348</v>
      </c>
      <c r="P36" s="744" t="s">
        <v>403</v>
      </c>
      <c r="Q36" s="744" t="s">
        <v>404</v>
      </c>
      <c r="R36" s="754" t="e">
        <f>VLOOKUP($P36,#REF!,3,0)</f>
        <v>#REF!</v>
      </c>
      <c r="S36" s="751">
        <f t="shared" si="9"/>
        <v>0</v>
      </c>
      <c r="T36" s="751" t="e">
        <f t="shared" si="10"/>
        <v>#REF!</v>
      </c>
      <c r="U36" s="754" t="e">
        <f>VLOOKUP($P36,#REF!,4,0)</f>
        <v>#REF!</v>
      </c>
      <c r="V36" s="751">
        <f t="shared" si="11"/>
        <v>0</v>
      </c>
      <c r="W36" s="751" t="e">
        <f t="shared" si="12"/>
        <v>#REF!</v>
      </c>
      <c r="X36" s="754" t="e">
        <f>VLOOKUP($P36,#REF!,5,0)</f>
        <v>#REF!</v>
      </c>
      <c r="Y36" s="751">
        <f t="shared" si="13"/>
        <v>0</v>
      </c>
      <c r="Z36" s="751" t="e">
        <f t="shared" si="14"/>
        <v>#REF!</v>
      </c>
      <c r="AA36" s="754" t="e">
        <f>VLOOKUP($P36,#REF!,9,0)</f>
        <v>#REF!</v>
      </c>
      <c r="AB36" s="751">
        <f t="shared" si="15"/>
        <v>0</v>
      </c>
      <c r="AC36" s="751" t="e">
        <f t="shared" si="16"/>
        <v>#REF!</v>
      </c>
      <c r="AD36" s="754" t="e">
        <f>VLOOKUP($P36,#REF!,11,0)</f>
        <v>#REF!</v>
      </c>
      <c r="AE36" s="751">
        <f t="shared" si="17"/>
        <v>0</v>
      </c>
      <c r="AF36" s="751" t="e">
        <f t="shared" si="18"/>
        <v>#REF!</v>
      </c>
      <c r="AG36" s="754" t="e">
        <f>VLOOKUP($P36,#REF!,14,0)</f>
        <v>#REF!</v>
      </c>
      <c r="AH36" s="751">
        <f t="shared" si="19"/>
        <v>0</v>
      </c>
      <c r="AI36" s="751" t="e">
        <f t="shared" si="20"/>
        <v>#REF!</v>
      </c>
    </row>
    <row r="37" spans="2:35">
      <c r="B37" s="740"/>
      <c r="C37" s="740"/>
      <c r="D37" s="740"/>
      <c r="E37" s="740"/>
      <c r="F37" s="740"/>
      <c r="G37" s="740"/>
      <c r="H37" s="740"/>
      <c r="I37" s="740"/>
      <c r="J37" s="740"/>
      <c r="K37" s="740"/>
      <c r="L37" s="740"/>
      <c r="M37" s="740"/>
      <c r="O37" s="743" t="s">
        <v>406</v>
      </c>
      <c r="P37" s="744" t="s">
        <v>405</v>
      </c>
      <c r="Q37" s="744" t="s">
        <v>406</v>
      </c>
      <c r="R37" s="754" t="e">
        <f>VLOOKUP($P37,#REF!,3,0)</f>
        <v>#REF!</v>
      </c>
      <c r="S37" s="751">
        <f t="shared" si="9"/>
        <v>0</v>
      </c>
      <c r="T37" s="751" t="e">
        <f t="shared" si="10"/>
        <v>#REF!</v>
      </c>
      <c r="U37" s="754" t="e">
        <f>VLOOKUP($P37,#REF!,4,0)</f>
        <v>#REF!</v>
      </c>
      <c r="V37" s="751">
        <f t="shared" si="11"/>
        <v>0</v>
      </c>
      <c r="W37" s="751" t="e">
        <f t="shared" si="12"/>
        <v>#REF!</v>
      </c>
      <c r="X37" s="754" t="e">
        <f>VLOOKUP($P37,#REF!,5,0)</f>
        <v>#REF!</v>
      </c>
      <c r="Y37" s="751">
        <f t="shared" si="13"/>
        <v>0</v>
      </c>
      <c r="Z37" s="751" t="e">
        <f t="shared" si="14"/>
        <v>#REF!</v>
      </c>
      <c r="AA37" s="754" t="e">
        <f>VLOOKUP($P37,#REF!,9,0)</f>
        <v>#REF!</v>
      </c>
      <c r="AB37" s="751">
        <f t="shared" si="15"/>
        <v>0</v>
      </c>
      <c r="AC37" s="751" t="e">
        <f t="shared" si="16"/>
        <v>#REF!</v>
      </c>
      <c r="AD37" s="754" t="e">
        <f>VLOOKUP($P37,#REF!,11,0)</f>
        <v>#REF!</v>
      </c>
      <c r="AE37" s="751">
        <f t="shared" si="17"/>
        <v>0</v>
      </c>
      <c r="AF37" s="751" t="e">
        <f t="shared" si="18"/>
        <v>#REF!</v>
      </c>
      <c r="AG37" s="754" t="e">
        <f>VLOOKUP($P37,#REF!,14,0)</f>
        <v>#REF!</v>
      </c>
      <c r="AH37" s="751">
        <f t="shared" si="19"/>
        <v>0</v>
      </c>
      <c r="AI37" s="751" t="e">
        <f t="shared" si="20"/>
        <v>#REF!</v>
      </c>
    </row>
    <row r="38" spans="2:35">
      <c r="B38" s="740"/>
      <c r="C38" s="740"/>
      <c r="D38" s="740"/>
      <c r="E38" s="740"/>
      <c r="F38" s="740"/>
      <c r="G38" s="740"/>
      <c r="H38" s="740"/>
      <c r="I38" s="740"/>
      <c r="J38" s="740"/>
      <c r="K38" s="740"/>
      <c r="L38" s="740"/>
      <c r="M38" s="740"/>
      <c r="O38" s="743" t="s">
        <v>406</v>
      </c>
      <c r="P38" s="744" t="s">
        <v>407</v>
      </c>
      <c r="Q38" s="744" t="s">
        <v>408</v>
      </c>
      <c r="R38" s="754" t="e">
        <f>VLOOKUP($P38,#REF!,3,0)</f>
        <v>#REF!</v>
      </c>
      <c r="S38" s="751">
        <f t="shared" si="9"/>
        <v>0</v>
      </c>
      <c r="T38" s="751" t="e">
        <f t="shared" si="10"/>
        <v>#REF!</v>
      </c>
      <c r="U38" s="754" t="e">
        <f>VLOOKUP($P38,#REF!,4,0)</f>
        <v>#REF!</v>
      </c>
      <c r="V38" s="751">
        <f t="shared" si="11"/>
        <v>0</v>
      </c>
      <c r="W38" s="751" t="e">
        <f t="shared" si="12"/>
        <v>#REF!</v>
      </c>
      <c r="X38" s="754" t="e">
        <f>VLOOKUP($P38,#REF!,5,0)</f>
        <v>#REF!</v>
      </c>
      <c r="Y38" s="751">
        <f t="shared" si="13"/>
        <v>0</v>
      </c>
      <c r="Z38" s="751" t="e">
        <f t="shared" si="14"/>
        <v>#REF!</v>
      </c>
      <c r="AA38" s="754" t="e">
        <f>VLOOKUP($P38,#REF!,9,0)</f>
        <v>#REF!</v>
      </c>
      <c r="AB38" s="751">
        <f t="shared" si="15"/>
        <v>0</v>
      </c>
      <c r="AC38" s="751" t="e">
        <f t="shared" si="16"/>
        <v>#REF!</v>
      </c>
      <c r="AD38" s="754" t="e">
        <f>VLOOKUP($P38,#REF!,11,0)</f>
        <v>#REF!</v>
      </c>
      <c r="AE38" s="751">
        <f t="shared" si="17"/>
        <v>0</v>
      </c>
      <c r="AF38" s="751" t="e">
        <f t="shared" si="18"/>
        <v>#REF!</v>
      </c>
      <c r="AG38" s="754" t="e">
        <f>VLOOKUP($P38,#REF!,14,0)</f>
        <v>#REF!</v>
      </c>
      <c r="AH38" s="751">
        <f t="shared" si="19"/>
        <v>0</v>
      </c>
      <c r="AI38" s="751" t="e">
        <f t="shared" si="20"/>
        <v>#REF!</v>
      </c>
    </row>
    <row r="39" spans="2:35">
      <c r="B39" s="740"/>
      <c r="C39" s="740"/>
      <c r="D39" s="740"/>
      <c r="E39" s="740"/>
      <c r="F39" s="740"/>
      <c r="G39" s="740"/>
      <c r="H39" s="740"/>
      <c r="I39" s="740"/>
      <c r="J39" s="740"/>
      <c r="K39" s="740"/>
      <c r="L39" s="740"/>
      <c r="M39" s="740"/>
      <c r="O39" s="743" t="s">
        <v>406</v>
      </c>
      <c r="P39" s="744" t="s">
        <v>413</v>
      </c>
      <c r="Q39" s="744" t="s">
        <v>414</v>
      </c>
      <c r="R39" s="754" t="e">
        <f>VLOOKUP($P39,#REF!,3,0)</f>
        <v>#REF!</v>
      </c>
      <c r="S39" s="751">
        <f t="shared" si="9"/>
        <v>0</v>
      </c>
      <c r="T39" s="751" t="e">
        <f t="shared" si="10"/>
        <v>#REF!</v>
      </c>
      <c r="U39" s="754" t="e">
        <f>VLOOKUP($P39,#REF!,4,0)</f>
        <v>#REF!</v>
      </c>
      <c r="V39" s="751">
        <f t="shared" si="11"/>
        <v>0</v>
      </c>
      <c r="W39" s="751" t="e">
        <f t="shared" si="12"/>
        <v>#REF!</v>
      </c>
      <c r="X39" s="754" t="e">
        <f>VLOOKUP($P39,#REF!,5,0)</f>
        <v>#REF!</v>
      </c>
      <c r="Y39" s="751">
        <f t="shared" si="13"/>
        <v>0</v>
      </c>
      <c r="Z39" s="751" t="e">
        <f t="shared" si="14"/>
        <v>#REF!</v>
      </c>
      <c r="AA39" s="754" t="e">
        <f>VLOOKUP($P39,#REF!,9,0)</f>
        <v>#REF!</v>
      </c>
      <c r="AB39" s="751">
        <f t="shared" si="15"/>
        <v>0</v>
      </c>
      <c r="AC39" s="751" t="e">
        <f t="shared" si="16"/>
        <v>#REF!</v>
      </c>
      <c r="AD39" s="754" t="e">
        <f>VLOOKUP($P39,#REF!,11,0)</f>
        <v>#REF!</v>
      </c>
      <c r="AE39" s="751">
        <f t="shared" si="17"/>
        <v>0</v>
      </c>
      <c r="AF39" s="751" t="e">
        <f t="shared" si="18"/>
        <v>#REF!</v>
      </c>
      <c r="AG39" s="754" t="e">
        <f>VLOOKUP($P39,#REF!,14,0)</f>
        <v>#REF!</v>
      </c>
      <c r="AH39" s="751">
        <f t="shared" si="19"/>
        <v>0</v>
      </c>
      <c r="AI39" s="751" t="e">
        <f t="shared" si="20"/>
        <v>#REF!</v>
      </c>
    </row>
    <row r="40" spans="2:35">
      <c r="B40" s="740"/>
      <c r="C40" s="740"/>
      <c r="D40" s="740"/>
      <c r="E40" s="740"/>
      <c r="F40" s="740"/>
      <c r="G40" s="740"/>
      <c r="H40" s="740"/>
      <c r="I40" s="740"/>
      <c r="J40" s="740"/>
      <c r="K40" s="740"/>
      <c r="L40" s="740"/>
      <c r="M40" s="740"/>
      <c r="O40" s="743" t="s">
        <v>406</v>
      </c>
      <c r="P40" s="744" t="s">
        <v>415</v>
      </c>
      <c r="Q40" s="744" t="s">
        <v>416</v>
      </c>
      <c r="R40" s="754" t="e">
        <f>VLOOKUP($P40,#REF!,3,0)</f>
        <v>#REF!</v>
      </c>
      <c r="S40" s="751">
        <f t="shared" si="9"/>
        <v>0</v>
      </c>
      <c r="T40" s="751" t="e">
        <f t="shared" si="10"/>
        <v>#REF!</v>
      </c>
      <c r="U40" s="754" t="e">
        <f>VLOOKUP($P40,#REF!,4,0)</f>
        <v>#REF!</v>
      </c>
      <c r="V40" s="751">
        <f t="shared" si="11"/>
        <v>0</v>
      </c>
      <c r="W40" s="751" t="e">
        <f t="shared" si="12"/>
        <v>#REF!</v>
      </c>
      <c r="X40" s="754" t="e">
        <f>VLOOKUP($P40,#REF!,5,0)</f>
        <v>#REF!</v>
      </c>
      <c r="Y40" s="751">
        <f t="shared" si="13"/>
        <v>0</v>
      </c>
      <c r="Z40" s="751" t="e">
        <f t="shared" si="14"/>
        <v>#REF!</v>
      </c>
      <c r="AA40" s="754" t="e">
        <f>VLOOKUP($P40,#REF!,9,0)</f>
        <v>#REF!</v>
      </c>
      <c r="AB40" s="751">
        <f t="shared" si="15"/>
        <v>0</v>
      </c>
      <c r="AC40" s="751" t="e">
        <f t="shared" si="16"/>
        <v>#REF!</v>
      </c>
      <c r="AD40" s="754" t="e">
        <f>VLOOKUP($P40,#REF!,11,0)</f>
        <v>#REF!</v>
      </c>
      <c r="AE40" s="751">
        <f t="shared" si="17"/>
        <v>0</v>
      </c>
      <c r="AF40" s="751" t="e">
        <f t="shared" si="18"/>
        <v>#REF!</v>
      </c>
      <c r="AG40" s="754" t="e">
        <f>VLOOKUP($P40,#REF!,14,0)</f>
        <v>#REF!</v>
      </c>
      <c r="AH40" s="751">
        <f t="shared" si="19"/>
        <v>0</v>
      </c>
      <c r="AI40" s="751" t="e">
        <f t="shared" si="20"/>
        <v>#REF!</v>
      </c>
    </row>
    <row r="41" spans="2:35">
      <c r="B41" s="740"/>
      <c r="C41" s="740"/>
      <c r="D41" s="740"/>
      <c r="E41" s="740"/>
      <c r="F41" s="740"/>
      <c r="G41" s="740"/>
      <c r="H41" s="740"/>
      <c r="I41" s="740"/>
      <c r="J41" s="740"/>
      <c r="K41" s="740"/>
      <c r="L41" s="740"/>
      <c r="M41" s="740"/>
      <c r="O41" s="743" t="s">
        <v>406</v>
      </c>
      <c r="P41" s="744" t="s">
        <v>417</v>
      </c>
      <c r="Q41" s="744" t="s">
        <v>418</v>
      </c>
      <c r="R41" s="754" t="e">
        <f>VLOOKUP($P41,#REF!,3,0)</f>
        <v>#REF!</v>
      </c>
      <c r="S41" s="751">
        <f t="shared" si="9"/>
        <v>0</v>
      </c>
      <c r="T41" s="751" t="e">
        <f t="shared" si="10"/>
        <v>#REF!</v>
      </c>
      <c r="U41" s="754" t="e">
        <f>VLOOKUP($P41,#REF!,4,0)</f>
        <v>#REF!</v>
      </c>
      <c r="V41" s="751">
        <f t="shared" si="11"/>
        <v>0</v>
      </c>
      <c r="W41" s="751" t="e">
        <f t="shared" si="12"/>
        <v>#REF!</v>
      </c>
      <c r="X41" s="754" t="e">
        <f>VLOOKUP($P41,#REF!,5,0)</f>
        <v>#REF!</v>
      </c>
      <c r="Y41" s="751">
        <f t="shared" si="13"/>
        <v>0</v>
      </c>
      <c r="Z41" s="751" t="e">
        <f t="shared" si="14"/>
        <v>#REF!</v>
      </c>
      <c r="AA41" s="754" t="e">
        <f>VLOOKUP($P41,#REF!,9,0)</f>
        <v>#REF!</v>
      </c>
      <c r="AB41" s="751">
        <f t="shared" si="15"/>
        <v>0</v>
      </c>
      <c r="AC41" s="751" t="e">
        <f t="shared" si="16"/>
        <v>#REF!</v>
      </c>
      <c r="AD41" s="754" t="e">
        <f>VLOOKUP($P41,#REF!,11,0)</f>
        <v>#REF!</v>
      </c>
      <c r="AE41" s="751">
        <f t="shared" si="17"/>
        <v>0</v>
      </c>
      <c r="AF41" s="751" t="e">
        <f t="shared" si="18"/>
        <v>#REF!</v>
      </c>
      <c r="AG41" s="754" t="e">
        <f>VLOOKUP($P41,#REF!,14,0)</f>
        <v>#REF!</v>
      </c>
      <c r="AH41" s="751">
        <f t="shared" si="19"/>
        <v>0</v>
      </c>
      <c r="AI41" s="751" t="e">
        <f t="shared" si="20"/>
        <v>#REF!</v>
      </c>
    </row>
    <row r="42" spans="2:35">
      <c r="B42" s="740"/>
      <c r="C42" s="740"/>
      <c r="D42" s="740"/>
      <c r="E42" s="740"/>
      <c r="F42" s="740"/>
      <c r="G42" s="740"/>
      <c r="H42" s="740"/>
      <c r="I42" s="740"/>
      <c r="J42" s="740"/>
      <c r="K42" s="740"/>
      <c r="L42" s="740"/>
      <c r="M42" s="740"/>
      <c r="O42" s="743" t="s">
        <v>406</v>
      </c>
      <c r="P42" s="744" t="s">
        <v>419</v>
      </c>
      <c r="Q42" s="744" t="s">
        <v>420</v>
      </c>
      <c r="R42" s="754" t="e">
        <f>VLOOKUP($P42,#REF!,3,0)</f>
        <v>#REF!</v>
      </c>
      <c r="S42" s="751">
        <f t="shared" si="9"/>
        <v>0</v>
      </c>
      <c r="T42" s="751" t="e">
        <f t="shared" si="10"/>
        <v>#REF!</v>
      </c>
      <c r="U42" s="754" t="e">
        <f>VLOOKUP($P42,#REF!,4,0)</f>
        <v>#REF!</v>
      </c>
      <c r="V42" s="751">
        <f t="shared" si="11"/>
        <v>0</v>
      </c>
      <c r="W42" s="751" t="e">
        <f t="shared" si="12"/>
        <v>#REF!</v>
      </c>
      <c r="X42" s="754" t="e">
        <f>VLOOKUP($P42,#REF!,5,0)</f>
        <v>#REF!</v>
      </c>
      <c r="Y42" s="751">
        <f t="shared" si="13"/>
        <v>0</v>
      </c>
      <c r="Z42" s="751" t="e">
        <f t="shared" si="14"/>
        <v>#REF!</v>
      </c>
      <c r="AA42" s="754" t="e">
        <f>VLOOKUP($P42,#REF!,9,0)</f>
        <v>#REF!</v>
      </c>
      <c r="AB42" s="751">
        <f t="shared" si="15"/>
        <v>0</v>
      </c>
      <c r="AC42" s="751" t="e">
        <f t="shared" si="16"/>
        <v>#REF!</v>
      </c>
      <c r="AD42" s="754" t="e">
        <f>VLOOKUP($P42,#REF!,11,0)</f>
        <v>#REF!</v>
      </c>
      <c r="AE42" s="751">
        <f t="shared" si="17"/>
        <v>0</v>
      </c>
      <c r="AF42" s="751" t="e">
        <f t="shared" si="18"/>
        <v>#REF!</v>
      </c>
      <c r="AG42" s="754" t="e">
        <f>VLOOKUP($P42,#REF!,14,0)</f>
        <v>#REF!</v>
      </c>
      <c r="AH42" s="751">
        <f t="shared" si="19"/>
        <v>0</v>
      </c>
      <c r="AI42" s="751" t="e">
        <f t="shared" si="20"/>
        <v>#REF!</v>
      </c>
    </row>
    <row r="43" spans="2:35">
      <c r="B43" s="740"/>
      <c r="C43" s="740"/>
      <c r="D43" s="740"/>
      <c r="E43" s="740"/>
      <c r="F43" s="740"/>
      <c r="G43" s="740"/>
      <c r="H43" s="740"/>
      <c r="I43" s="740"/>
      <c r="J43" s="740"/>
      <c r="K43" s="740"/>
      <c r="L43" s="740"/>
      <c r="M43" s="740"/>
      <c r="O43" s="743" t="s">
        <v>359</v>
      </c>
      <c r="P43" s="744" t="s">
        <v>421</v>
      </c>
      <c r="Q43" s="744" t="s">
        <v>422</v>
      </c>
      <c r="R43" s="754" t="e">
        <f>VLOOKUP($P43,#REF!,3,0)</f>
        <v>#REF!</v>
      </c>
      <c r="S43" s="751">
        <f t="shared" si="9"/>
        <v>0</v>
      </c>
      <c r="T43" s="751" t="e">
        <f t="shared" si="10"/>
        <v>#REF!</v>
      </c>
      <c r="U43" s="754" t="e">
        <f>VLOOKUP($P43,#REF!,4,0)</f>
        <v>#REF!</v>
      </c>
      <c r="V43" s="751">
        <f t="shared" si="11"/>
        <v>0</v>
      </c>
      <c r="W43" s="751" t="e">
        <f t="shared" si="12"/>
        <v>#REF!</v>
      </c>
      <c r="X43" s="754" t="e">
        <f>VLOOKUP($P43,#REF!,5,0)</f>
        <v>#REF!</v>
      </c>
      <c r="Y43" s="751">
        <f t="shared" si="13"/>
        <v>0</v>
      </c>
      <c r="Z43" s="751" t="e">
        <f t="shared" si="14"/>
        <v>#REF!</v>
      </c>
      <c r="AA43" s="754" t="e">
        <f>VLOOKUP($P43,#REF!,9,0)</f>
        <v>#REF!</v>
      </c>
      <c r="AB43" s="751">
        <f t="shared" si="15"/>
        <v>0</v>
      </c>
      <c r="AC43" s="751" t="e">
        <f t="shared" si="16"/>
        <v>#REF!</v>
      </c>
      <c r="AD43" s="754" t="e">
        <f>VLOOKUP($P43,#REF!,11,0)</f>
        <v>#REF!</v>
      </c>
      <c r="AE43" s="751">
        <f t="shared" si="17"/>
        <v>0</v>
      </c>
      <c r="AF43" s="751" t="e">
        <f t="shared" si="18"/>
        <v>#REF!</v>
      </c>
      <c r="AG43" s="754" t="e">
        <f>VLOOKUP($P43,#REF!,14,0)</f>
        <v>#REF!</v>
      </c>
      <c r="AH43" s="751">
        <f t="shared" si="19"/>
        <v>0</v>
      </c>
      <c r="AI43" s="751" t="e">
        <f t="shared" si="20"/>
        <v>#REF!</v>
      </c>
    </row>
    <row r="44" spans="2:35">
      <c r="B44" s="740"/>
      <c r="C44" s="740"/>
      <c r="D44" s="740"/>
      <c r="E44" s="740"/>
      <c r="F44" s="740"/>
      <c r="G44" s="740"/>
      <c r="H44" s="740"/>
      <c r="I44" s="740"/>
      <c r="J44" s="740"/>
      <c r="K44" s="740"/>
      <c r="L44" s="740"/>
      <c r="M44" s="740"/>
      <c r="O44" s="743" t="s">
        <v>359</v>
      </c>
      <c r="P44" s="744" t="s">
        <v>423</v>
      </c>
      <c r="Q44" s="744" t="s">
        <v>424</v>
      </c>
      <c r="R44" s="754" t="e">
        <f>VLOOKUP($P44,#REF!,3,0)</f>
        <v>#REF!</v>
      </c>
      <c r="S44" s="751">
        <f t="shared" si="9"/>
        <v>0</v>
      </c>
      <c r="T44" s="751" t="e">
        <f t="shared" si="10"/>
        <v>#REF!</v>
      </c>
      <c r="U44" s="754" t="e">
        <f>VLOOKUP($P44,#REF!,4,0)</f>
        <v>#REF!</v>
      </c>
      <c r="V44" s="751">
        <f t="shared" si="11"/>
        <v>0</v>
      </c>
      <c r="W44" s="751" t="e">
        <f t="shared" si="12"/>
        <v>#REF!</v>
      </c>
      <c r="X44" s="754" t="e">
        <f>VLOOKUP($P44,#REF!,5,0)</f>
        <v>#REF!</v>
      </c>
      <c r="Y44" s="751">
        <f t="shared" si="13"/>
        <v>0</v>
      </c>
      <c r="Z44" s="751" t="e">
        <f t="shared" si="14"/>
        <v>#REF!</v>
      </c>
      <c r="AA44" s="754" t="e">
        <f>VLOOKUP($P44,#REF!,9,0)</f>
        <v>#REF!</v>
      </c>
      <c r="AB44" s="751">
        <f t="shared" si="15"/>
        <v>0</v>
      </c>
      <c r="AC44" s="751" t="e">
        <f t="shared" si="16"/>
        <v>#REF!</v>
      </c>
      <c r="AD44" s="754" t="e">
        <f>VLOOKUP($P44,#REF!,11,0)</f>
        <v>#REF!</v>
      </c>
      <c r="AE44" s="751">
        <f t="shared" si="17"/>
        <v>0</v>
      </c>
      <c r="AF44" s="751" t="e">
        <f t="shared" si="18"/>
        <v>#REF!</v>
      </c>
      <c r="AG44" s="754" t="e">
        <f>VLOOKUP($P44,#REF!,14,0)</f>
        <v>#REF!</v>
      </c>
      <c r="AH44" s="751">
        <f t="shared" si="19"/>
        <v>0</v>
      </c>
      <c r="AI44" s="751" t="e">
        <f t="shared" si="20"/>
        <v>#REF!</v>
      </c>
    </row>
    <row r="45" spans="2:35">
      <c r="B45" s="740"/>
      <c r="C45" s="740"/>
      <c r="D45" s="740"/>
      <c r="E45" s="740"/>
      <c r="F45" s="740"/>
      <c r="G45" s="740"/>
      <c r="H45" s="740"/>
      <c r="I45" s="740"/>
      <c r="J45" s="740"/>
      <c r="K45" s="740"/>
      <c r="L45" s="740"/>
      <c r="M45" s="740"/>
      <c r="O45" s="743" t="s">
        <v>359</v>
      </c>
      <c r="P45" s="744" t="s">
        <v>425</v>
      </c>
      <c r="Q45" s="744" t="s">
        <v>426</v>
      </c>
      <c r="R45" s="754" t="e">
        <f>VLOOKUP($P45,#REF!,3,0)</f>
        <v>#REF!</v>
      </c>
      <c r="S45" s="751">
        <f t="shared" si="9"/>
        <v>0</v>
      </c>
      <c r="T45" s="751" t="e">
        <f t="shared" si="10"/>
        <v>#REF!</v>
      </c>
      <c r="U45" s="754" t="e">
        <f>VLOOKUP($P45,#REF!,4,0)</f>
        <v>#REF!</v>
      </c>
      <c r="V45" s="751">
        <f t="shared" si="11"/>
        <v>0</v>
      </c>
      <c r="W45" s="751" t="e">
        <f t="shared" si="12"/>
        <v>#REF!</v>
      </c>
      <c r="X45" s="754" t="e">
        <f>VLOOKUP($P45,#REF!,5,0)</f>
        <v>#REF!</v>
      </c>
      <c r="Y45" s="751">
        <f t="shared" si="13"/>
        <v>0</v>
      </c>
      <c r="Z45" s="751" t="e">
        <f t="shared" si="14"/>
        <v>#REF!</v>
      </c>
      <c r="AA45" s="754" t="e">
        <f>VLOOKUP($P45,#REF!,9,0)</f>
        <v>#REF!</v>
      </c>
      <c r="AB45" s="751">
        <f t="shared" si="15"/>
        <v>0</v>
      </c>
      <c r="AC45" s="751" t="e">
        <f t="shared" si="16"/>
        <v>#REF!</v>
      </c>
      <c r="AD45" s="754" t="e">
        <f>VLOOKUP($P45,#REF!,11,0)</f>
        <v>#REF!</v>
      </c>
      <c r="AE45" s="751">
        <f t="shared" si="17"/>
        <v>0</v>
      </c>
      <c r="AF45" s="751" t="e">
        <f t="shared" si="18"/>
        <v>#REF!</v>
      </c>
      <c r="AG45" s="754" t="e">
        <f>VLOOKUP($P45,#REF!,14,0)</f>
        <v>#REF!</v>
      </c>
      <c r="AH45" s="751">
        <f t="shared" si="19"/>
        <v>0</v>
      </c>
      <c r="AI45" s="751" t="e">
        <f t="shared" si="20"/>
        <v>#REF!</v>
      </c>
    </row>
    <row r="46" spans="2:35">
      <c r="B46" s="740"/>
      <c r="C46" s="740"/>
      <c r="D46" s="740"/>
      <c r="E46" s="740"/>
      <c r="F46" s="740"/>
      <c r="G46" s="740"/>
      <c r="H46" s="740"/>
      <c r="I46" s="740"/>
      <c r="J46" s="740"/>
      <c r="K46" s="740"/>
      <c r="L46" s="740"/>
      <c r="M46" s="740"/>
      <c r="O46" s="743" t="s">
        <v>359</v>
      </c>
      <c r="P46" s="744" t="s">
        <v>429</v>
      </c>
      <c r="Q46" s="744" t="s">
        <v>430</v>
      </c>
      <c r="R46" s="754" t="e">
        <f>VLOOKUP($P46,#REF!,3,0)</f>
        <v>#REF!</v>
      </c>
      <c r="S46" s="751">
        <f t="shared" si="9"/>
        <v>0</v>
      </c>
      <c r="T46" s="751" t="e">
        <f t="shared" si="10"/>
        <v>#REF!</v>
      </c>
      <c r="U46" s="754" t="e">
        <f>VLOOKUP($P46,#REF!,4,0)</f>
        <v>#REF!</v>
      </c>
      <c r="V46" s="751">
        <f t="shared" si="11"/>
        <v>0</v>
      </c>
      <c r="W46" s="751" t="e">
        <f t="shared" si="12"/>
        <v>#REF!</v>
      </c>
      <c r="X46" s="754" t="e">
        <f>VLOOKUP($P46,#REF!,5,0)</f>
        <v>#REF!</v>
      </c>
      <c r="Y46" s="751">
        <f t="shared" si="13"/>
        <v>0</v>
      </c>
      <c r="Z46" s="751" t="e">
        <f t="shared" si="14"/>
        <v>#REF!</v>
      </c>
      <c r="AA46" s="754" t="e">
        <f>VLOOKUP($P46,#REF!,9,0)</f>
        <v>#REF!</v>
      </c>
      <c r="AB46" s="751">
        <f t="shared" si="15"/>
        <v>0</v>
      </c>
      <c r="AC46" s="751" t="e">
        <f t="shared" si="16"/>
        <v>#REF!</v>
      </c>
      <c r="AD46" s="754" t="e">
        <f>VLOOKUP($P46,#REF!,11,0)</f>
        <v>#REF!</v>
      </c>
      <c r="AE46" s="751">
        <f t="shared" si="17"/>
        <v>0</v>
      </c>
      <c r="AF46" s="751" t="e">
        <f t="shared" si="18"/>
        <v>#REF!</v>
      </c>
      <c r="AG46" s="754" t="e">
        <f>VLOOKUP($P46,#REF!,14,0)</f>
        <v>#REF!</v>
      </c>
      <c r="AH46" s="751">
        <f t="shared" si="19"/>
        <v>0</v>
      </c>
      <c r="AI46" s="751" t="e">
        <f t="shared" si="20"/>
        <v>#REF!</v>
      </c>
    </row>
    <row r="47" spans="2:35">
      <c r="B47" s="740"/>
      <c r="C47" s="740"/>
      <c r="D47" s="740"/>
      <c r="E47" s="740"/>
      <c r="F47" s="740"/>
      <c r="G47" s="740"/>
      <c r="H47" s="740"/>
      <c r="I47" s="740"/>
      <c r="J47" s="740"/>
      <c r="K47" s="740"/>
      <c r="L47" s="740"/>
      <c r="M47" s="740"/>
      <c r="O47" s="743" t="s">
        <v>359</v>
      </c>
      <c r="P47" s="744" t="s">
        <v>435</v>
      </c>
      <c r="Q47" s="744" t="s">
        <v>436</v>
      </c>
      <c r="R47" s="754" t="e">
        <f>VLOOKUP($P47,#REF!,3,0)</f>
        <v>#REF!</v>
      </c>
      <c r="S47" s="751">
        <f t="shared" si="9"/>
        <v>0</v>
      </c>
      <c r="T47" s="751" t="e">
        <f t="shared" si="10"/>
        <v>#REF!</v>
      </c>
      <c r="U47" s="754" t="e">
        <f>VLOOKUP($P47,#REF!,4,0)</f>
        <v>#REF!</v>
      </c>
      <c r="V47" s="751">
        <f t="shared" si="11"/>
        <v>0</v>
      </c>
      <c r="W47" s="751" t="e">
        <f t="shared" si="12"/>
        <v>#REF!</v>
      </c>
      <c r="X47" s="754" t="e">
        <f>VLOOKUP($P47,#REF!,5,0)</f>
        <v>#REF!</v>
      </c>
      <c r="Y47" s="751">
        <f t="shared" si="13"/>
        <v>0</v>
      </c>
      <c r="Z47" s="751" t="e">
        <f t="shared" si="14"/>
        <v>#REF!</v>
      </c>
      <c r="AA47" s="754" t="e">
        <f>VLOOKUP($P47,#REF!,9,0)</f>
        <v>#REF!</v>
      </c>
      <c r="AB47" s="751">
        <f t="shared" si="15"/>
        <v>0</v>
      </c>
      <c r="AC47" s="751" t="e">
        <f t="shared" si="16"/>
        <v>#REF!</v>
      </c>
      <c r="AD47" s="754" t="e">
        <f>VLOOKUP($P47,#REF!,11,0)</f>
        <v>#REF!</v>
      </c>
      <c r="AE47" s="751">
        <f t="shared" si="17"/>
        <v>0</v>
      </c>
      <c r="AF47" s="751" t="e">
        <f t="shared" si="18"/>
        <v>#REF!</v>
      </c>
      <c r="AG47" s="754" t="e">
        <f>VLOOKUP($P47,#REF!,14,0)</f>
        <v>#REF!</v>
      </c>
      <c r="AH47" s="751">
        <f t="shared" si="19"/>
        <v>0</v>
      </c>
      <c r="AI47" s="751" t="e">
        <f t="shared" si="20"/>
        <v>#REF!</v>
      </c>
    </row>
    <row r="48" spans="2:35">
      <c r="B48" s="740"/>
      <c r="C48" s="740"/>
      <c r="D48" s="740"/>
      <c r="E48" s="740"/>
      <c r="F48" s="740"/>
      <c r="G48" s="740"/>
      <c r="H48" s="740"/>
      <c r="I48" s="740"/>
      <c r="J48" s="740"/>
      <c r="K48" s="740"/>
      <c r="L48" s="740"/>
      <c r="M48" s="740"/>
      <c r="O48" s="743" t="s">
        <v>359</v>
      </c>
      <c r="P48" s="744" t="s">
        <v>438</v>
      </c>
      <c r="Q48" s="744" t="s">
        <v>439</v>
      </c>
      <c r="R48" s="754" t="e">
        <f>VLOOKUP($P48,#REF!,3,0)</f>
        <v>#REF!</v>
      </c>
      <c r="S48" s="751">
        <f t="shared" si="9"/>
        <v>0</v>
      </c>
      <c r="T48" s="751" t="e">
        <f t="shared" si="10"/>
        <v>#REF!</v>
      </c>
      <c r="U48" s="754" t="e">
        <f>VLOOKUP($P48,#REF!,4,0)</f>
        <v>#REF!</v>
      </c>
      <c r="V48" s="751">
        <f t="shared" si="11"/>
        <v>0</v>
      </c>
      <c r="W48" s="751" t="e">
        <f t="shared" si="12"/>
        <v>#REF!</v>
      </c>
      <c r="X48" s="754" t="e">
        <f>VLOOKUP($P48,#REF!,5,0)</f>
        <v>#REF!</v>
      </c>
      <c r="Y48" s="751">
        <f t="shared" si="13"/>
        <v>0</v>
      </c>
      <c r="Z48" s="751" t="e">
        <f t="shared" si="14"/>
        <v>#REF!</v>
      </c>
      <c r="AA48" s="754" t="e">
        <f>VLOOKUP($P48,#REF!,9,0)</f>
        <v>#REF!</v>
      </c>
      <c r="AB48" s="751">
        <f t="shared" si="15"/>
        <v>0</v>
      </c>
      <c r="AC48" s="751" t="e">
        <f t="shared" si="16"/>
        <v>#REF!</v>
      </c>
      <c r="AD48" s="754" t="e">
        <f>VLOOKUP($P48,#REF!,11,0)</f>
        <v>#REF!</v>
      </c>
      <c r="AE48" s="751">
        <f t="shared" si="17"/>
        <v>0</v>
      </c>
      <c r="AF48" s="751" t="e">
        <f t="shared" si="18"/>
        <v>#REF!</v>
      </c>
      <c r="AG48" s="754" t="e">
        <f>VLOOKUP($P48,#REF!,14,0)</f>
        <v>#REF!</v>
      </c>
      <c r="AH48" s="751">
        <f t="shared" si="19"/>
        <v>0</v>
      </c>
      <c r="AI48" s="751" t="e">
        <f t="shared" si="20"/>
        <v>#REF!</v>
      </c>
    </row>
    <row r="49" spans="2:35">
      <c r="B49" s="740"/>
      <c r="C49" s="740"/>
      <c r="D49" s="740"/>
      <c r="E49" s="740"/>
      <c r="F49" s="740"/>
      <c r="G49" s="740"/>
      <c r="H49" s="740"/>
      <c r="I49" s="740"/>
      <c r="J49" s="740"/>
      <c r="K49" s="740"/>
      <c r="L49" s="740"/>
      <c r="M49" s="740"/>
      <c r="O49" s="794" t="s">
        <v>360</v>
      </c>
      <c r="P49" s="744" t="s">
        <v>440</v>
      </c>
      <c r="Q49" s="744" t="s">
        <v>441</v>
      </c>
      <c r="R49" s="754" t="e">
        <f>VLOOKUP($P49,#REF!,3,0)</f>
        <v>#REF!</v>
      </c>
      <c r="S49" s="751">
        <f t="shared" si="9"/>
        <v>0</v>
      </c>
      <c r="T49" s="751" t="e">
        <f t="shared" si="10"/>
        <v>#REF!</v>
      </c>
      <c r="U49" s="754" t="e">
        <f>VLOOKUP($P49,#REF!,4,0)</f>
        <v>#REF!</v>
      </c>
      <c r="V49" s="751">
        <f t="shared" si="11"/>
        <v>0</v>
      </c>
      <c r="W49" s="751" t="e">
        <f t="shared" si="12"/>
        <v>#REF!</v>
      </c>
      <c r="X49" s="754" t="e">
        <f>VLOOKUP($P49,#REF!,5,0)</f>
        <v>#REF!</v>
      </c>
      <c r="Y49" s="751">
        <f t="shared" si="13"/>
        <v>0</v>
      </c>
      <c r="Z49" s="751" t="e">
        <f t="shared" si="14"/>
        <v>#REF!</v>
      </c>
      <c r="AA49" s="754" t="e">
        <f>VLOOKUP($P49,#REF!,9,0)</f>
        <v>#REF!</v>
      </c>
      <c r="AB49" s="751">
        <f t="shared" si="15"/>
        <v>0</v>
      </c>
      <c r="AC49" s="751" t="e">
        <f t="shared" si="16"/>
        <v>#REF!</v>
      </c>
      <c r="AD49" s="754" t="e">
        <f>VLOOKUP($P49,#REF!,11,0)</f>
        <v>#REF!</v>
      </c>
      <c r="AE49" s="751">
        <f t="shared" si="17"/>
        <v>0</v>
      </c>
      <c r="AF49" s="751" t="e">
        <f t="shared" si="18"/>
        <v>#REF!</v>
      </c>
      <c r="AG49" s="754" t="e">
        <f>VLOOKUP($P49,#REF!,14,0)</f>
        <v>#REF!</v>
      </c>
      <c r="AH49" s="751">
        <f t="shared" si="19"/>
        <v>0</v>
      </c>
      <c r="AI49" s="751" t="e">
        <f t="shared" si="20"/>
        <v>#REF!</v>
      </c>
    </row>
    <row r="50" spans="2:35">
      <c r="B50" s="740"/>
      <c r="C50" s="740"/>
      <c r="D50" s="740"/>
      <c r="E50" s="740"/>
      <c r="F50" s="740"/>
      <c r="G50" s="740"/>
      <c r="H50" s="740"/>
      <c r="I50" s="740"/>
      <c r="J50" s="740"/>
      <c r="K50" s="740"/>
      <c r="L50" s="740"/>
      <c r="M50" s="740"/>
      <c r="O50" s="794" t="s">
        <v>360</v>
      </c>
      <c r="P50" s="744" t="s">
        <v>442</v>
      </c>
      <c r="Q50" s="744" t="s">
        <v>447</v>
      </c>
      <c r="R50" s="754" t="e">
        <f>VLOOKUP($P50,#REF!,3,0)</f>
        <v>#REF!</v>
      </c>
      <c r="S50" s="751">
        <f t="shared" si="9"/>
        <v>0</v>
      </c>
      <c r="T50" s="751" t="e">
        <f t="shared" si="10"/>
        <v>#REF!</v>
      </c>
      <c r="U50" s="754" t="e">
        <f>VLOOKUP($P50,#REF!,4,0)</f>
        <v>#REF!</v>
      </c>
      <c r="V50" s="751">
        <f t="shared" si="11"/>
        <v>0</v>
      </c>
      <c r="W50" s="751" t="e">
        <f t="shared" si="12"/>
        <v>#REF!</v>
      </c>
      <c r="X50" s="754" t="e">
        <f>VLOOKUP($P50,#REF!,5,0)</f>
        <v>#REF!</v>
      </c>
      <c r="Y50" s="751">
        <f t="shared" si="13"/>
        <v>0</v>
      </c>
      <c r="Z50" s="751" t="e">
        <f t="shared" si="14"/>
        <v>#REF!</v>
      </c>
      <c r="AA50" s="754" t="e">
        <f>VLOOKUP($P50,#REF!,9,0)</f>
        <v>#REF!</v>
      </c>
      <c r="AB50" s="751">
        <f t="shared" si="15"/>
        <v>0</v>
      </c>
      <c r="AC50" s="751" t="e">
        <f t="shared" si="16"/>
        <v>#REF!</v>
      </c>
      <c r="AD50" s="754" t="e">
        <f>VLOOKUP($P50,#REF!,11,0)</f>
        <v>#REF!</v>
      </c>
      <c r="AE50" s="751">
        <f t="shared" si="17"/>
        <v>0</v>
      </c>
      <c r="AF50" s="751" t="e">
        <f t="shared" si="18"/>
        <v>#REF!</v>
      </c>
      <c r="AG50" s="754" t="e">
        <f>VLOOKUP($P50,#REF!,14,0)</f>
        <v>#REF!</v>
      </c>
      <c r="AH50" s="751">
        <f t="shared" si="19"/>
        <v>0</v>
      </c>
      <c r="AI50" s="751" t="e">
        <f t="shared" si="20"/>
        <v>#REF!</v>
      </c>
    </row>
    <row r="51" spans="2:35">
      <c r="B51" s="740"/>
      <c r="C51" s="740"/>
      <c r="D51" s="740"/>
      <c r="E51" s="740"/>
      <c r="F51" s="740"/>
      <c r="G51" s="740"/>
      <c r="H51" s="740"/>
      <c r="I51" s="740"/>
      <c r="J51" s="740"/>
      <c r="K51" s="740"/>
      <c r="L51" s="740"/>
      <c r="M51" s="740"/>
      <c r="O51" s="794" t="s">
        <v>360</v>
      </c>
      <c r="P51" s="744" t="s">
        <v>444</v>
      </c>
      <c r="Q51" s="744" t="s">
        <v>445</v>
      </c>
      <c r="R51" s="754" t="e">
        <f>VLOOKUP($P51,#REF!,3,0)</f>
        <v>#REF!</v>
      </c>
      <c r="S51" s="751">
        <f t="shared" si="9"/>
        <v>0</v>
      </c>
      <c r="T51" s="751" t="e">
        <f t="shared" si="10"/>
        <v>#REF!</v>
      </c>
      <c r="U51" s="754" t="e">
        <f>VLOOKUP($P51,#REF!,4,0)</f>
        <v>#REF!</v>
      </c>
      <c r="V51" s="751">
        <f t="shared" si="11"/>
        <v>0</v>
      </c>
      <c r="W51" s="751" t="e">
        <f t="shared" si="12"/>
        <v>#REF!</v>
      </c>
      <c r="X51" s="754" t="e">
        <f>VLOOKUP($P51,#REF!,5,0)</f>
        <v>#REF!</v>
      </c>
      <c r="Y51" s="751">
        <f t="shared" si="13"/>
        <v>0</v>
      </c>
      <c r="Z51" s="751" t="e">
        <f t="shared" si="14"/>
        <v>#REF!</v>
      </c>
      <c r="AA51" s="754" t="e">
        <f>VLOOKUP($P51,#REF!,9,0)</f>
        <v>#REF!</v>
      </c>
      <c r="AB51" s="751">
        <f t="shared" si="15"/>
        <v>0</v>
      </c>
      <c r="AC51" s="751" t="e">
        <f t="shared" si="16"/>
        <v>#REF!</v>
      </c>
      <c r="AD51" s="754" t="e">
        <f>VLOOKUP($P51,#REF!,11,0)</f>
        <v>#REF!</v>
      </c>
      <c r="AE51" s="751">
        <f t="shared" si="17"/>
        <v>0</v>
      </c>
      <c r="AF51" s="751" t="e">
        <f t="shared" si="18"/>
        <v>#REF!</v>
      </c>
      <c r="AG51" s="754" t="e">
        <f>VLOOKUP($P51,#REF!,14,0)</f>
        <v>#REF!</v>
      </c>
      <c r="AH51" s="751">
        <f t="shared" si="19"/>
        <v>0</v>
      </c>
      <c r="AI51" s="751" t="e">
        <f t="shared" si="20"/>
        <v>#REF!</v>
      </c>
    </row>
    <row r="52" spans="2:35">
      <c r="B52" s="740"/>
      <c r="C52" s="740"/>
      <c r="D52" s="740"/>
      <c r="E52" s="740"/>
      <c r="F52" s="740"/>
      <c r="G52" s="740"/>
      <c r="H52" s="740"/>
      <c r="I52" s="740"/>
      <c r="J52" s="740"/>
      <c r="K52" s="740"/>
      <c r="L52" s="740"/>
      <c r="M52" s="740"/>
      <c r="O52" s="794" t="s">
        <v>360</v>
      </c>
      <c r="P52" s="744" t="s">
        <v>448</v>
      </c>
      <c r="Q52" s="744" t="s">
        <v>449</v>
      </c>
      <c r="R52" s="754" t="e">
        <f>VLOOKUP($P52,#REF!,3,0)</f>
        <v>#REF!</v>
      </c>
      <c r="S52" s="751">
        <f t="shared" si="9"/>
        <v>0</v>
      </c>
      <c r="T52" s="751" t="e">
        <f t="shared" si="10"/>
        <v>#REF!</v>
      </c>
      <c r="U52" s="754" t="e">
        <f>VLOOKUP($P52,#REF!,4,0)</f>
        <v>#REF!</v>
      </c>
      <c r="V52" s="751">
        <f t="shared" si="11"/>
        <v>0</v>
      </c>
      <c r="W52" s="751" t="e">
        <f t="shared" si="12"/>
        <v>#REF!</v>
      </c>
      <c r="X52" s="754" t="e">
        <f>VLOOKUP($P52,#REF!,5,0)</f>
        <v>#REF!</v>
      </c>
      <c r="Y52" s="751">
        <f t="shared" si="13"/>
        <v>0</v>
      </c>
      <c r="Z52" s="751" t="e">
        <f t="shared" si="14"/>
        <v>#REF!</v>
      </c>
      <c r="AA52" s="754" t="e">
        <f>VLOOKUP($P52,#REF!,9,0)</f>
        <v>#REF!</v>
      </c>
      <c r="AB52" s="751">
        <f t="shared" si="15"/>
        <v>0</v>
      </c>
      <c r="AC52" s="751" t="e">
        <f t="shared" si="16"/>
        <v>#REF!</v>
      </c>
      <c r="AD52" s="754" t="e">
        <f>VLOOKUP($P52,#REF!,11,0)</f>
        <v>#REF!</v>
      </c>
      <c r="AE52" s="751">
        <f t="shared" si="17"/>
        <v>0</v>
      </c>
      <c r="AF52" s="751" t="e">
        <f t="shared" si="18"/>
        <v>#REF!</v>
      </c>
      <c r="AG52" s="754" t="e">
        <f>VLOOKUP($P52,#REF!,14,0)</f>
        <v>#REF!</v>
      </c>
      <c r="AH52" s="751">
        <f t="shared" si="19"/>
        <v>0</v>
      </c>
      <c r="AI52" s="751" t="e">
        <f t="shared" si="20"/>
        <v>#REF!</v>
      </c>
    </row>
    <row r="53" spans="2:35">
      <c r="B53" s="740"/>
      <c r="C53" s="740"/>
      <c r="D53" s="740"/>
      <c r="E53" s="740"/>
      <c r="F53" s="740"/>
      <c r="G53" s="740"/>
      <c r="H53" s="740"/>
      <c r="I53" s="740"/>
      <c r="J53" s="740"/>
      <c r="K53" s="740"/>
      <c r="L53" s="740"/>
      <c r="M53" s="740"/>
      <c r="O53" s="794" t="s">
        <v>360</v>
      </c>
      <c r="P53" s="744" t="s">
        <v>450</v>
      </c>
      <c r="Q53" s="744" t="s">
        <v>451</v>
      </c>
      <c r="R53" s="754" t="e">
        <f>VLOOKUP($P53,#REF!,3,0)</f>
        <v>#REF!</v>
      </c>
      <c r="S53" s="751">
        <f t="shared" si="9"/>
        <v>0</v>
      </c>
      <c r="T53" s="751" t="e">
        <f t="shared" si="10"/>
        <v>#REF!</v>
      </c>
      <c r="U53" s="754" t="e">
        <f>VLOOKUP($P53,#REF!,4,0)</f>
        <v>#REF!</v>
      </c>
      <c r="V53" s="751">
        <f t="shared" si="11"/>
        <v>0</v>
      </c>
      <c r="W53" s="751" t="e">
        <f t="shared" si="12"/>
        <v>#REF!</v>
      </c>
      <c r="X53" s="754" t="e">
        <f>VLOOKUP($P53,#REF!,5,0)</f>
        <v>#REF!</v>
      </c>
      <c r="Y53" s="751">
        <f t="shared" si="13"/>
        <v>0</v>
      </c>
      <c r="Z53" s="751" t="e">
        <f t="shared" si="14"/>
        <v>#REF!</v>
      </c>
      <c r="AA53" s="754" t="e">
        <f>VLOOKUP($P53,#REF!,9,0)</f>
        <v>#REF!</v>
      </c>
      <c r="AB53" s="751">
        <f t="shared" si="15"/>
        <v>0</v>
      </c>
      <c r="AC53" s="751" t="e">
        <f t="shared" si="16"/>
        <v>#REF!</v>
      </c>
      <c r="AD53" s="754" t="e">
        <f>VLOOKUP($P53,#REF!,11,0)</f>
        <v>#REF!</v>
      </c>
      <c r="AE53" s="751">
        <f t="shared" si="17"/>
        <v>0</v>
      </c>
      <c r="AF53" s="751" t="e">
        <f t="shared" si="18"/>
        <v>#REF!</v>
      </c>
      <c r="AG53" s="754" t="e">
        <f>VLOOKUP($P53,#REF!,14,0)</f>
        <v>#REF!</v>
      </c>
      <c r="AH53" s="751">
        <f t="shared" si="19"/>
        <v>0</v>
      </c>
      <c r="AI53" s="751" t="e">
        <f t="shared" si="20"/>
        <v>#REF!</v>
      </c>
    </row>
    <row r="54" spans="2:35">
      <c r="B54" s="740"/>
      <c r="C54" s="740"/>
      <c r="D54" s="740"/>
      <c r="E54" s="740"/>
      <c r="F54" s="740"/>
      <c r="G54" s="740"/>
      <c r="H54" s="740"/>
      <c r="I54" s="740"/>
      <c r="J54" s="740"/>
      <c r="K54" s="740"/>
      <c r="L54" s="740"/>
      <c r="M54" s="740"/>
      <c r="O54" s="743" t="s">
        <v>361</v>
      </c>
      <c r="P54" s="744" t="s">
        <v>455</v>
      </c>
      <c r="Q54" s="744" t="s">
        <v>456</v>
      </c>
      <c r="R54" s="754" t="e">
        <f>VLOOKUP($P54,#REF!,3,0)</f>
        <v>#REF!</v>
      </c>
      <c r="S54" s="751">
        <f t="shared" si="9"/>
        <v>0</v>
      </c>
      <c r="T54" s="751" t="e">
        <f t="shared" si="10"/>
        <v>#REF!</v>
      </c>
      <c r="U54" s="754" t="e">
        <f>VLOOKUP($P54,#REF!,4,0)</f>
        <v>#REF!</v>
      </c>
      <c r="V54" s="751">
        <f t="shared" si="11"/>
        <v>0</v>
      </c>
      <c r="W54" s="751" t="e">
        <f t="shared" si="12"/>
        <v>#REF!</v>
      </c>
      <c r="X54" s="754" t="e">
        <f>VLOOKUP($P54,#REF!,5,0)</f>
        <v>#REF!</v>
      </c>
      <c r="Y54" s="751">
        <f t="shared" si="13"/>
        <v>0</v>
      </c>
      <c r="Z54" s="751" t="e">
        <f t="shared" si="14"/>
        <v>#REF!</v>
      </c>
      <c r="AA54" s="754" t="e">
        <f>VLOOKUP($P54,#REF!,9,0)</f>
        <v>#REF!</v>
      </c>
      <c r="AB54" s="751">
        <f t="shared" si="15"/>
        <v>0</v>
      </c>
      <c r="AC54" s="751" t="e">
        <f t="shared" si="16"/>
        <v>#REF!</v>
      </c>
      <c r="AD54" s="754" t="e">
        <f>VLOOKUP($P54,#REF!,11,0)</f>
        <v>#REF!</v>
      </c>
      <c r="AE54" s="751">
        <f t="shared" si="17"/>
        <v>0</v>
      </c>
      <c r="AF54" s="751" t="e">
        <f t="shared" si="18"/>
        <v>#REF!</v>
      </c>
      <c r="AG54" s="754" t="e">
        <f>VLOOKUP($P54,#REF!,14,0)</f>
        <v>#REF!</v>
      </c>
      <c r="AH54" s="751">
        <f t="shared" si="19"/>
        <v>0</v>
      </c>
      <c r="AI54" s="751" t="e">
        <f t="shared" si="20"/>
        <v>#REF!</v>
      </c>
    </row>
    <row r="55" spans="2:35">
      <c r="B55" s="740"/>
      <c r="C55" s="740"/>
      <c r="D55" s="740"/>
      <c r="E55" s="740"/>
      <c r="F55" s="740"/>
      <c r="G55" s="740"/>
      <c r="H55" s="740"/>
      <c r="I55" s="740"/>
      <c r="J55" s="740"/>
      <c r="K55" s="740"/>
      <c r="L55" s="740"/>
      <c r="M55" s="740"/>
      <c r="O55" s="743" t="s">
        <v>361</v>
      </c>
      <c r="P55" s="744" t="s">
        <v>457</v>
      </c>
      <c r="Q55" s="744" t="s">
        <v>458</v>
      </c>
      <c r="R55" s="754" t="e">
        <f>VLOOKUP($P55,#REF!,3,0)</f>
        <v>#REF!</v>
      </c>
      <c r="S55" s="751">
        <f t="shared" si="9"/>
        <v>0</v>
      </c>
      <c r="T55" s="751" t="e">
        <f t="shared" si="10"/>
        <v>#REF!</v>
      </c>
      <c r="U55" s="754" t="e">
        <f>VLOOKUP($P55,#REF!,4,0)</f>
        <v>#REF!</v>
      </c>
      <c r="V55" s="751">
        <f t="shared" si="11"/>
        <v>0</v>
      </c>
      <c r="W55" s="751" t="e">
        <f t="shared" si="12"/>
        <v>#REF!</v>
      </c>
      <c r="X55" s="754" t="e">
        <f>VLOOKUP($P55,#REF!,5,0)</f>
        <v>#REF!</v>
      </c>
      <c r="Y55" s="751">
        <f t="shared" si="13"/>
        <v>0</v>
      </c>
      <c r="Z55" s="751" t="e">
        <f t="shared" si="14"/>
        <v>#REF!</v>
      </c>
      <c r="AA55" s="754" t="e">
        <f>VLOOKUP($P55,#REF!,9,0)</f>
        <v>#REF!</v>
      </c>
      <c r="AB55" s="751">
        <f t="shared" si="15"/>
        <v>0</v>
      </c>
      <c r="AC55" s="751" t="e">
        <f t="shared" si="16"/>
        <v>#REF!</v>
      </c>
      <c r="AD55" s="754" t="e">
        <f>VLOOKUP($P55,#REF!,11,0)</f>
        <v>#REF!</v>
      </c>
      <c r="AE55" s="751">
        <f t="shared" si="17"/>
        <v>0</v>
      </c>
      <c r="AF55" s="751" t="e">
        <f t="shared" si="18"/>
        <v>#REF!</v>
      </c>
      <c r="AG55" s="754" t="e">
        <f>VLOOKUP($P55,#REF!,14,0)</f>
        <v>#REF!</v>
      </c>
      <c r="AH55" s="751">
        <f t="shared" si="19"/>
        <v>0</v>
      </c>
      <c r="AI55" s="751" t="e">
        <f t="shared" si="20"/>
        <v>#REF!</v>
      </c>
    </row>
    <row r="56" spans="2:35">
      <c r="B56" s="740"/>
      <c r="C56" s="740"/>
      <c r="D56" s="740"/>
      <c r="E56" s="740"/>
      <c r="F56" s="740"/>
      <c r="G56" s="740"/>
      <c r="H56" s="740"/>
      <c r="I56" s="740"/>
      <c r="J56" s="740"/>
      <c r="K56" s="740"/>
      <c r="L56" s="740"/>
      <c r="M56" s="740"/>
      <c r="O56" s="743" t="s">
        <v>361</v>
      </c>
      <c r="P56" s="744" t="s">
        <v>459</v>
      </c>
      <c r="Q56" s="744" t="s">
        <v>460</v>
      </c>
      <c r="R56" s="754" t="e">
        <f>VLOOKUP($P56,#REF!,3,0)</f>
        <v>#REF!</v>
      </c>
      <c r="S56" s="751">
        <f t="shared" si="9"/>
        <v>0</v>
      </c>
      <c r="T56" s="751" t="e">
        <f t="shared" si="10"/>
        <v>#REF!</v>
      </c>
      <c r="U56" s="754" t="e">
        <f>VLOOKUP($P56,#REF!,4,0)</f>
        <v>#REF!</v>
      </c>
      <c r="V56" s="751">
        <f t="shared" si="11"/>
        <v>0</v>
      </c>
      <c r="W56" s="751" t="e">
        <f t="shared" si="12"/>
        <v>#REF!</v>
      </c>
      <c r="X56" s="754" t="e">
        <f>VLOOKUP($P56,#REF!,5,0)</f>
        <v>#REF!</v>
      </c>
      <c r="Y56" s="751">
        <f t="shared" si="13"/>
        <v>0</v>
      </c>
      <c r="Z56" s="751" t="e">
        <f t="shared" si="14"/>
        <v>#REF!</v>
      </c>
      <c r="AA56" s="754" t="e">
        <f>VLOOKUP($P56,#REF!,9,0)</f>
        <v>#REF!</v>
      </c>
      <c r="AB56" s="751">
        <f t="shared" si="15"/>
        <v>0</v>
      </c>
      <c r="AC56" s="751" t="e">
        <f t="shared" si="16"/>
        <v>#REF!</v>
      </c>
      <c r="AD56" s="754" t="e">
        <f>VLOOKUP($P56,#REF!,11,0)</f>
        <v>#REF!</v>
      </c>
      <c r="AE56" s="751">
        <f t="shared" si="17"/>
        <v>0</v>
      </c>
      <c r="AF56" s="751" t="e">
        <f t="shared" si="18"/>
        <v>#REF!</v>
      </c>
      <c r="AG56" s="754" t="e">
        <f>VLOOKUP($P56,#REF!,14,0)</f>
        <v>#REF!</v>
      </c>
      <c r="AH56" s="751">
        <f t="shared" si="19"/>
        <v>0</v>
      </c>
      <c r="AI56" s="751" t="e">
        <f t="shared" si="20"/>
        <v>#REF!</v>
      </c>
    </row>
    <row r="57" spans="2:35">
      <c r="B57" s="740"/>
      <c r="C57" s="740"/>
      <c r="D57" s="740"/>
      <c r="E57" s="740"/>
      <c r="F57" s="740"/>
      <c r="G57" s="740"/>
      <c r="H57" s="740"/>
      <c r="I57" s="740"/>
      <c r="J57" s="740"/>
      <c r="K57" s="740"/>
      <c r="L57" s="740"/>
      <c r="M57" s="740"/>
      <c r="O57" s="743" t="s">
        <v>361</v>
      </c>
      <c r="P57" s="744" t="s">
        <v>461</v>
      </c>
      <c r="Q57" s="744" t="s">
        <v>462</v>
      </c>
      <c r="R57" s="754" t="e">
        <f>VLOOKUP($P57,#REF!,3,0)</f>
        <v>#REF!</v>
      </c>
      <c r="S57" s="751">
        <f t="shared" si="9"/>
        <v>0</v>
      </c>
      <c r="T57" s="751" t="e">
        <f t="shared" si="10"/>
        <v>#REF!</v>
      </c>
      <c r="U57" s="754" t="e">
        <f>VLOOKUP($P57,#REF!,4,0)</f>
        <v>#REF!</v>
      </c>
      <c r="V57" s="751">
        <f t="shared" si="11"/>
        <v>0</v>
      </c>
      <c r="W57" s="751" t="e">
        <f t="shared" si="12"/>
        <v>#REF!</v>
      </c>
      <c r="X57" s="754" t="e">
        <f>VLOOKUP($P57,#REF!,5,0)</f>
        <v>#REF!</v>
      </c>
      <c r="Y57" s="751">
        <f t="shared" si="13"/>
        <v>0</v>
      </c>
      <c r="Z57" s="751" t="e">
        <f t="shared" si="14"/>
        <v>#REF!</v>
      </c>
      <c r="AA57" s="754" t="e">
        <f>VLOOKUP($P57,#REF!,9,0)</f>
        <v>#REF!</v>
      </c>
      <c r="AB57" s="751">
        <f t="shared" si="15"/>
        <v>0</v>
      </c>
      <c r="AC57" s="751" t="e">
        <f t="shared" si="16"/>
        <v>#REF!</v>
      </c>
      <c r="AD57" s="754" t="e">
        <f>VLOOKUP($P57,#REF!,11,0)</f>
        <v>#REF!</v>
      </c>
      <c r="AE57" s="751">
        <f t="shared" si="17"/>
        <v>0</v>
      </c>
      <c r="AF57" s="751" t="e">
        <f t="shared" si="18"/>
        <v>#REF!</v>
      </c>
      <c r="AG57" s="754" t="e">
        <f>VLOOKUP($P57,#REF!,14,0)</f>
        <v>#REF!</v>
      </c>
      <c r="AH57" s="751">
        <f t="shared" si="19"/>
        <v>0</v>
      </c>
      <c r="AI57" s="751" t="e">
        <f t="shared" si="20"/>
        <v>#REF!</v>
      </c>
    </row>
    <row r="58" spans="2:35">
      <c r="B58" s="740"/>
      <c r="C58" s="740"/>
      <c r="D58" s="740"/>
      <c r="E58" s="740"/>
      <c r="F58" s="740"/>
      <c r="G58" s="740"/>
      <c r="H58" s="740"/>
      <c r="I58" s="740"/>
      <c r="J58" s="740"/>
      <c r="K58" s="740"/>
      <c r="L58" s="740"/>
      <c r="M58" s="740"/>
      <c r="O58" s="743" t="s">
        <v>361</v>
      </c>
      <c r="P58" s="744" t="s">
        <v>463</v>
      </c>
      <c r="Q58" s="744" t="s">
        <v>683</v>
      </c>
      <c r="R58" s="754" t="e">
        <f>VLOOKUP($P58,#REF!,3,0)</f>
        <v>#REF!</v>
      </c>
      <c r="S58" s="751">
        <f t="shared" si="9"/>
        <v>0</v>
      </c>
      <c r="T58" s="751" t="e">
        <f t="shared" si="10"/>
        <v>#REF!</v>
      </c>
      <c r="U58" s="754" t="e">
        <f>VLOOKUP($P58,#REF!,4,0)</f>
        <v>#REF!</v>
      </c>
      <c r="V58" s="751">
        <f t="shared" si="11"/>
        <v>0</v>
      </c>
      <c r="W58" s="751" t="e">
        <f t="shared" si="12"/>
        <v>#REF!</v>
      </c>
      <c r="X58" s="754" t="e">
        <f>VLOOKUP($P58,#REF!,5,0)</f>
        <v>#REF!</v>
      </c>
      <c r="Y58" s="751">
        <f t="shared" si="13"/>
        <v>0</v>
      </c>
      <c r="Z58" s="751" t="e">
        <f t="shared" si="14"/>
        <v>#REF!</v>
      </c>
      <c r="AA58" s="754" t="e">
        <f>VLOOKUP($P58,#REF!,9,0)</f>
        <v>#REF!</v>
      </c>
      <c r="AB58" s="751">
        <f t="shared" si="15"/>
        <v>0</v>
      </c>
      <c r="AC58" s="751" t="e">
        <f t="shared" si="16"/>
        <v>#REF!</v>
      </c>
      <c r="AD58" s="754" t="e">
        <f>VLOOKUP($P58,#REF!,11,0)</f>
        <v>#REF!</v>
      </c>
      <c r="AE58" s="751">
        <f t="shared" si="17"/>
        <v>0</v>
      </c>
      <c r="AF58" s="751" t="e">
        <f t="shared" si="18"/>
        <v>#REF!</v>
      </c>
      <c r="AG58" s="754" t="e">
        <f>VLOOKUP($P58,#REF!,14,0)</f>
        <v>#REF!</v>
      </c>
      <c r="AH58" s="751">
        <f t="shared" si="19"/>
        <v>0</v>
      </c>
      <c r="AI58" s="751" t="e">
        <f t="shared" si="20"/>
        <v>#REF!</v>
      </c>
    </row>
    <row r="59" spans="2:35">
      <c r="B59" s="740"/>
      <c r="C59" s="740"/>
      <c r="D59" s="740"/>
      <c r="E59" s="740"/>
      <c r="F59" s="740"/>
      <c r="G59" s="740"/>
      <c r="H59" s="740"/>
      <c r="I59" s="740"/>
      <c r="J59" s="740"/>
      <c r="K59" s="740"/>
      <c r="L59" s="740"/>
      <c r="M59" s="740"/>
      <c r="O59" s="743" t="s">
        <v>362</v>
      </c>
      <c r="P59" s="744" t="s">
        <v>467</v>
      </c>
      <c r="Q59" s="744" t="s">
        <v>468</v>
      </c>
      <c r="R59" s="754" t="e">
        <f>VLOOKUP($P59,#REF!,3,0)</f>
        <v>#REF!</v>
      </c>
      <c r="S59" s="751">
        <f t="shared" si="9"/>
        <v>0</v>
      </c>
      <c r="T59" s="751" t="e">
        <f t="shared" si="10"/>
        <v>#REF!</v>
      </c>
      <c r="U59" s="754" t="e">
        <f>VLOOKUP($P59,#REF!,4,0)</f>
        <v>#REF!</v>
      </c>
      <c r="V59" s="751">
        <f t="shared" si="11"/>
        <v>0</v>
      </c>
      <c r="W59" s="751" t="e">
        <f t="shared" si="12"/>
        <v>#REF!</v>
      </c>
      <c r="X59" s="754" t="e">
        <f>VLOOKUP($P59,#REF!,5,0)</f>
        <v>#REF!</v>
      </c>
      <c r="Y59" s="751">
        <f t="shared" si="13"/>
        <v>0</v>
      </c>
      <c r="Z59" s="751" t="e">
        <f t="shared" si="14"/>
        <v>#REF!</v>
      </c>
      <c r="AA59" s="754" t="e">
        <f>VLOOKUP($P59,#REF!,9,0)</f>
        <v>#REF!</v>
      </c>
      <c r="AB59" s="751">
        <f t="shared" si="15"/>
        <v>0</v>
      </c>
      <c r="AC59" s="751" t="e">
        <f t="shared" si="16"/>
        <v>#REF!</v>
      </c>
      <c r="AD59" s="754" t="e">
        <f>VLOOKUP($P59,#REF!,11,0)</f>
        <v>#REF!</v>
      </c>
      <c r="AE59" s="751">
        <f t="shared" si="17"/>
        <v>0</v>
      </c>
      <c r="AF59" s="751" t="e">
        <f t="shared" si="18"/>
        <v>#REF!</v>
      </c>
      <c r="AG59" s="754" t="e">
        <f>VLOOKUP($P59,#REF!,14,0)</f>
        <v>#REF!</v>
      </c>
      <c r="AH59" s="751">
        <f t="shared" si="19"/>
        <v>0</v>
      </c>
      <c r="AI59" s="751" t="e">
        <f t="shared" si="20"/>
        <v>#REF!</v>
      </c>
    </row>
    <row r="60" spans="2:35">
      <c r="B60" s="740"/>
      <c r="C60" s="740"/>
      <c r="D60" s="740"/>
      <c r="E60" s="740"/>
      <c r="F60" s="740"/>
      <c r="G60" s="740"/>
      <c r="H60" s="740"/>
      <c r="I60" s="740"/>
      <c r="J60" s="740"/>
      <c r="K60" s="740"/>
      <c r="L60" s="740"/>
      <c r="M60" s="740"/>
      <c r="O60" s="743" t="s">
        <v>362</v>
      </c>
      <c r="P60" s="744" t="s">
        <v>471</v>
      </c>
      <c r="Q60" s="744" t="s">
        <v>681</v>
      </c>
      <c r="R60" s="754" t="e">
        <f>VLOOKUP($P60,#REF!,3,0)</f>
        <v>#REF!</v>
      </c>
      <c r="S60" s="751">
        <f t="shared" si="9"/>
        <v>0</v>
      </c>
      <c r="T60" s="751" t="e">
        <f t="shared" si="10"/>
        <v>#REF!</v>
      </c>
      <c r="U60" s="754" t="e">
        <f>VLOOKUP($P60,#REF!,4,0)</f>
        <v>#REF!</v>
      </c>
      <c r="V60" s="751">
        <f t="shared" si="11"/>
        <v>0</v>
      </c>
      <c r="W60" s="751" t="e">
        <f t="shared" si="12"/>
        <v>#REF!</v>
      </c>
      <c r="X60" s="754" t="e">
        <f>VLOOKUP($P60,#REF!,5,0)</f>
        <v>#REF!</v>
      </c>
      <c r="Y60" s="751">
        <f t="shared" si="13"/>
        <v>0</v>
      </c>
      <c r="Z60" s="751" t="e">
        <f t="shared" si="14"/>
        <v>#REF!</v>
      </c>
      <c r="AA60" s="754" t="e">
        <f>VLOOKUP($P60,#REF!,9,0)</f>
        <v>#REF!</v>
      </c>
      <c r="AB60" s="751">
        <f t="shared" si="15"/>
        <v>0</v>
      </c>
      <c r="AC60" s="751" t="e">
        <f t="shared" si="16"/>
        <v>#REF!</v>
      </c>
      <c r="AD60" s="754" t="e">
        <f>VLOOKUP($P60,#REF!,11,0)</f>
        <v>#REF!</v>
      </c>
      <c r="AE60" s="751">
        <f t="shared" si="17"/>
        <v>0</v>
      </c>
      <c r="AF60" s="751" t="e">
        <f t="shared" si="18"/>
        <v>#REF!</v>
      </c>
      <c r="AG60" s="754" t="e">
        <f>VLOOKUP($P60,#REF!,14,0)</f>
        <v>#REF!</v>
      </c>
      <c r="AH60" s="751">
        <f t="shared" si="19"/>
        <v>0</v>
      </c>
      <c r="AI60" s="751" t="e">
        <f t="shared" si="20"/>
        <v>#REF!</v>
      </c>
    </row>
    <row r="61" spans="2:35">
      <c r="B61" s="740"/>
      <c r="C61" s="740"/>
      <c r="D61" s="740"/>
      <c r="E61" s="740"/>
      <c r="F61" s="740"/>
      <c r="G61" s="740"/>
      <c r="H61" s="740"/>
      <c r="I61" s="740"/>
      <c r="J61" s="740"/>
      <c r="K61" s="740"/>
      <c r="L61" s="740"/>
      <c r="M61" s="740"/>
      <c r="O61" s="743" t="s">
        <v>362</v>
      </c>
      <c r="P61" s="744" t="s">
        <v>473</v>
      </c>
      <c r="Q61" s="744" t="s">
        <v>474</v>
      </c>
      <c r="R61" s="754" t="e">
        <f>VLOOKUP($P61,#REF!,3,0)</f>
        <v>#REF!</v>
      </c>
      <c r="S61" s="751">
        <f t="shared" si="9"/>
        <v>0</v>
      </c>
      <c r="T61" s="751" t="e">
        <f t="shared" si="10"/>
        <v>#REF!</v>
      </c>
      <c r="U61" s="754" t="e">
        <f>VLOOKUP($P61,#REF!,4,0)</f>
        <v>#REF!</v>
      </c>
      <c r="V61" s="751">
        <f t="shared" si="11"/>
        <v>0</v>
      </c>
      <c r="W61" s="751" t="e">
        <f t="shared" si="12"/>
        <v>#REF!</v>
      </c>
      <c r="X61" s="754" t="e">
        <f>VLOOKUP($P61,#REF!,5,0)</f>
        <v>#REF!</v>
      </c>
      <c r="Y61" s="751">
        <f t="shared" si="13"/>
        <v>0</v>
      </c>
      <c r="Z61" s="751" t="e">
        <f t="shared" si="14"/>
        <v>#REF!</v>
      </c>
      <c r="AA61" s="754" t="e">
        <f>VLOOKUP($P61,#REF!,9,0)</f>
        <v>#REF!</v>
      </c>
      <c r="AB61" s="751">
        <f t="shared" si="15"/>
        <v>0</v>
      </c>
      <c r="AC61" s="751" t="e">
        <f t="shared" si="16"/>
        <v>#REF!</v>
      </c>
      <c r="AD61" s="754" t="e">
        <f>VLOOKUP($P61,#REF!,11,0)</f>
        <v>#REF!</v>
      </c>
      <c r="AE61" s="751">
        <f t="shared" si="17"/>
        <v>0</v>
      </c>
      <c r="AF61" s="751" t="e">
        <f t="shared" si="18"/>
        <v>#REF!</v>
      </c>
      <c r="AG61" s="754" t="e">
        <f>VLOOKUP($P61,#REF!,14,0)</f>
        <v>#REF!</v>
      </c>
      <c r="AH61" s="751">
        <f t="shared" si="19"/>
        <v>0</v>
      </c>
      <c r="AI61" s="751" t="e">
        <f t="shared" si="20"/>
        <v>#REF!</v>
      </c>
    </row>
    <row r="62" spans="2:35">
      <c r="B62" s="740"/>
      <c r="C62" s="740"/>
      <c r="D62" s="740"/>
      <c r="E62" s="740"/>
      <c r="F62" s="740"/>
      <c r="G62" s="740"/>
      <c r="H62" s="740"/>
      <c r="I62" s="740"/>
      <c r="J62" s="740"/>
      <c r="K62" s="740"/>
      <c r="L62" s="740"/>
      <c r="M62" s="740"/>
      <c r="O62" s="743" t="s">
        <v>362</v>
      </c>
      <c r="P62" s="744" t="s">
        <v>477</v>
      </c>
      <c r="Q62" s="744" t="s">
        <v>682</v>
      </c>
      <c r="R62" s="754" t="e">
        <f>VLOOKUP($P62,#REF!,3,0)</f>
        <v>#REF!</v>
      </c>
      <c r="S62" s="751">
        <f t="shared" si="9"/>
        <v>0</v>
      </c>
      <c r="T62" s="751" t="e">
        <f t="shared" si="10"/>
        <v>#REF!</v>
      </c>
      <c r="U62" s="754" t="e">
        <f>VLOOKUP($P62,#REF!,4,0)</f>
        <v>#REF!</v>
      </c>
      <c r="V62" s="751">
        <f t="shared" si="11"/>
        <v>0</v>
      </c>
      <c r="W62" s="751" t="e">
        <f t="shared" si="12"/>
        <v>#REF!</v>
      </c>
      <c r="X62" s="754" t="e">
        <f>VLOOKUP($P62,#REF!,5,0)</f>
        <v>#REF!</v>
      </c>
      <c r="Y62" s="751">
        <f t="shared" si="13"/>
        <v>0</v>
      </c>
      <c r="Z62" s="751" t="e">
        <f t="shared" si="14"/>
        <v>#REF!</v>
      </c>
      <c r="AA62" s="754" t="e">
        <f>VLOOKUP($P62,#REF!,9,0)</f>
        <v>#REF!</v>
      </c>
      <c r="AB62" s="751">
        <f t="shared" si="15"/>
        <v>0</v>
      </c>
      <c r="AC62" s="751" t="e">
        <f t="shared" si="16"/>
        <v>#REF!</v>
      </c>
      <c r="AD62" s="754" t="e">
        <f>VLOOKUP($P62,#REF!,11,0)</f>
        <v>#REF!</v>
      </c>
      <c r="AE62" s="751">
        <f t="shared" si="17"/>
        <v>0</v>
      </c>
      <c r="AF62" s="751" t="e">
        <f t="shared" si="18"/>
        <v>#REF!</v>
      </c>
      <c r="AG62" s="754" t="e">
        <f>VLOOKUP($P62,#REF!,14,0)</f>
        <v>#REF!</v>
      </c>
      <c r="AH62" s="751">
        <f t="shared" si="19"/>
        <v>0</v>
      </c>
      <c r="AI62" s="751" t="e">
        <f t="shared" si="20"/>
        <v>#REF!</v>
      </c>
    </row>
    <row r="63" spans="2:35">
      <c r="B63" s="740"/>
      <c r="C63" s="740"/>
      <c r="D63" s="740"/>
      <c r="E63" s="740"/>
      <c r="F63" s="740"/>
      <c r="G63" s="740"/>
      <c r="H63" s="740"/>
      <c r="I63" s="740"/>
      <c r="J63" s="740"/>
      <c r="K63" s="740"/>
      <c r="L63" s="740"/>
      <c r="M63" s="740"/>
      <c r="O63" s="745" t="s">
        <v>362</v>
      </c>
      <c r="P63" s="746" t="s">
        <v>480</v>
      </c>
      <c r="Q63" s="746" t="s">
        <v>479</v>
      </c>
      <c r="R63" s="755" t="e">
        <f>VLOOKUP($P63,#REF!,3,0)</f>
        <v>#REF!</v>
      </c>
      <c r="S63" s="752">
        <f t="shared" si="9"/>
        <v>0</v>
      </c>
      <c r="T63" s="752" t="e">
        <f t="shared" si="10"/>
        <v>#REF!</v>
      </c>
      <c r="U63" s="755" t="e">
        <f>VLOOKUP($P63,#REF!,4,0)</f>
        <v>#REF!</v>
      </c>
      <c r="V63" s="752">
        <f t="shared" si="11"/>
        <v>0</v>
      </c>
      <c r="W63" s="752" t="e">
        <f t="shared" si="12"/>
        <v>#REF!</v>
      </c>
      <c r="X63" s="755" t="e">
        <f>VLOOKUP($P63,#REF!,5,0)</f>
        <v>#REF!</v>
      </c>
      <c r="Y63" s="752">
        <f t="shared" si="13"/>
        <v>0</v>
      </c>
      <c r="Z63" s="752" t="e">
        <f t="shared" si="14"/>
        <v>#REF!</v>
      </c>
      <c r="AA63" s="755" t="e">
        <f>VLOOKUP($P63,#REF!,9,0)</f>
        <v>#REF!</v>
      </c>
      <c r="AB63" s="752">
        <f t="shared" si="15"/>
        <v>0</v>
      </c>
      <c r="AC63" s="752" t="e">
        <f t="shared" si="16"/>
        <v>#REF!</v>
      </c>
      <c r="AD63" s="755" t="e">
        <f>VLOOKUP($P63,#REF!,11,0)</f>
        <v>#REF!</v>
      </c>
      <c r="AE63" s="752">
        <f t="shared" si="17"/>
        <v>0</v>
      </c>
      <c r="AF63" s="752" t="e">
        <f t="shared" si="18"/>
        <v>#REF!</v>
      </c>
      <c r="AG63" s="755" t="e">
        <f>VLOOKUP($P63,#REF!,14,0)</f>
        <v>#REF!</v>
      </c>
      <c r="AH63" s="752">
        <f t="shared" si="19"/>
        <v>0</v>
      </c>
      <c r="AI63" s="752" t="e">
        <f t="shared" si="20"/>
        <v>#REF!</v>
      </c>
    </row>
    <row r="64" spans="2:35">
      <c r="B64" s="740"/>
      <c r="C64" s="740"/>
      <c r="D64" s="740"/>
      <c r="E64" s="740"/>
      <c r="F64" s="740"/>
      <c r="G64" s="740"/>
      <c r="H64" s="740"/>
      <c r="I64" s="740"/>
      <c r="J64" s="740"/>
      <c r="K64" s="740"/>
      <c r="L64" s="740"/>
      <c r="M64" s="740"/>
    </row>
    <row r="65" spans="2:13">
      <c r="B65" s="740"/>
      <c r="C65" s="740"/>
      <c r="D65" s="740"/>
      <c r="E65" s="740"/>
      <c r="F65" s="740"/>
      <c r="G65" s="740"/>
      <c r="H65" s="740"/>
      <c r="I65" s="740"/>
      <c r="J65" s="740"/>
      <c r="K65" s="740"/>
      <c r="L65" s="740"/>
      <c r="M65" s="740"/>
    </row>
    <row r="66" spans="2:13">
      <c r="B66" s="740"/>
      <c r="C66" s="740"/>
      <c r="D66" s="740"/>
      <c r="E66" s="740"/>
      <c r="F66" s="740"/>
      <c r="G66" s="740"/>
      <c r="H66" s="740"/>
      <c r="I66" s="740"/>
      <c r="J66" s="740"/>
      <c r="K66" s="740"/>
      <c r="L66" s="740"/>
      <c r="M66" s="740"/>
    </row>
    <row r="67" spans="2:13">
      <c r="B67" s="740"/>
      <c r="C67" s="740"/>
      <c r="D67" s="740"/>
      <c r="E67" s="740"/>
      <c r="F67" s="740"/>
      <c r="G67" s="740"/>
      <c r="H67" s="740"/>
      <c r="I67" s="740"/>
      <c r="J67" s="740"/>
      <c r="K67" s="740"/>
      <c r="L67" s="740"/>
      <c r="M67" s="740"/>
    </row>
    <row r="68" spans="2:13">
      <c r="B68" s="740"/>
      <c r="C68" s="740"/>
      <c r="D68" s="740"/>
      <c r="E68" s="740"/>
      <c r="F68" s="740"/>
      <c r="G68" s="740"/>
      <c r="H68" s="740"/>
      <c r="I68" s="740"/>
      <c r="J68" s="740"/>
      <c r="K68" s="740"/>
      <c r="L68" s="740"/>
      <c r="M68" s="740"/>
    </row>
    <row r="69" spans="2:13">
      <c r="B69" s="740"/>
      <c r="C69" s="740"/>
      <c r="D69" s="740"/>
      <c r="E69" s="740"/>
      <c r="F69" s="740"/>
      <c r="G69" s="740"/>
      <c r="H69" s="740"/>
      <c r="I69" s="740"/>
      <c r="J69" s="740"/>
      <c r="K69" s="740"/>
      <c r="L69" s="740"/>
      <c r="M69" s="740"/>
    </row>
    <row r="70" spans="2:13">
      <c r="B70" s="740"/>
      <c r="C70" s="740"/>
      <c r="D70" s="740"/>
      <c r="E70" s="740"/>
      <c r="F70" s="740"/>
      <c r="G70" s="740"/>
      <c r="H70" s="740"/>
      <c r="I70" s="740"/>
      <c r="J70" s="740"/>
      <c r="K70" s="740"/>
      <c r="L70" s="740"/>
      <c r="M70" s="740"/>
    </row>
    <row r="71" spans="2:13">
      <c r="B71" s="740"/>
      <c r="C71" s="740"/>
      <c r="D71" s="740"/>
      <c r="E71" s="740"/>
      <c r="F71" s="740"/>
      <c r="G71" s="740"/>
      <c r="H71" s="740"/>
      <c r="I71" s="740"/>
      <c r="J71" s="740"/>
      <c r="K71" s="740"/>
      <c r="L71" s="740"/>
      <c r="M71" s="740"/>
    </row>
    <row r="72" spans="2:13">
      <c r="B72" s="740"/>
      <c r="C72" s="740"/>
      <c r="D72" s="740"/>
      <c r="E72" s="740"/>
      <c r="F72" s="740"/>
      <c r="G72" s="740"/>
      <c r="H72" s="740"/>
      <c r="I72" s="740"/>
      <c r="J72" s="740"/>
      <c r="K72" s="740"/>
      <c r="L72" s="740"/>
      <c r="M72" s="740"/>
    </row>
    <row r="73" spans="2:13">
      <c r="B73" s="740"/>
      <c r="C73" s="740"/>
      <c r="D73" s="740"/>
      <c r="E73" s="740"/>
      <c r="F73" s="740"/>
      <c r="G73" s="740"/>
      <c r="H73" s="740"/>
      <c r="I73" s="740"/>
      <c r="J73" s="740"/>
      <c r="K73" s="740"/>
      <c r="L73" s="740"/>
      <c r="M73" s="740"/>
    </row>
    <row r="74" spans="2:13">
      <c r="B74" s="740"/>
      <c r="C74" s="740"/>
      <c r="D74" s="740"/>
      <c r="E74" s="740"/>
      <c r="F74" s="740"/>
      <c r="G74" s="740"/>
      <c r="H74" s="740"/>
      <c r="I74" s="740"/>
      <c r="J74" s="740"/>
      <c r="K74" s="740"/>
      <c r="L74" s="740"/>
      <c r="M74" s="740"/>
    </row>
    <row r="75" spans="2:13">
      <c r="B75" s="740"/>
      <c r="C75" s="740"/>
      <c r="D75" s="740"/>
      <c r="E75" s="740"/>
      <c r="F75" s="740"/>
      <c r="G75" s="740"/>
      <c r="H75" s="740"/>
      <c r="I75" s="740"/>
      <c r="J75" s="740"/>
      <c r="K75" s="740"/>
      <c r="L75" s="740"/>
      <c r="M75" s="740"/>
    </row>
    <row r="76" spans="2:13">
      <c r="B76" s="740"/>
      <c r="C76" s="740"/>
      <c r="D76" s="740"/>
      <c r="E76" s="740"/>
      <c r="F76" s="740"/>
      <c r="G76" s="740"/>
      <c r="H76" s="740"/>
      <c r="I76" s="740"/>
      <c r="J76" s="740"/>
      <c r="K76" s="740"/>
      <c r="L76" s="740"/>
      <c r="M76" s="740"/>
    </row>
    <row r="77" spans="2:13">
      <c r="B77" s="740"/>
      <c r="C77" s="740"/>
      <c r="D77" s="740"/>
      <c r="E77" s="740"/>
      <c r="F77" s="740"/>
      <c r="G77" s="740"/>
      <c r="H77" s="740"/>
      <c r="I77" s="740"/>
      <c r="J77" s="740"/>
      <c r="K77" s="740"/>
      <c r="L77" s="740"/>
      <c r="M77" s="740"/>
    </row>
    <row r="78" spans="2:13">
      <c r="B78" s="740"/>
      <c r="C78" s="740"/>
      <c r="D78" s="740"/>
      <c r="E78" s="740"/>
      <c r="F78" s="740"/>
      <c r="G78" s="740"/>
      <c r="H78" s="740"/>
      <c r="I78" s="740"/>
      <c r="J78" s="740"/>
      <c r="K78" s="740"/>
      <c r="L78" s="740"/>
      <c r="M78" s="740"/>
    </row>
    <row r="79" spans="2:13">
      <c r="B79" s="740"/>
      <c r="C79" s="740"/>
      <c r="D79" s="740"/>
      <c r="E79" s="740"/>
      <c r="F79" s="740"/>
      <c r="G79" s="740"/>
      <c r="H79" s="740"/>
      <c r="I79" s="740"/>
      <c r="J79" s="740"/>
      <c r="K79" s="740"/>
      <c r="L79" s="740"/>
      <c r="M79" s="740"/>
    </row>
    <row r="80" spans="2:13">
      <c r="B80" s="740"/>
      <c r="C80" s="740"/>
      <c r="D80" s="740"/>
      <c r="E80" s="740"/>
      <c r="F80" s="740"/>
      <c r="G80" s="740"/>
      <c r="H80" s="740"/>
      <c r="I80" s="740"/>
      <c r="J80" s="740"/>
      <c r="K80" s="740"/>
      <c r="L80" s="740"/>
      <c r="M80" s="740"/>
    </row>
    <row r="81" spans="2:13">
      <c r="B81" s="740"/>
      <c r="C81" s="740"/>
      <c r="D81" s="740"/>
      <c r="E81" s="740"/>
      <c r="F81" s="740"/>
      <c r="G81" s="740"/>
      <c r="H81" s="740"/>
      <c r="I81" s="740"/>
      <c r="J81" s="740"/>
      <c r="K81" s="740"/>
      <c r="L81" s="740"/>
      <c r="M81" s="740"/>
    </row>
    <row r="82" spans="2:13">
      <c r="B82" s="740"/>
      <c r="C82" s="740"/>
      <c r="D82" s="740"/>
      <c r="E82" s="740"/>
      <c r="F82" s="740"/>
      <c r="G82" s="740"/>
      <c r="H82" s="740"/>
      <c r="I82" s="740"/>
      <c r="J82" s="740"/>
      <c r="K82" s="740"/>
      <c r="L82" s="740"/>
      <c r="M82" s="740"/>
    </row>
    <row r="83" spans="2:13">
      <c r="B83" s="740"/>
      <c r="C83" s="740"/>
      <c r="D83" s="740"/>
      <c r="E83" s="740"/>
      <c r="F83" s="740"/>
      <c r="G83" s="740"/>
      <c r="H83" s="740"/>
      <c r="I83" s="740"/>
      <c r="J83" s="740"/>
      <c r="K83" s="740"/>
      <c r="L83" s="740"/>
      <c r="M83" s="740"/>
    </row>
    <row r="84" spans="2:13">
      <c r="B84" s="740"/>
      <c r="C84" s="740"/>
      <c r="D84" s="740"/>
      <c r="E84" s="740"/>
      <c r="F84" s="740"/>
      <c r="G84" s="740"/>
      <c r="H84" s="740"/>
      <c r="I84" s="740"/>
      <c r="J84" s="740"/>
      <c r="K84" s="740"/>
      <c r="L84" s="740"/>
      <c r="M84" s="740"/>
    </row>
    <row r="85" spans="2:13">
      <c r="B85" s="740"/>
      <c r="C85" s="740"/>
      <c r="D85" s="740"/>
      <c r="E85" s="740"/>
      <c r="F85" s="740"/>
      <c r="G85" s="740"/>
      <c r="H85" s="740"/>
      <c r="I85" s="740"/>
      <c r="J85" s="740"/>
      <c r="K85" s="740"/>
      <c r="L85" s="740"/>
      <c r="M85" s="740"/>
    </row>
    <row r="86" spans="2:13">
      <c r="B86" s="740"/>
      <c r="C86" s="740"/>
      <c r="D86" s="740"/>
      <c r="E86" s="740"/>
      <c r="F86" s="740"/>
      <c r="G86" s="740"/>
      <c r="H86" s="740"/>
      <c r="I86" s="740"/>
      <c r="J86" s="740"/>
      <c r="K86" s="740"/>
      <c r="L86" s="740"/>
      <c r="M86" s="740"/>
    </row>
    <row r="87" spans="2:13">
      <c r="B87" s="740"/>
      <c r="C87" s="740"/>
      <c r="D87" s="740"/>
      <c r="E87" s="740"/>
      <c r="F87" s="740"/>
      <c r="G87" s="740"/>
      <c r="H87" s="740"/>
      <c r="I87" s="740"/>
      <c r="J87" s="740"/>
      <c r="K87" s="740"/>
      <c r="L87" s="740"/>
      <c r="M87" s="740"/>
    </row>
    <row r="88" spans="2:13">
      <c r="B88" s="740"/>
      <c r="C88" s="740"/>
      <c r="D88" s="740"/>
      <c r="E88" s="740"/>
      <c r="F88" s="740"/>
      <c r="G88" s="740"/>
      <c r="H88" s="740"/>
      <c r="I88" s="740"/>
      <c r="J88" s="740"/>
      <c r="K88" s="740"/>
      <c r="L88" s="740"/>
      <c r="M88" s="740"/>
    </row>
    <row r="89" spans="2:13">
      <c r="B89" s="740"/>
      <c r="C89" s="740"/>
      <c r="D89" s="740"/>
      <c r="E89" s="740"/>
      <c r="F89" s="740"/>
      <c r="G89" s="740"/>
      <c r="H89" s="740"/>
      <c r="I89" s="740"/>
      <c r="J89" s="740"/>
      <c r="K89" s="740"/>
      <c r="L89" s="740"/>
      <c r="M89" s="740"/>
    </row>
    <row r="90" spans="2:13">
      <c r="B90" s="740"/>
      <c r="C90" s="740"/>
      <c r="D90" s="740"/>
      <c r="E90" s="740"/>
      <c r="F90" s="740"/>
      <c r="G90" s="740"/>
      <c r="H90" s="740"/>
      <c r="I90" s="740"/>
      <c r="J90" s="740"/>
      <c r="K90" s="740"/>
      <c r="L90" s="740"/>
      <c r="M90" s="740"/>
    </row>
    <row r="91" spans="2:13">
      <c r="B91" s="740"/>
      <c r="C91" s="740"/>
      <c r="D91" s="740"/>
      <c r="E91" s="740"/>
      <c r="F91" s="740"/>
      <c r="G91" s="740"/>
      <c r="H91" s="740"/>
      <c r="I91" s="740"/>
      <c r="J91" s="740"/>
      <c r="K91" s="740"/>
      <c r="L91" s="740"/>
      <c r="M91" s="740"/>
    </row>
    <row r="92" spans="2:13">
      <c r="B92" s="740"/>
      <c r="C92" s="740"/>
      <c r="D92" s="740"/>
      <c r="E92" s="740"/>
      <c r="F92" s="740"/>
      <c r="G92" s="740"/>
      <c r="H92" s="740"/>
      <c r="I92" s="740"/>
      <c r="J92" s="740"/>
      <c r="K92" s="740"/>
      <c r="L92" s="740"/>
      <c r="M92" s="740"/>
    </row>
    <row r="93" spans="2:13">
      <c r="B93" s="740"/>
      <c r="C93" s="740"/>
      <c r="D93" s="740"/>
      <c r="E93" s="740"/>
      <c r="F93" s="740"/>
      <c r="G93" s="740"/>
      <c r="H93" s="740"/>
      <c r="I93" s="740"/>
      <c r="J93" s="740"/>
      <c r="K93" s="740"/>
      <c r="L93" s="740"/>
      <c r="M93" s="740"/>
    </row>
    <row r="94" spans="2:13">
      <c r="B94" s="740"/>
      <c r="C94" s="740"/>
      <c r="D94" s="740"/>
      <c r="E94" s="740"/>
      <c r="F94" s="740"/>
      <c r="G94" s="740"/>
      <c r="H94" s="740"/>
      <c r="I94" s="740"/>
      <c r="J94" s="740"/>
      <c r="K94" s="740"/>
      <c r="L94" s="740"/>
      <c r="M94" s="740"/>
    </row>
    <row r="95" spans="2:13">
      <c r="B95" s="740"/>
      <c r="C95" s="740"/>
      <c r="D95" s="740"/>
      <c r="E95" s="740"/>
      <c r="F95" s="740"/>
      <c r="G95" s="740"/>
      <c r="H95" s="740"/>
      <c r="I95" s="740"/>
      <c r="J95" s="740"/>
      <c r="K95" s="740"/>
      <c r="L95" s="740"/>
      <c r="M95" s="740"/>
    </row>
    <row r="96" spans="2:13">
      <c r="B96" s="740"/>
      <c r="C96" s="740"/>
      <c r="D96" s="740"/>
      <c r="E96" s="740"/>
      <c r="F96" s="740"/>
      <c r="G96" s="740"/>
      <c r="H96" s="740"/>
      <c r="I96" s="740"/>
      <c r="J96" s="740"/>
      <c r="K96" s="740"/>
      <c r="L96" s="740"/>
      <c r="M96" s="740"/>
    </row>
    <row r="97" spans="2:13">
      <c r="B97" s="740"/>
      <c r="C97" s="740"/>
      <c r="D97" s="740"/>
      <c r="E97" s="740"/>
      <c r="F97" s="740"/>
      <c r="G97" s="740"/>
      <c r="H97" s="740"/>
      <c r="I97" s="740"/>
      <c r="J97" s="740"/>
      <c r="K97" s="740"/>
      <c r="L97" s="740"/>
      <c r="M97" s="740"/>
    </row>
    <row r="98" spans="2:13">
      <c r="B98" s="740"/>
      <c r="C98" s="740"/>
      <c r="D98" s="740"/>
      <c r="E98" s="740"/>
      <c r="F98" s="740"/>
      <c r="G98" s="740"/>
      <c r="H98" s="740"/>
      <c r="I98" s="740"/>
      <c r="J98" s="740"/>
      <c r="K98" s="740"/>
      <c r="L98" s="740"/>
      <c r="M98" s="740"/>
    </row>
    <row r="99" spans="2:13">
      <c r="B99" s="740"/>
      <c r="C99" s="740"/>
      <c r="D99" s="740"/>
      <c r="E99" s="740"/>
      <c r="F99" s="740"/>
      <c r="G99" s="740"/>
      <c r="H99" s="740"/>
      <c r="I99" s="740"/>
      <c r="J99" s="740"/>
      <c r="K99" s="740"/>
      <c r="L99" s="740"/>
      <c r="M99" s="740"/>
    </row>
    <row r="100" spans="2:13">
      <c r="B100" s="740"/>
      <c r="C100" s="740"/>
      <c r="D100" s="740"/>
      <c r="E100" s="740"/>
      <c r="F100" s="740"/>
      <c r="G100" s="740"/>
      <c r="H100" s="740"/>
      <c r="I100" s="740"/>
      <c r="J100" s="740"/>
      <c r="K100" s="740"/>
      <c r="L100" s="740"/>
      <c r="M100" s="740"/>
    </row>
    <row r="101" spans="2:13">
      <c r="B101" s="740"/>
      <c r="C101" s="740"/>
      <c r="D101" s="740"/>
      <c r="E101" s="740"/>
      <c r="F101" s="740"/>
      <c r="G101" s="740"/>
      <c r="H101" s="740"/>
      <c r="I101" s="740"/>
      <c r="J101" s="740"/>
      <c r="K101" s="740"/>
      <c r="L101" s="740"/>
      <c r="M101" s="740"/>
    </row>
    <row r="102" spans="2:13">
      <c r="B102" s="740"/>
      <c r="C102" s="740"/>
      <c r="D102" s="740"/>
      <c r="E102" s="740"/>
      <c r="F102" s="740"/>
      <c r="G102" s="740"/>
      <c r="H102" s="740"/>
      <c r="I102" s="740"/>
      <c r="J102" s="740"/>
      <c r="K102" s="740"/>
      <c r="L102" s="740"/>
      <c r="M102" s="740"/>
    </row>
    <row r="103" spans="2:13">
      <c r="B103" s="740"/>
      <c r="C103" s="740"/>
      <c r="D103" s="740"/>
      <c r="E103" s="740"/>
      <c r="F103" s="740"/>
      <c r="G103" s="740"/>
      <c r="H103" s="740"/>
      <c r="I103" s="740"/>
      <c r="J103" s="740"/>
      <c r="K103" s="740"/>
      <c r="L103" s="740"/>
      <c r="M103" s="740"/>
    </row>
    <row r="104" spans="2:13">
      <c r="B104" s="740"/>
      <c r="C104" s="740"/>
      <c r="D104" s="740"/>
      <c r="E104" s="740"/>
      <c r="F104" s="740"/>
      <c r="G104" s="740"/>
      <c r="H104" s="740"/>
      <c r="I104" s="740"/>
      <c r="J104" s="740"/>
      <c r="K104" s="740"/>
      <c r="L104" s="740"/>
      <c r="M104" s="740"/>
    </row>
    <row r="105" spans="2:13">
      <c r="B105" s="740"/>
      <c r="C105" s="740"/>
      <c r="D105" s="740"/>
      <c r="E105" s="740"/>
      <c r="F105" s="740"/>
      <c r="G105" s="740"/>
      <c r="H105" s="740"/>
      <c r="I105" s="740"/>
      <c r="J105" s="740"/>
      <c r="K105" s="740"/>
      <c r="L105" s="740"/>
      <c r="M105" s="740"/>
    </row>
    <row r="106" spans="2:13">
      <c r="B106" s="740"/>
      <c r="C106" s="740"/>
      <c r="D106" s="740"/>
      <c r="E106" s="740"/>
      <c r="F106" s="740"/>
      <c r="G106" s="740"/>
      <c r="H106" s="740"/>
      <c r="I106" s="740"/>
      <c r="J106" s="740"/>
      <c r="K106" s="740"/>
      <c r="L106" s="740"/>
      <c r="M106" s="740"/>
    </row>
    <row r="107" spans="2:13">
      <c r="B107" s="740"/>
      <c r="C107" s="740"/>
      <c r="D107" s="740"/>
      <c r="E107" s="740"/>
      <c r="F107" s="740"/>
      <c r="G107" s="740"/>
      <c r="H107" s="740"/>
      <c r="I107" s="740"/>
      <c r="J107" s="740"/>
      <c r="K107" s="740"/>
      <c r="L107" s="740"/>
      <c r="M107" s="740"/>
    </row>
    <row r="108" spans="2:13">
      <c r="B108" s="740"/>
      <c r="C108" s="740"/>
      <c r="D108" s="740"/>
      <c r="E108" s="740"/>
      <c r="F108" s="740"/>
      <c r="G108" s="740"/>
      <c r="H108" s="740"/>
      <c r="I108" s="740"/>
      <c r="J108" s="740"/>
      <c r="K108" s="740"/>
      <c r="L108" s="740"/>
      <c r="M108" s="740"/>
    </row>
    <row r="109" spans="2:13">
      <c r="B109" s="740"/>
      <c r="C109" s="740"/>
      <c r="D109" s="740"/>
      <c r="E109" s="740"/>
      <c r="F109" s="740"/>
      <c r="G109" s="740"/>
      <c r="H109" s="740"/>
      <c r="I109" s="740"/>
      <c r="J109" s="740"/>
      <c r="K109" s="740"/>
      <c r="L109" s="740"/>
      <c r="M109" s="740"/>
    </row>
    <row r="110" spans="2:13">
      <c r="B110" s="740"/>
      <c r="C110" s="740"/>
      <c r="D110" s="740"/>
      <c r="E110" s="740"/>
      <c r="F110" s="740"/>
      <c r="G110" s="740"/>
      <c r="H110" s="740"/>
      <c r="I110" s="740"/>
      <c r="J110" s="740"/>
      <c r="K110" s="740"/>
      <c r="L110" s="740"/>
      <c r="M110" s="740"/>
    </row>
    <row r="111" spans="2:13">
      <c r="B111" s="740"/>
      <c r="C111" s="740"/>
      <c r="D111" s="740"/>
      <c r="E111" s="740"/>
      <c r="F111" s="740"/>
      <c r="G111" s="740"/>
      <c r="H111" s="740"/>
      <c r="I111" s="740"/>
      <c r="J111" s="740"/>
      <c r="K111" s="740"/>
      <c r="L111" s="740"/>
      <c r="M111" s="740"/>
    </row>
    <row r="112" spans="2:13">
      <c r="B112" s="740"/>
      <c r="C112" s="740"/>
      <c r="D112" s="740"/>
      <c r="E112" s="740"/>
      <c r="F112" s="740"/>
      <c r="G112" s="740"/>
      <c r="H112" s="740"/>
      <c r="I112" s="740"/>
      <c r="J112" s="740"/>
      <c r="K112" s="740"/>
      <c r="L112" s="740"/>
      <c r="M112" s="740"/>
    </row>
    <row r="113" spans="2:13">
      <c r="B113" s="740"/>
      <c r="C113" s="740"/>
      <c r="D113" s="740"/>
      <c r="E113" s="740"/>
      <c r="F113" s="740"/>
      <c r="G113" s="740"/>
      <c r="H113" s="740"/>
      <c r="I113" s="740"/>
      <c r="J113" s="740"/>
      <c r="K113" s="740"/>
      <c r="L113" s="740"/>
      <c r="M113" s="740"/>
    </row>
    <row r="114" spans="2:13">
      <c r="B114" s="740"/>
      <c r="C114" s="740"/>
      <c r="D114" s="740"/>
      <c r="E114" s="740"/>
      <c r="F114" s="740"/>
      <c r="G114" s="740"/>
      <c r="H114" s="740"/>
      <c r="I114" s="740"/>
      <c r="J114" s="740"/>
      <c r="K114" s="740"/>
      <c r="L114" s="740"/>
      <c r="M114" s="740"/>
    </row>
    <row r="115" spans="2:13">
      <c r="B115" s="740"/>
      <c r="C115" s="740"/>
      <c r="D115" s="740"/>
      <c r="E115" s="740"/>
      <c r="F115" s="740"/>
      <c r="G115" s="740"/>
      <c r="H115" s="740"/>
      <c r="I115" s="740"/>
      <c r="J115" s="740"/>
      <c r="K115" s="740"/>
      <c r="L115" s="740"/>
      <c r="M115" s="740"/>
    </row>
    <row r="116" spans="2:13">
      <c r="B116" s="740"/>
      <c r="C116" s="740"/>
      <c r="D116" s="740"/>
      <c r="E116" s="740"/>
      <c r="F116" s="740"/>
      <c r="G116" s="740"/>
      <c r="H116" s="740"/>
      <c r="I116" s="740"/>
      <c r="J116" s="740"/>
      <c r="K116" s="740"/>
      <c r="L116" s="740"/>
      <c r="M116" s="740"/>
    </row>
    <row r="117" spans="2:13">
      <c r="B117" s="740"/>
      <c r="C117" s="740"/>
      <c r="D117" s="740"/>
      <c r="E117" s="740"/>
      <c r="F117" s="740"/>
      <c r="G117" s="740"/>
      <c r="H117" s="740"/>
      <c r="I117" s="740"/>
      <c r="J117" s="740"/>
      <c r="K117" s="740"/>
      <c r="L117" s="740"/>
      <c r="M117" s="740"/>
    </row>
    <row r="118" spans="2:13">
      <c r="B118" s="740"/>
      <c r="C118" s="740"/>
      <c r="D118" s="740"/>
      <c r="E118" s="740"/>
      <c r="F118" s="740"/>
      <c r="G118" s="740"/>
      <c r="H118" s="740"/>
      <c r="I118" s="740"/>
      <c r="J118" s="740"/>
      <c r="K118" s="740"/>
      <c r="L118" s="740"/>
      <c r="M118" s="740"/>
    </row>
    <row r="119" spans="2:13">
      <c r="B119" s="740"/>
      <c r="C119" s="740"/>
      <c r="D119" s="740"/>
      <c r="E119" s="740"/>
      <c r="F119" s="740"/>
      <c r="G119" s="740"/>
      <c r="H119" s="740"/>
      <c r="I119" s="740"/>
      <c r="J119" s="740"/>
      <c r="K119" s="740"/>
      <c r="L119" s="740"/>
      <c r="M119" s="740"/>
    </row>
    <row r="120" spans="2:13">
      <c r="B120" s="740"/>
      <c r="C120" s="740"/>
      <c r="D120" s="740"/>
      <c r="E120" s="740"/>
      <c r="F120" s="740"/>
      <c r="G120" s="740"/>
      <c r="H120" s="740"/>
      <c r="I120" s="740"/>
      <c r="J120" s="740"/>
      <c r="K120" s="740"/>
      <c r="L120" s="740"/>
      <c r="M120" s="740"/>
    </row>
    <row r="121" spans="2:13">
      <c r="B121" s="740"/>
      <c r="C121" s="740"/>
      <c r="D121" s="740"/>
      <c r="E121" s="740"/>
      <c r="F121" s="740"/>
      <c r="G121" s="740"/>
      <c r="H121" s="740"/>
      <c r="I121" s="740"/>
      <c r="J121" s="740"/>
      <c r="K121" s="740"/>
      <c r="L121" s="740"/>
      <c r="M121" s="740"/>
    </row>
    <row r="122" spans="2:13">
      <c r="B122" s="740"/>
      <c r="C122" s="740"/>
      <c r="D122" s="740"/>
      <c r="E122" s="740"/>
      <c r="F122" s="740"/>
      <c r="G122" s="740"/>
      <c r="H122" s="740"/>
      <c r="I122" s="740"/>
      <c r="J122" s="740"/>
      <c r="K122" s="740"/>
      <c r="L122" s="740"/>
      <c r="M122" s="740"/>
    </row>
    <row r="123" spans="2:13">
      <c r="B123" s="740"/>
      <c r="C123" s="740"/>
      <c r="D123" s="740"/>
      <c r="E123" s="740"/>
      <c r="F123" s="740"/>
      <c r="G123" s="740"/>
      <c r="H123" s="740"/>
      <c r="I123" s="740"/>
      <c r="J123" s="740"/>
      <c r="K123" s="740"/>
      <c r="L123" s="740"/>
      <c r="M123" s="740"/>
    </row>
    <row r="124" spans="2:13">
      <c r="B124" s="740"/>
      <c r="C124" s="740"/>
      <c r="D124" s="740"/>
      <c r="E124" s="740"/>
      <c r="F124" s="740"/>
      <c r="G124" s="740"/>
      <c r="H124" s="740"/>
      <c r="I124" s="740"/>
      <c r="J124" s="740"/>
      <c r="K124" s="740"/>
      <c r="L124" s="740"/>
      <c r="M124" s="740"/>
    </row>
    <row r="125" spans="2:13">
      <c r="B125" s="740"/>
      <c r="C125" s="740"/>
      <c r="D125" s="740"/>
      <c r="E125" s="740"/>
      <c r="F125" s="740"/>
      <c r="G125" s="740"/>
      <c r="H125" s="740"/>
      <c r="I125" s="740"/>
      <c r="J125" s="740"/>
      <c r="K125" s="740"/>
      <c r="L125" s="740"/>
      <c r="M125" s="740"/>
    </row>
    <row r="126" spans="2:13">
      <c r="B126" s="740"/>
      <c r="C126" s="740"/>
      <c r="D126" s="740"/>
      <c r="E126" s="740"/>
      <c r="F126" s="740"/>
      <c r="G126" s="740"/>
      <c r="H126" s="740"/>
      <c r="I126" s="740"/>
      <c r="J126" s="740"/>
      <c r="K126" s="740"/>
      <c r="L126" s="740"/>
      <c r="M126" s="740"/>
    </row>
    <row r="127" spans="2:13">
      <c r="B127" s="740"/>
      <c r="C127" s="740"/>
      <c r="D127" s="740"/>
      <c r="E127" s="740"/>
      <c r="F127" s="740"/>
      <c r="G127" s="740"/>
      <c r="H127" s="740"/>
      <c r="I127" s="740"/>
      <c r="J127" s="740"/>
      <c r="K127" s="740"/>
      <c r="L127" s="740"/>
      <c r="M127" s="740"/>
    </row>
    <row r="128" spans="2:13">
      <c r="B128" s="740"/>
      <c r="C128" s="740"/>
      <c r="D128" s="740"/>
      <c r="E128" s="740"/>
      <c r="F128" s="740"/>
      <c r="G128" s="740"/>
      <c r="H128" s="740"/>
      <c r="I128" s="740"/>
      <c r="J128" s="740"/>
      <c r="K128" s="740"/>
      <c r="L128" s="740"/>
      <c r="M128" s="740"/>
    </row>
    <row r="129" spans="2:13">
      <c r="B129" s="740"/>
      <c r="C129" s="740"/>
      <c r="D129" s="740"/>
      <c r="E129" s="740"/>
      <c r="F129" s="740"/>
      <c r="G129" s="740"/>
      <c r="H129" s="740"/>
      <c r="I129" s="740"/>
      <c r="J129" s="740"/>
      <c r="K129" s="740"/>
      <c r="L129" s="740"/>
      <c r="M129" s="740"/>
    </row>
    <row r="130" spans="2:13">
      <c r="B130" s="740"/>
      <c r="C130" s="740"/>
      <c r="D130" s="740"/>
      <c r="E130" s="740"/>
      <c r="F130" s="740"/>
      <c r="G130" s="740"/>
      <c r="H130" s="740"/>
      <c r="I130" s="740"/>
      <c r="J130" s="740"/>
      <c r="K130" s="740"/>
      <c r="L130" s="740"/>
      <c r="M130" s="740"/>
    </row>
    <row r="131" spans="2:13">
      <c r="B131" s="740"/>
      <c r="C131" s="740"/>
      <c r="D131" s="740"/>
      <c r="E131" s="740"/>
      <c r="F131" s="740"/>
      <c r="G131" s="740"/>
      <c r="H131" s="740"/>
      <c r="I131" s="740"/>
      <c r="J131" s="740"/>
      <c r="K131" s="740"/>
      <c r="L131" s="740"/>
      <c r="M131" s="740"/>
    </row>
    <row r="132" spans="2:13">
      <c r="B132" s="740"/>
      <c r="C132" s="740"/>
      <c r="D132" s="740"/>
      <c r="E132" s="740"/>
      <c r="F132" s="740"/>
      <c r="G132" s="740"/>
      <c r="H132" s="740"/>
      <c r="I132" s="740"/>
      <c r="J132" s="740"/>
      <c r="K132" s="740"/>
      <c r="L132" s="740"/>
      <c r="M132" s="740"/>
    </row>
    <row r="133" spans="2:13">
      <c r="B133" s="740"/>
      <c r="C133" s="740"/>
      <c r="D133" s="740"/>
      <c r="E133" s="740"/>
      <c r="F133" s="740"/>
      <c r="G133" s="740"/>
      <c r="H133" s="740"/>
      <c r="I133" s="740"/>
      <c r="J133" s="740"/>
      <c r="K133" s="740"/>
      <c r="L133" s="740"/>
      <c r="M133" s="740"/>
    </row>
    <row r="134" spans="2:13">
      <c r="B134" s="740"/>
      <c r="C134" s="740"/>
      <c r="D134" s="740"/>
      <c r="E134" s="740"/>
      <c r="F134" s="740"/>
      <c r="G134" s="740"/>
      <c r="H134" s="740"/>
      <c r="I134" s="740"/>
      <c r="J134" s="740"/>
      <c r="K134" s="740"/>
      <c r="L134" s="740"/>
      <c r="M134" s="740"/>
    </row>
    <row r="135" spans="2:13">
      <c r="B135" s="740"/>
      <c r="C135" s="740"/>
      <c r="D135" s="740"/>
      <c r="E135" s="740"/>
      <c r="F135" s="740"/>
      <c r="G135" s="740"/>
      <c r="H135" s="740"/>
      <c r="I135" s="740"/>
      <c r="J135" s="740"/>
      <c r="K135" s="740"/>
      <c r="L135" s="740"/>
      <c r="M135" s="740"/>
    </row>
    <row r="136" spans="2:13">
      <c r="B136" s="740"/>
      <c r="C136" s="740"/>
      <c r="D136" s="740"/>
      <c r="E136" s="740"/>
      <c r="F136" s="740"/>
      <c r="G136" s="740"/>
      <c r="H136" s="740"/>
      <c r="I136" s="740"/>
      <c r="J136" s="740"/>
      <c r="K136" s="740"/>
      <c r="L136" s="740"/>
      <c r="M136" s="740"/>
    </row>
    <row r="137" spans="2:13">
      <c r="B137" s="740"/>
      <c r="C137" s="740"/>
      <c r="D137" s="740"/>
      <c r="E137" s="740"/>
      <c r="F137" s="740"/>
      <c r="G137" s="740"/>
      <c r="H137" s="740"/>
      <c r="I137" s="740"/>
      <c r="J137" s="740"/>
      <c r="K137" s="740"/>
      <c r="L137" s="740"/>
      <c r="M137" s="740"/>
    </row>
    <row r="138" spans="2:13">
      <c r="B138" s="740"/>
      <c r="C138" s="740"/>
      <c r="D138" s="740"/>
      <c r="E138" s="740"/>
      <c r="F138" s="740"/>
      <c r="G138" s="740"/>
      <c r="H138" s="740"/>
      <c r="I138" s="740"/>
      <c r="J138" s="740"/>
      <c r="K138" s="740"/>
      <c r="L138" s="740"/>
      <c r="M138" s="740"/>
    </row>
    <row r="139" spans="2:13">
      <c r="B139" s="740"/>
      <c r="C139" s="740"/>
      <c r="D139" s="740"/>
      <c r="E139" s="740"/>
      <c r="F139" s="740"/>
      <c r="G139" s="740"/>
      <c r="H139" s="740"/>
      <c r="I139" s="740"/>
      <c r="J139" s="740"/>
      <c r="K139" s="740"/>
      <c r="L139" s="740"/>
      <c r="M139" s="740"/>
    </row>
    <row r="140" spans="2:13">
      <c r="B140" s="740"/>
      <c r="C140" s="740"/>
      <c r="D140" s="740"/>
      <c r="E140" s="740"/>
      <c r="F140" s="740"/>
      <c r="G140" s="740"/>
      <c r="H140" s="740"/>
      <c r="I140" s="740"/>
      <c r="J140" s="740"/>
      <c r="K140" s="740"/>
      <c r="L140" s="740"/>
      <c r="M140" s="740"/>
    </row>
    <row r="141" spans="2:13">
      <c r="B141" s="740"/>
      <c r="C141" s="740"/>
      <c r="D141" s="740"/>
      <c r="E141" s="740"/>
      <c r="F141" s="740"/>
      <c r="G141" s="740"/>
      <c r="H141" s="740"/>
      <c r="I141" s="740"/>
      <c r="J141" s="740"/>
      <c r="K141" s="740"/>
      <c r="L141" s="740"/>
      <c r="M141" s="740"/>
    </row>
    <row r="142" spans="2:13">
      <c r="B142" s="740"/>
      <c r="C142" s="740"/>
      <c r="D142" s="740"/>
      <c r="E142" s="740"/>
      <c r="F142" s="740"/>
      <c r="G142" s="740"/>
      <c r="H142" s="740"/>
      <c r="I142" s="740"/>
      <c r="J142" s="740"/>
      <c r="K142" s="740"/>
      <c r="L142" s="740"/>
      <c r="M142" s="740"/>
    </row>
    <row r="143" spans="2:13">
      <c r="B143" s="740"/>
      <c r="C143" s="740"/>
      <c r="D143" s="740"/>
      <c r="E143" s="740"/>
      <c r="F143" s="740"/>
      <c r="G143" s="740"/>
      <c r="H143" s="740"/>
      <c r="I143" s="740"/>
      <c r="J143" s="740"/>
      <c r="K143" s="740"/>
      <c r="L143" s="740"/>
      <c r="M143" s="740"/>
    </row>
    <row r="144" spans="2:13">
      <c r="B144" s="740"/>
      <c r="C144" s="740"/>
      <c r="D144" s="740"/>
      <c r="E144" s="740"/>
      <c r="F144" s="740"/>
      <c r="G144" s="740"/>
      <c r="H144" s="740"/>
      <c r="I144" s="740"/>
      <c r="J144" s="740"/>
      <c r="K144" s="740"/>
      <c r="L144" s="740"/>
      <c r="M144" s="740"/>
    </row>
    <row r="145" spans="2:13">
      <c r="B145" s="740"/>
      <c r="C145" s="740"/>
      <c r="D145" s="740"/>
      <c r="E145" s="740"/>
      <c r="F145" s="740"/>
      <c r="G145" s="740"/>
      <c r="H145" s="740"/>
      <c r="I145" s="740"/>
      <c r="J145" s="740"/>
      <c r="K145" s="740"/>
      <c r="L145" s="740"/>
      <c r="M145" s="740"/>
    </row>
    <row r="146" spans="2:13">
      <c r="B146" s="740"/>
      <c r="C146" s="740"/>
      <c r="D146" s="740"/>
      <c r="E146" s="740"/>
      <c r="F146" s="740"/>
      <c r="G146" s="740"/>
      <c r="H146" s="740"/>
      <c r="I146" s="740"/>
      <c r="J146" s="740"/>
      <c r="K146" s="740"/>
      <c r="L146" s="740"/>
      <c r="M146" s="740"/>
    </row>
    <row r="147" spans="2:13">
      <c r="B147" s="740"/>
      <c r="C147" s="740"/>
      <c r="D147" s="740"/>
      <c r="E147" s="740"/>
      <c r="F147" s="740"/>
      <c r="G147" s="740"/>
      <c r="H147" s="740"/>
      <c r="I147" s="740"/>
      <c r="J147" s="740"/>
      <c r="K147" s="740"/>
      <c r="L147" s="740"/>
      <c r="M147" s="740"/>
    </row>
    <row r="148" spans="2:13">
      <c r="B148" s="740"/>
      <c r="C148" s="740"/>
      <c r="D148" s="740"/>
      <c r="E148" s="740"/>
      <c r="F148" s="740"/>
      <c r="G148" s="740"/>
      <c r="H148" s="740"/>
      <c r="I148" s="740"/>
      <c r="J148" s="740"/>
      <c r="K148" s="740"/>
      <c r="L148" s="740"/>
      <c r="M148" s="740"/>
    </row>
    <row r="149" spans="2:13">
      <c r="B149" s="740"/>
      <c r="C149" s="740"/>
      <c r="D149" s="740"/>
      <c r="E149" s="740"/>
      <c r="F149" s="740"/>
      <c r="G149" s="740"/>
      <c r="H149" s="740"/>
      <c r="I149" s="740"/>
      <c r="J149" s="740"/>
      <c r="K149" s="740"/>
      <c r="L149" s="740"/>
      <c r="M149" s="740"/>
    </row>
    <row r="150" spans="2:13">
      <c r="B150" s="740"/>
      <c r="C150" s="740"/>
      <c r="D150" s="740"/>
      <c r="E150" s="740"/>
      <c r="F150" s="740"/>
      <c r="G150" s="740"/>
      <c r="H150" s="740"/>
      <c r="I150" s="740"/>
      <c r="J150" s="740"/>
      <c r="K150" s="740"/>
      <c r="L150" s="740"/>
      <c r="M150" s="740"/>
    </row>
    <row r="151" spans="2:13">
      <c r="B151" s="740"/>
      <c r="C151" s="740"/>
      <c r="D151" s="740"/>
      <c r="E151" s="740"/>
      <c r="F151" s="740"/>
      <c r="G151" s="740"/>
      <c r="H151" s="740"/>
      <c r="I151" s="740"/>
      <c r="J151" s="740"/>
      <c r="K151" s="740"/>
      <c r="L151" s="740"/>
      <c r="M151" s="740"/>
    </row>
    <row r="152" spans="2:13">
      <c r="B152" s="740"/>
      <c r="C152" s="740"/>
      <c r="D152" s="740"/>
      <c r="E152" s="740"/>
      <c r="F152" s="740"/>
      <c r="G152" s="740"/>
      <c r="H152" s="740"/>
      <c r="I152" s="740"/>
      <c r="J152" s="740"/>
      <c r="K152" s="740"/>
      <c r="L152" s="740"/>
      <c r="M152" s="740"/>
    </row>
    <row r="153" spans="2:13">
      <c r="B153" s="740"/>
      <c r="C153" s="740"/>
      <c r="D153" s="740"/>
      <c r="E153" s="740"/>
      <c r="F153" s="740"/>
      <c r="G153" s="740"/>
      <c r="H153" s="740"/>
      <c r="I153" s="740"/>
      <c r="J153" s="740"/>
      <c r="K153" s="740"/>
      <c r="L153" s="740"/>
      <c r="M153" s="740"/>
    </row>
    <row r="154" spans="2:13">
      <c r="B154" s="740"/>
      <c r="C154" s="740"/>
      <c r="D154" s="740"/>
      <c r="E154" s="740"/>
      <c r="F154" s="740"/>
      <c r="G154" s="740"/>
      <c r="H154" s="740"/>
      <c r="I154" s="740"/>
      <c r="J154" s="740"/>
      <c r="K154" s="740"/>
      <c r="L154" s="740"/>
      <c r="M154" s="740"/>
    </row>
    <row r="155" spans="2:13">
      <c r="B155" s="740"/>
      <c r="C155" s="740"/>
      <c r="D155" s="740"/>
      <c r="E155" s="740"/>
      <c r="F155" s="740"/>
      <c r="G155" s="740"/>
      <c r="H155" s="740"/>
      <c r="I155" s="740"/>
      <c r="J155" s="740"/>
      <c r="K155" s="740"/>
      <c r="L155" s="740"/>
      <c r="M155" s="740"/>
    </row>
    <row r="156" spans="2:13">
      <c r="B156" s="740"/>
      <c r="C156" s="740"/>
      <c r="D156" s="740"/>
      <c r="E156" s="740"/>
      <c r="F156" s="740"/>
      <c r="G156" s="740"/>
      <c r="H156" s="740"/>
      <c r="I156" s="740"/>
      <c r="J156" s="740"/>
      <c r="K156" s="740"/>
      <c r="L156" s="740"/>
      <c r="M156" s="740"/>
    </row>
    <row r="157" spans="2:13">
      <c r="B157" s="740"/>
      <c r="C157" s="740"/>
      <c r="D157" s="740"/>
      <c r="E157" s="740"/>
      <c r="F157" s="740"/>
      <c r="G157" s="740"/>
      <c r="H157" s="740"/>
      <c r="I157" s="740"/>
      <c r="J157" s="740"/>
      <c r="K157" s="740"/>
      <c r="L157" s="740"/>
      <c r="M157" s="740"/>
    </row>
    <row r="158" spans="2:13">
      <c r="B158" s="740"/>
      <c r="C158" s="740"/>
      <c r="D158" s="740"/>
      <c r="E158" s="740"/>
      <c r="F158" s="740"/>
      <c r="G158" s="740"/>
      <c r="H158" s="740"/>
      <c r="I158" s="740"/>
      <c r="J158" s="740"/>
      <c r="K158" s="740"/>
      <c r="L158" s="740"/>
      <c r="M158" s="740"/>
    </row>
    <row r="159" spans="2:13">
      <c r="B159" s="740"/>
      <c r="C159" s="740"/>
      <c r="D159" s="740"/>
      <c r="E159" s="740"/>
      <c r="F159" s="740"/>
      <c r="G159" s="740"/>
      <c r="H159" s="740"/>
      <c r="I159" s="740"/>
      <c r="J159" s="740"/>
      <c r="K159" s="740"/>
      <c r="L159" s="740"/>
      <c r="M159" s="740"/>
    </row>
    <row r="160" spans="2:13">
      <c r="B160" s="740"/>
      <c r="C160" s="740"/>
      <c r="D160" s="740"/>
      <c r="E160" s="740"/>
      <c r="F160" s="740"/>
      <c r="G160" s="740"/>
      <c r="H160" s="740"/>
      <c r="I160" s="740"/>
      <c r="J160" s="740"/>
      <c r="K160" s="740"/>
      <c r="L160" s="740"/>
      <c r="M160" s="740"/>
    </row>
    <row r="161" spans="2:13">
      <c r="B161" s="740"/>
      <c r="C161" s="740"/>
      <c r="D161" s="740"/>
      <c r="E161" s="740"/>
      <c r="F161" s="740"/>
      <c r="G161" s="740"/>
      <c r="H161" s="740"/>
      <c r="I161" s="740"/>
      <c r="J161" s="740"/>
      <c r="K161" s="740"/>
      <c r="L161" s="740"/>
      <c r="M161" s="740"/>
    </row>
    <row r="162" spans="2:13">
      <c r="B162" s="740"/>
      <c r="C162" s="740"/>
      <c r="D162" s="740"/>
      <c r="E162" s="740"/>
      <c r="F162" s="740"/>
      <c r="G162" s="740"/>
      <c r="H162" s="740"/>
      <c r="I162" s="740"/>
      <c r="J162" s="740"/>
      <c r="K162" s="740"/>
      <c r="L162" s="740"/>
      <c r="M162" s="740"/>
    </row>
    <row r="163" spans="2:13">
      <c r="B163" s="740"/>
      <c r="C163" s="740"/>
      <c r="D163" s="740"/>
      <c r="E163" s="740"/>
      <c r="F163" s="740"/>
      <c r="G163" s="740"/>
      <c r="H163" s="740"/>
      <c r="I163" s="740"/>
      <c r="J163" s="740"/>
      <c r="K163" s="740"/>
      <c r="L163" s="740"/>
      <c r="M163" s="740"/>
    </row>
    <row r="164" spans="2:13">
      <c r="B164" s="740"/>
      <c r="C164" s="740"/>
      <c r="D164" s="740"/>
      <c r="E164" s="740"/>
      <c r="F164" s="740"/>
      <c r="G164" s="740"/>
      <c r="H164" s="740"/>
      <c r="I164" s="740"/>
      <c r="J164" s="740"/>
      <c r="K164" s="740"/>
      <c r="L164" s="740"/>
      <c r="M164" s="740"/>
    </row>
    <row r="165" spans="2:13">
      <c r="B165" s="740"/>
      <c r="C165" s="740"/>
      <c r="D165" s="740"/>
      <c r="E165" s="740"/>
      <c r="F165" s="740"/>
      <c r="G165" s="740"/>
      <c r="H165" s="740"/>
      <c r="I165" s="740"/>
      <c r="J165" s="740"/>
      <c r="K165" s="740"/>
      <c r="L165" s="740"/>
      <c r="M165" s="740"/>
    </row>
    <row r="166" spans="2:13">
      <c r="B166" s="740"/>
      <c r="C166" s="740"/>
      <c r="D166" s="740"/>
      <c r="E166" s="740"/>
      <c r="F166" s="740"/>
      <c r="G166" s="740"/>
      <c r="H166" s="740"/>
      <c r="I166" s="740"/>
      <c r="J166" s="740"/>
      <c r="K166" s="740"/>
      <c r="L166" s="740"/>
      <c r="M166" s="740"/>
    </row>
    <row r="167" spans="2:13">
      <c r="B167" s="740"/>
      <c r="C167" s="740"/>
      <c r="D167" s="740"/>
      <c r="E167" s="740"/>
      <c r="F167" s="740"/>
      <c r="G167" s="740"/>
      <c r="H167" s="740"/>
      <c r="I167" s="740"/>
      <c r="J167" s="740"/>
      <c r="K167" s="740"/>
      <c r="L167" s="740"/>
      <c r="M167" s="740"/>
    </row>
    <row r="168" spans="2:13">
      <c r="B168" s="740"/>
      <c r="C168" s="740"/>
      <c r="D168" s="740"/>
      <c r="E168" s="740"/>
      <c r="F168" s="740"/>
      <c r="G168" s="740"/>
      <c r="H168" s="740"/>
      <c r="I168" s="740"/>
      <c r="J168" s="740"/>
      <c r="K168" s="740"/>
      <c r="L168" s="740"/>
      <c r="M168" s="740"/>
    </row>
    <row r="169" spans="2:13">
      <c r="B169" s="740"/>
      <c r="C169" s="740"/>
      <c r="D169" s="740"/>
      <c r="E169" s="740"/>
      <c r="F169" s="740"/>
      <c r="G169" s="740"/>
      <c r="H169" s="740"/>
      <c r="I169" s="740"/>
      <c r="J169" s="740"/>
      <c r="K169" s="740"/>
      <c r="L169" s="740"/>
      <c r="M169" s="740"/>
    </row>
    <row r="170" spans="2:13">
      <c r="B170" s="740"/>
      <c r="C170" s="740"/>
      <c r="D170" s="740"/>
      <c r="E170" s="740"/>
      <c r="F170" s="740"/>
      <c r="G170" s="740"/>
      <c r="H170" s="740"/>
      <c r="I170" s="740"/>
      <c r="J170" s="740"/>
      <c r="K170" s="740"/>
      <c r="L170" s="740"/>
      <c r="M170" s="740"/>
    </row>
    <row r="171" spans="2:13">
      <c r="B171" s="740"/>
      <c r="C171" s="740"/>
      <c r="D171" s="740"/>
      <c r="E171" s="740"/>
      <c r="F171" s="740"/>
      <c r="G171" s="740"/>
      <c r="H171" s="740"/>
      <c r="I171" s="740"/>
      <c r="J171" s="740"/>
      <c r="K171" s="740"/>
      <c r="L171" s="740"/>
      <c r="M171" s="740"/>
    </row>
    <row r="172" spans="2:13">
      <c r="B172" s="740"/>
      <c r="C172" s="740"/>
      <c r="D172" s="740"/>
      <c r="E172" s="740"/>
      <c r="F172" s="740"/>
      <c r="G172" s="740"/>
      <c r="H172" s="740"/>
      <c r="I172" s="740"/>
      <c r="J172" s="740"/>
      <c r="K172" s="740"/>
      <c r="L172" s="740"/>
      <c r="M172" s="740"/>
    </row>
    <row r="173" spans="2:13">
      <c r="B173" s="740"/>
      <c r="C173" s="740"/>
      <c r="D173" s="740"/>
      <c r="E173" s="740"/>
      <c r="F173" s="740"/>
      <c r="G173" s="740"/>
      <c r="H173" s="740"/>
      <c r="I173" s="740"/>
      <c r="J173" s="740"/>
      <c r="K173" s="740"/>
      <c r="L173" s="740"/>
      <c r="M173" s="740"/>
    </row>
    <row r="174" spans="2:13">
      <c r="B174" s="740"/>
      <c r="C174" s="740"/>
      <c r="D174" s="740"/>
      <c r="E174" s="740"/>
      <c r="F174" s="740"/>
      <c r="G174" s="740"/>
      <c r="H174" s="740"/>
      <c r="I174" s="740"/>
      <c r="J174" s="740"/>
      <c r="K174" s="740"/>
      <c r="L174" s="740"/>
      <c r="M174" s="740"/>
    </row>
    <row r="175" spans="2:13">
      <c r="B175" s="740"/>
      <c r="C175" s="740"/>
      <c r="D175" s="740"/>
      <c r="E175" s="740"/>
      <c r="F175" s="740"/>
      <c r="G175" s="740"/>
      <c r="H175" s="740"/>
      <c r="I175" s="740"/>
      <c r="J175" s="740"/>
      <c r="K175" s="740"/>
      <c r="L175" s="740"/>
      <c r="M175" s="740"/>
    </row>
    <row r="176" spans="2:13">
      <c r="B176" s="740"/>
      <c r="C176" s="740"/>
      <c r="D176" s="740"/>
      <c r="E176" s="740"/>
      <c r="F176" s="740"/>
      <c r="G176" s="740"/>
      <c r="H176" s="740"/>
      <c r="I176" s="740"/>
      <c r="J176" s="740"/>
      <c r="K176" s="740"/>
      <c r="L176" s="740"/>
      <c r="M176" s="740"/>
    </row>
    <row r="177" spans="2:13">
      <c r="B177" s="740"/>
      <c r="C177" s="740"/>
      <c r="D177" s="740"/>
      <c r="E177" s="740"/>
      <c r="F177" s="740"/>
      <c r="G177" s="740"/>
      <c r="H177" s="740"/>
      <c r="I177" s="740"/>
      <c r="J177" s="740"/>
      <c r="K177" s="740"/>
      <c r="L177" s="740"/>
      <c r="M177" s="740"/>
    </row>
    <row r="178" spans="2:13">
      <c r="B178" s="740"/>
      <c r="C178" s="740"/>
      <c r="D178" s="740"/>
      <c r="E178" s="740"/>
      <c r="F178" s="740"/>
      <c r="G178" s="740"/>
      <c r="H178" s="740"/>
      <c r="I178" s="740"/>
      <c r="J178" s="740"/>
      <c r="K178" s="740"/>
      <c r="L178" s="740"/>
      <c r="M178" s="740"/>
    </row>
    <row r="179" spans="2:13">
      <c r="B179" s="740"/>
      <c r="C179" s="740"/>
      <c r="D179" s="740"/>
      <c r="E179" s="740"/>
      <c r="F179" s="740"/>
      <c r="G179" s="740"/>
      <c r="H179" s="740"/>
      <c r="I179" s="740"/>
      <c r="J179" s="740"/>
      <c r="K179" s="740"/>
      <c r="L179" s="740"/>
      <c r="M179" s="740"/>
    </row>
    <row r="180" spans="2:13">
      <c r="B180" s="740"/>
      <c r="C180" s="740"/>
      <c r="D180" s="740"/>
      <c r="E180" s="740"/>
      <c r="F180" s="740"/>
      <c r="G180" s="740"/>
      <c r="H180" s="740"/>
      <c r="I180" s="740"/>
      <c r="J180" s="740"/>
      <c r="K180" s="740"/>
      <c r="L180" s="740"/>
      <c r="M180" s="740"/>
    </row>
    <row r="181" spans="2:13">
      <c r="B181" s="740"/>
      <c r="C181" s="740"/>
      <c r="D181" s="740"/>
      <c r="E181" s="740"/>
      <c r="F181" s="740"/>
      <c r="G181" s="740"/>
      <c r="H181" s="740"/>
      <c r="I181" s="740"/>
      <c r="J181" s="740"/>
      <c r="K181" s="740"/>
      <c r="L181" s="740"/>
      <c r="M181" s="740"/>
    </row>
    <row r="182" spans="2:13">
      <c r="B182" s="740"/>
      <c r="C182" s="740"/>
      <c r="D182" s="740"/>
      <c r="E182" s="740"/>
      <c r="F182" s="740"/>
      <c r="G182" s="740"/>
      <c r="H182" s="740"/>
      <c r="I182" s="740"/>
      <c r="J182" s="740"/>
      <c r="K182" s="740"/>
      <c r="L182" s="740"/>
      <c r="M182" s="740"/>
    </row>
    <row r="183" spans="2:13">
      <c r="B183" s="740"/>
      <c r="C183" s="740"/>
      <c r="D183" s="740"/>
      <c r="E183" s="740"/>
      <c r="F183" s="740"/>
      <c r="G183" s="740"/>
      <c r="H183" s="740"/>
      <c r="I183" s="740"/>
      <c r="J183" s="740"/>
      <c r="K183" s="740"/>
      <c r="L183" s="740"/>
      <c r="M183" s="740"/>
    </row>
    <row r="184" spans="2:13">
      <c r="B184" s="740"/>
      <c r="C184" s="740"/>
      <c r="D184" s="740"/>
      <c r="E184" s="740"/>
      <c r="F184" s="740"/>
      <c r="G184" s="740"/>
      <c r="H184" s="740"/>
      <c r="I184" s="740"/>
      <c r="J184" s="740"/>
      <c r="K184" s="740"/>
      <c r="L184" s="740"/>
      <c r="M184" s="740"/>
    </row>
    <row r="185" spans="2:13">
      <c r="B185" s="740"/>
      <c r="C185" s="740"/>
      <c r="D185" s="740"/>
      <c r="E185" s="740"/>
      <c r="F185" s="740"/>
      <c r="G185" s="740"/>
      <c r="H185" s="740"/>
      <c r="I185" s="740"/>
      <c r="J185" s="740"/>
      <c r="K185" s="740"/>
      <c r="L185" s="740"/>
      <c r="M185" s="740"/>
    </row>
    <row r="186" spans="2:13">
      <c r="B186" s="740"/>
      <c r="C186" s="740"/>
      <c r="D186" s="740"/>
      <c r="E186" s="740"/>
      <c r="F186" s="740"/>
      <c r="G186" s="740"/>
      <c r="H186" s="740"/>
      <c r="I186" s="740"/>
      <c r="J186" s="740"/>
      <c r="K186" s="740"/>
      <c r="L186" s="740"/>
      <c r="M186" s="740"/>
    </row>
    <row r="187" spans="2:13">
      <c r="B187" s="740"/>
      <c r="C187" s="740"/>
      <c r="D187" s="740"/>
      <c r="E187" s="740"/>
      <c r="F187" s="740"/>
      <c r="G187" s="740"/>
      <c r="H187" s="740"/>
      <c r="I187" s="740"/>
      <c r="J187" s="740"/>
      <c r="K187" s="740"/>
      <c r="L187" s="740"/>
      <c r="M187" s="740"/>
    </row>
    <row r="188" spans="2:13">
      <c r="B188" s="740"/>
      <c r="C188" s="740"/>
      <c r="D188" s="740"/>
      <c r="E188" s="740"/>
      <c r="F188" s="740"/>
      <c r="G188" s="740"/>
      <c r="H188" s="740"/>
      <c r="I188" s="740"/>
      <c r="J188" s="740"/>
      <c r="K188" s="740"/>
      <c r="L188" s="740"/>
      <c r="M188" s="740"/>
    </row>
    <row r="189" spans="2:13">
      <c r="B189" s="740"/>
      <c r="C189" s="740"/>
      <c r="D189" s="740"/>
      <c r="E189" s="740"/>
      <c r="F189" s="740"/>
      <c r="G189" s="740"/>
      <c r="H189" s="740"/>
      <c r="I189" s="740"/>
      <c r="J189" s="740"/>
      <c r="K189" s="740"/>
      <c r="L189" s="740"/>
      <c r="M189" s="740"/>
    </row>
    <row r="190" spans="2:13">
      <c r="B190" s="740"/>
      <c r="C190" s="740"/>
      <c r="D190" s="740"/>
      <c r="E190" s="740"/>
      <c r="F190" s="740"/>
      <c r="G190" s="740"/>
      <c r="H190" s="740"/>
      <c r="I190" s="740"/>
      <c r="J190" s="740"/>
      <c r="K190" s="740"/>
      <c r="L190" s="740"/>
      <c r="M190" s="740"/>
    </row>
    <row r="191" spans="2:13">
      <c r="B191" s="740"/>
      <c r="C191" s="740"/>
      <c r="D191" s="740"/>
      <c r="E191" s="740"/>
      <c r="F191" s="740"/>
      <c r="G191" s="740"/>
      <c r="H191" s="740"/>
      <c r="I191" s="740"/>
      <c r="J191" s="740"/>
      <c r="K191" s="740"/>
      <c r="L191" s="740"/>
      <c r="M191" s="740"/>
    </row>
    <row r="192" spans="2:13">
      <c r="B192" s="740"/>
      <c r="C192" s="740"/>
      <c r="D192" s="740"/>
      <c r="E192" s="740"/>
      <c r="F192" s="740"/>
      <c r="G192" s="740"/>
      <c r="H192" s="740"/>
      <c r="I192" s="740"/>
      <c r="J192" s="740"/>
      <c r="K192" s="740"/>
      <c r="L192" s="740"/>
      <c r="M192" s="740"/>
    </row>
    <row r="193" spans="2:13">
      <c r="B193" s="740"/>
      <c r="C193" s="740"/>
      <c r="D193" s="740"/>
      <c r="E193" s="740"/>
      <c r="F193" s="740"/>
      <c r="G193" s="740"/>
      <c r="H193" s="740"/>
      <c r="I193" s="740"/>
      <c r="J193" s="740"/>
      <c r="K193" s="740"/>
      <c r="L193" s="740"/>
      <c r="M193" s="740"/>
    </row>
    <row r="194" spans="2:13">
      <c r="B194" s="740"/>
      <c r="C194" s="740"/>
      <c r="D194" s="740"/>
      <c r="E194" s="740"/>
      <c r="F194" s="740"/>
      <c r="G194" s="740"/>
      <c r="H194" s="740"/>
      <c r="I194" s="740"/>
      <c r="J194" s="740"/>
      <c r="K194" s="740"/>
      <c r="L194" s="740"/>
      <c r="M194" s="740"/>
    </row>
    <row r="195" spans="2:13">
      <c r="B195" s="740"/>
      <c r="C195" s="740"/>
      <c r="D195" s="740"/>
      <c r="E195" s="740"/>
      <c r="F195" s="740"/>
      <c r="G195" s="740"/>
      <c r="H195" s="740"/>
      <c r="I195" s="740"/>
      <c r="J195" s="740"/>
      <c r="K195" s="740"/>
      <c r="L195" s="740"/>
      <c r="M195" s="740"/>
    </row>
    <row r="196" spans="2:13">
      <c r="B196" s="740"/>
      <c r="C196" s="740"/>
      <c r="D196" s="740"/>
      <c r="E196" s="740"/>
      <c r="F196" s="740"/>
      <c r="G196" s="740"/>
      <c r="H196" s="740"/>
      <c r="I196" s="740"/>
      <c r="J196" s="740"/>
      <c r="K196" s="740"/>
      <c r="L196" s="740"/>
      <c r="M196" s="740"/>
    </row>
    <row r="197" spans="2:13">
      <c r="B197" s="740"/>
      <c r="C197" s="740"/>
      <c r="D197" s="740"/>
      <c r="E197" s="740"/>
      <c r="F197" s="740"/>
      <c r="G197" s="740"/>
      <c r="H197" s="740"/>
      <c r="I197" s="740"/>
      <c r="J197" s="740"/>
      <c r="K197" s="740"/>
      <c r="L197" s="740"/>
      <c r="M197" s="740"/>
    </row>
    <row r="198" spans="2:13">
      <c r="B198" s="740"/>
      <c r="C198" s="740"/>
      <c r="D198" s="740"/>
      <c r="E198" s="740"/>
      <c r="F198" s="740"/>
      <c r="G198" s="740"/>
      <c r="H198" s="740"/>
      <c r="I198" s="740"/>
      <c r="J198" s="740"/>
      <c r="K198" s="740"/>
      <c r="L198" s="740"/>
      <c r="M198" s="740"/>
    </row>
    <row r="199" spans="2:13">
      <c r="B199" s="740"/>
      <c r="C199" s="740"/>
      <c r="D199" s="740"/>
      <c r="E199" s="740"/>
      <c r="F199" s="740"/>
      <c r="G199" s="740"/>
      <c r="H199" s="740"/>
      <c r="I199" s="740"/>
      <c r="J199" s="740"/>
      <c r="K199" s="740"/>
      <c r="L199" s="740"/>
      <c r="M199" s="740"/>
    </row>
    <row r="200" spans="2:13">
      <c r="B200" s="740"/>
      <c r="C200" s="740"/>
      <c r="D200" s="740"/>
      <c r="E200" s="740"/>
      <c r="F200" s="740"/>
      <c r="G200" s="740"/>
      <c r="H200" s="740"/>
      <c r="I200" s="740"/>
      <c r="J200" s="740"/>
      <c r="K200" s="740"/>
      <c r="L200" s="740"/>
      <c r="M200" s="740"/>
    </row>
    <row r="201" spans="2:13">
      <c r="B201" s="740"/>
      <c r="C201" s="740"/>
      <c r="D201" s="740"/>
      <c r="E201" s="740"/>
      <c r="F201" s="740"/>
      <c r="G201" s="740"/>
      <c r="H201" s="740"/>
      <c r="I201" s="740"/>
      <c r="J201" s="740"/>
      <c r="K201" s="740"/>
      <c r="L201" s="740"/>
      <c r="M201" s="740"/>
    </row>
    <row r="202" spans="2:13">
      <c r="B202" s="740"/>
      <c r="C202" s="740"/>
      <c r="D202" s="740"/>
      <c r="E202" s="740"/>
      <c r="F202" s="740"/>
      <c r="G202" s="740"/>
      <c r="H202" s="740"/>
      <c r="I202" s="740"/>
      <c r="J202" s="740"/>
      <c r="K202" s="740"/>
      <c r="L202" s="740"/>
      <c r="M202" s="740"/>
    </row>
    <row r="203" spans="2:13">
      <c r="B203" s="740"/>
      <c r="C203" s="740"/>
      <c r="D203" s="740"/>
      <c r="E203" s="740"/>
      <c r="F203" s="740"/>
      <c r="G203" s="740"/>
      <c r="H203" s="740"/>
      <c r="I203" s="740"/>
      <c r="J203" s="740"/>
      <c r="K203" s="740"/>
      <c r="L203" s="740"/>
      <c r="M203" s="740"/>
    </row>
    <row r="204" spans="2:13">
      <c r="B204" s="740"/>
      <c r="C204" s="740"/>
      <c r="D204" s="740"/>
      <c r="E204" s="740"/>
      <c r="F204" s="740"/>
      <c r="G204" s="740"/>
      <c r="H204" s="740"/>
      <c r="I204" s="740"/>
      <c r="J204" s="740"/>
      <c r="K204" s="740"/>
      <c r="L204" s="740"/>
      <c r="M204" s="740"/>
    </row>
    <row r="205" spans="2:13">
      <c r="B205" s="740"/>
      <c r="C205" s="740"/>
      <c r="D205" s="740"/>
      <c r="E205" s="740"/>
      <c r="F205" s="740"/>
      <c r="G205" s="740"/>
      <c r="H205" s="740"/>
      <c r="I205" s="740"/>
      <c r="J205" s="740"/>
      <c r="K205" s="740"/>
      <c r="L205" s="740"/>
      <c r="M205" s="740"/>
    </row>
    <row r="206" spans="2:13">
      <c r="B206" s="740"/>
      <c r="C206" s="740"/>
      <c r="D206" s="740"/>
      <c r="E206" s="740"/>
      <c r="F206" s="740"/>
      <c r="G206" s="740"/>
      <c r="H206" s="740"/>
      <c r="I206" s="740"/>
      <c r="J206" s="740"/>
      <c r="K206" s="740"/>
      <c r="L206" s="740"/>
      <c r="M206" s="740"/>
    </row>
    <row r="207" spans="2:13">
      <c r="B207" s="740"/>
      <c r="C207" s="740"/>
      <c r="D207" s="740"/>
      <c r="E207" s="740"/>
      <c r="F207" s="740"/>
      <c r="G207" s="740"/>
      <c r="H207" s="740"/>
      <c r="I207" s="740"/>
      <c r="J207" s="740"/>
      <c r="K207" s="740"/>
      <c r="L207" s="740"/>
      <c r="M207" s="740"/>
    </row>
    <row r="208" spans="2:13">
      <c r="B208" s="740"/>
      <c r="C208" s="740"/>
      <c r="D208" s="740"/>
      <c r="E208" s="740"/>
      <c r="F208" s="740"/>
      <c r="G208" s="740"/>
      <c r="H208" s="740"/>
      <c r="I208" s="740"/>
      <c r="J208" s="740"/>
      <c r="K208" s="740"/>
      <c r="L208" s="740"/>
      <c r="M208" s="740"/>
    </row>
    <row r="209" spans="2:13">
      <c r="B209" s="740"/>
      <c r="C209" s="740"/>
      <c r="D209" s="740"/>
      <c r="E209" s="740"/>
      <c r="F209" s="740"/>
      <c r="G209" s="740"/>
      <c r="H209" s="740"/>
      <c r="I209" s="740"/>
      <c r="J209" s="740"/>
      <c r="K209" s="740"/>
      <c r="L209" s="740"/>
      <c r="M209" s="740"/>
    </row>
    <row r="210" spans="2:13">
      <c r="B210" s="740"/>
      <c r="C210" s="740"/>
      <c r="D210" s="740"/>
      <c r="E210" s="740"/>
      <c r="F210" s="740"/>
      <c r="G210" s="740"/>
      <c r="H210" s="740"/>
      <c r="I210" s="740"/>
      <c r="J210" s="740"/>
      <c r="K210" s="740"/>
      <c r="L210" s="740"/>
      <c r="M210" s="740"/>
    </row>
    <row r="211" spans="2:13">
      <c r="B211" s="740"/>
      <c r="C211" s="740"/>
      <c r="D211" s="740"/>
      <c r="E211" s="740"/>
      <c r="F211" s="740"/>
      <c r="G211" s="740"/>
      <c r="H211" s="740"/>
      <c r="I211" s="740"/>
      <c r="J211" s="740"/>
      <c r="K211" s="740"/>
      <c r="L211" s="740"/>
      <c r="M211" s="740"/>
    </row>
    <row r="212" spans="2:13">
      <c r="B212" s="740"/>
      <c r="C212" s="740"/>
      <c r="D212" s="740"/>
      <c r="E212" s="740"/>
      <c r="F212" s="740"/>
      <c r="G212" s="740"/>
      <c r="H212" s="740"/>
      <c r="I212" s="740"/>
      <c r="J212" s="740"/>
      <c r="K212" s="740"/>
      <c r="L212" s="740"/>
      <c r="M212" s="740"/>
    </row>
    <row r="213" spans="2:13">
      <c r="B213" s="740"/>
      <c r="C213" s="740"/>
      <c r="D213" s="740"/>
      <c r="E213" s="740"/>
      <c r="F213" s="740"/>
      <c r="G213" s="740"/>
      <c r="H213" s="740"/>
      <c r="I213" s="740"/>
      <c r="J213" s="740"/>
      <c r="K213" s="740"/>
      <c r="L213" s="740"/>
      <c r="M213" s="740"/>
    </row>
    <row r="214" spans="2:13">
      <c r="B214" s="740"/>
      <c r="C214" s="740"/>
      <c r="D214" s="740"/>
      <c r="E214" s="740"/>
      <c r="F214" s="740"/>
      <c r="G214" s="740"/>
      <c r="H214" s="740"/>
      <c r="I214" s="740"/>
      <c r="J214" s="740"/>
      <c r="K214" s="740"/>
      <c r="L214" s="740"/>
      <c r="M214" s="740"/>
    </row>
    <row r="215" spans="2:13">
      <c r="B215" s="740"/>
      <c r="C215" s="740"/>
      <c r="D215" s="740"/>
      <c r="E215" s="740"/>
      <c r="F215" s="740"/>
      <c r="G215" s="740"/>
      <c r="H215" s="740"/>
      <c r="I215" s="740"/>
      <c r="J215" s="740"/>
      <c r="K215" s="740"/>
      <c r="L215" s="740"/>
      <c r="M215" s="740"/>
    </row>
    <row r="216" spans="2:13">
      <c r="B216" s="740"/>
      <c r="C216" s="740"/>
      <c r="D216" s="740"/>
      <c r="E216" s="740"/>
      <c r="F216" s="740"/>
      <c r="G216" s="740"/>
      <c r="H216" s="740"/>
      <c r="I216" s="740"/>
      <c r="J216" s="740"/>
      <c r="K216" s="740"/>
      <c r="L216" s="740"/>
      <c r="M216" s="740"/>
    </row>
    <row r="217" spans="2:13">
      <c r="B217" s="740"/>
      <c r="C217" s="740"/>
      <c r="D217" s="740"/>
      <c r="E217" s="740"/>
      <c r="F217" s="740"/>
      <c r="G217" s="740"/>
      <c r="H217" s="740"/>
      <c r="I217" s="740"/>
      <c r="J217" s="740"/>
      <c r="K217" s="740"/>
      <c r="L217" s="740"/>
      <c r="M217" s="740"/>
    </row>
    <row r="218" spans="2:13">
      <c r="B218" s="740"/>
      <c r="C218" s="740"/>
      <c r="D218" s="740"/>
      <c r="E218" s="740"/>
      <c r="F218" s="740"/>
      <c r="G218" s="740"/>
      <c r="H218" s="740"/>
      <c r="I218" s="740"/>
      <c r="J218" s="740"/>
      <c r="K218" s="740"/>
      <c r="L218" s="740"/>
      <c r="M218" s="740"/>
    </row>
    <row r="219" spans="2:13">
      <c r="B219" s="740"/>
      <c r="C219" s="740"/>
      <c r="D219" s="740"/>
      <c r="E219" s="740"/>
      <c r="F219" s="740"/>
      <c r="G219" s="740"/>
      <c r="H219" s="740"/>
      <c r="I219" s="740"/>
      <c r="J219" s="740"/>
      <c r="K219" s="740"/>
      <c r="L219" s="740"/>
      <c r="M219" s="740"/>
    </row>
    <row r="220" spans="2:13">
      <c r="B220" s="740"/>
      <c r="C220" s="740"/>
      <c r="D220" s="740"/>
      <c r="E220" s="740"/>
      <c r="F220" s="740"/>
      <c r="G220" s="740"/>
      <c r="H220" s="740"/>
      <c r="I220" s="740"/>
      <c r="J220" s="740"/>
      <c r="K220" s="740"/>
      <c r="L220" s="740"/>
      <c r="M220" s="740"/>
    </row>
    <row r="221" spans="2:13">
      <c r="B221" s="740"/>
      <c r="C221" s="740"/>
      <c r="D221" s="740"/>
      <c r="E221" s="740"/>
      <c r="F221" s="740"/>
      <c r="G221" s="740"/>
      <c r="H221" s="740"/>
      <c r="I221" s="740"/>
      <c r="J221" s="740"/>
      <c r="K221" s="740"/>
      <c r="L221" s="740"/>
      <c r="M221" s="740"/>
    </row>
    <row r="222" spans="2:13">
      <c r="B222" s="740"/>
      <c r="C222" s="740"/>
      <c r="D222" s="740"/>
      <c r="E222" s="740"/>
      <c r="F222" s="740"/>
      <c r="G222" s="740"/>
      <c r="H222" s="740"/>
      <c r="I222" s="740"/>
      <c r="J222" s="740"/>
      <c r="K222" s="740"/>
      <c r="L222" s="740"/>
      <c r="M222" s="740"/>
    </row>
    <row r="223" spans="2:13">
      <c r="B223" s="740"/>
      <c r="C223" s="740"/>
      <c r="D223" s="740"/>
      <c r="E223" s="740"/>
      <c r="F223" s="740"/>
      <c r="G223" s="740"/>
      <c r="H223" s="740"/>
      <c r="I223" s="740"/>
      <c r="J223" s="740"/>
      <c r="K223" s="740"/>
      <c r="L223" s="740"/>
      <c r="M223" s="740"/>
    </row>
    <row r="224" spans="2:13">
      <c r="B224" s="740"/>
      <c r="C224" s="740"/>
      <c r="D224" s="740"/>
      <c r="E224" s="740"/>
      <c r="F224" s="740"/>
      <c r="G224" s="740"/>
      <c r="H224" s="740"/>
      <c r="I224" s="740"/>
      <c r="J224" s="740"/>
      <c r="K224" s="740"/>
      <c r="L224" s="740"/>
      <c r="M224" s="740"/>
    </row>
    <row r="225" spans="2:13">
      <c r="B225" s="740"/>
      <c r="C225" s="740"/>
      <c r="D225" s="740"/>
      <c r="E225" s="740"/>
      <c r="F225" s="740"/>
      <c r="G225" s="740"/>
      <c r="H225" s="740"/>
      <c r="I225" s="740"/>
      <c r="J225" s="740"/>
      <c r="K225" s="740"/>
      <c r="L225" s="740"/>
      <c r="M225" s="740"/>
    </row>
    <row r="226" spans="2:13">
      <c r="B226" s="740"/>
      <c r="C226" s="740"/>
      <c r="D226" s="740"/>
      <c r="E226" s="740"/>
      <c r="F226" s="740"/>
      <c r="G226" s="740"/>
      <c r="H226" s="740"/>
      <c r="I226" s="740"/>
      <c r="J226" s="740"/>
      <c r="K226" s="740"/>
      <c r="L226" s="740"/>
      <c r="M226" s="740"/>
    </row>
    <row r="227" spans="2:13">
      <c r="B227" s="740"/>
      <c r="C227" s="740"/>
      <c r="D227" s="740"/>
      <c r="E227" s="740"/>
      <c r="F227" s="740"/>
      <c r="G227" s="740"/>
      <c r="H227" s="740"/>
      <c r="I227" s="740"/>
      <c r="J227" s="740"/>
      <c r="K227" s="740"/>
      <c r="L227" s="740"/>
      <c r="M227" s="740"/>
    </row>
    <row r="228" spans="2:13">
      <c r="B228" s="740"/>
      <c r="C228" s="740"/>
      <c r="D228" s="740"/>
      <c r="E228" s="740"/>
      <c r="F228" s="740"/>
      <c r="G228" s="740"/>
      <c r="H228" s="740"/>
      <c r="I228" s="740"/>
      <c r="J228" s="740"/>
      <c r="K228" s="740"/>
      <c r="L228" s="740"/>
      <c r="M228" s="740"/>
    </row>
    <row r="229" spans="2:13">
      <c r="B229" s="740"/>
      <c r="C229" s="740"/>
      <c r="D229" s="740"/>
      <c r="E229" s="740"/>
      <c r="F229" s="740"/>
      <c r="G229" s="740"/>
      <c r="H229" s="740"/>
      <c r="I229" s="740"/>
      <c r="J229" s="740"/>
      <c r="K229" s="740"/>
      <c r="L229" s="740"/>
      <c r="M229" s="740"/>
    </row>
    <row r="230" spans="2:13">
      <c r="B230" s="740"/>
      <c r="C230" s="740"/>
      <c r="D230" s="740"/>
      <c r="E230" s="740"/>
      <c r="F230" s="740"/>
      <c r="G230" s="740"/>
      <c r="H230" s="740"/>
      <c r="I230" s="740"/>
      <c r="J230" s="740"/>
      <c r="K230" s="740"/>
      <c r="L230" s="740"/>
      <c r="M230" s="740"/>
    </row>
    <row r="231" spans="2:13">
      <c r="B231" s="740"/>
      <c r="C231" s="740"/>
      <c r="D231" s="740"/>
      <c r="E231" s="740"/>
      <c r="F231" s="740"/>
      <c r="G231" s="740"/>
      <c r="H231" s="740"/>
      <c r="I231" s="740"/>
      <c r="J231" s="740"/>
      <c r="K231" s="740"/>
      <c r="L231" s="740"/>
      <c r="M231" s="740"/>
    </row>
    <row r="232" spans="2:13">
      <c r="B232" s="740"/>
      <c r="C232" s="740"/>
      <c r="D232" s="740"/>
      <c r="E232" s="740"/>
      <c r="F232" s="740"/>
      <c r="G232" s="740"/>
      <c r="H232" s="740"/>
      <c r="I232" s="740"/>
      <c r="J232" s="740"/>
      <c r="K232" s="740"/>
      <c r="L232" s="740"/>
      <c r="M232" s="740"/>
    </row>
    <row r="233" spans="2:13">
      <c r="B233" s="740"/>
      <c r="C233" s="740"/>
      <c r="D233" s="740"/>
      <c r="E233" s="740"/>
      <c r="F233" s="740"/>
      <c r="G233" s="740"/>
      <c r="H233" s="740"/>
      <c r="I233" s="740"/>
      <c r="J233" s="740"/>
      <c r="K233" s="740"/>
      <c r="L233" s="740"/>
      <c r="M233" s="740"/>
    </row>
    <row r="234" spans="2:13">
      <c r="B234" s="740"/>
      <c r="C234" s="740"/>
      <c r="D234" s="740"/>
      <c r="E234" s="740"/>
      <c r="F234" s="740"/>
      <c r="G234" s="740"/>
      <c r="H234" s="740"/>
      <c r="I234" s="740"/>
      <c r="J234" s="740"/>
      <c r="K234" s="740"/>
      <c r="L234" s="740"/>
      <c r="M234" s="740"/>
    </row>
    <row r="235" spans="2:13">
      <c r="B235" s="740"/>
      <c r="C235" s="740"/>
      <c r="D235" s="740"/>
      <c r="E235" s="740"/>
      <c r="F235" s="740"/>
      <c r="G235" s="740"/>
      <c r="H235" s="740"/>
      <c r="I235" s="740"/>
      <c r="J235" s="740"/>
      <c r="K235" s="740"/>
      <c r="L235" s="740"/>
      <c r="M235" s="740"/>
    </row>
    <row r="236" spans="2:13">
      <c r="B236" s="740"/>
      <c r="C236" s="740"/>
      <c r="D236" s="740"/>
      <c r="E236" s="740"/>
      <c r="F236" s="740"/>
      <c r="G236" s="740"/>
      <c r="H236" s="740"/>
      <c r="I236" s="740"/>
      <c r="J236" s="740"/>
      <c r="K236" s="740"/>
      <c r="L236" s="740"/>
      <c r="M236" s="740"/>
    </row>
    <row r="237" spans="2:13">
      <c r="B237" s="740"/>
      <c r="C237" s="740"/>
      <c r="D237" s="740"/>
      <c r="E237" s="740"/>
      <c r="F237" s="740"/>
      <c r="G237" s="740"/>
      <c r="H237" s="740"/>
      <c r="I237" s="740"/>
      <c r="J237" s="740"/>
      <c r="K237" s="740"/>
      <c r="L237" s="740"/>
      <c r="M237" s="740"/>
    </row>
    <row r="238" spans="2:13">
      <c r="B238" s="740"/>
      <c r="C238" s="740"/>
      <c r="D238" s="740"/>
      <c r="E238" s="740"/>
      <c r="F238" s="740"/>
      <c r="G238" s="740"/>
      <c r="H238" s="740"/>
      <c r="I238" s="740"/>
      <c r="J238" s="740"/>
      <c r="K238" s="740"/>
      <c r="L238" s="740"/>
      <c r="M238" s="740"/>
    </row>
    <row r="239" spans="2:13">
      <c r="B239" s="740"/>
      <c r="C239" s="740"/>
      <c r="D239" s="740"/>
      <c r="E239" s="740"/>
      <c r="F239" s="740"/>
      <c r="G239" s="740"/>
      <c r="H239" s="740"/>
      <c r="I239" s="740"/>
      <c r="J239" s="740"/>
      <c r="K239" s="740"/>
      <c r="L239" s="740"/>
      <c r="M239" s="740"/>
    </row>
    <row r="240" spans="2:13">
      <c r="B240" s="740"/>
      <c r="C240" s="740"/>
      <c r="D240" s="740"/>
      <c r="E240" s="740"/>
      <c r="F240" s="740"/>
      <c r="G240" s="740"/>
      <c r="H240" s="740"/>
      <c r="I240" s="740"/>
      <c r="J240" s="740"/>
      <c r="K240" s="740"/>
      <c r="L240" s="740"/>
      <c r="M240" s="740"/>
    </row>
    <row r="241" spans="2:13">
      <c r="B241" s="740"/>
      <c r="C241" s="740"/>
      <c r="D241" s="740"/>
      <c r="E241" s="740"/>
      <c r="F241" s="740"/>
      <c r="G241" s="740"/>
      <c r="H241" s="740"/>
      <c r="I241" s="740"/>
      <c r="J241" s="740"/>
      <c r="K241" s="740"/>
      <c r="L241" s="740"/>
      <c r="M241" s="740"/>
    </row>
    <row r="242" spans="2:13">
      <c r="B242" s="740"/>
      <c r="C242" s="740"/>
      <c r="D242" s="740"/>
      <c r="E242" s="740"/>
      <c r="F242" s="740"/>
      <c r="G242" s="740"/>
      <c r="H242" s="740"/>
      <c r="I242" s="740"/>
      <c r="J242" s="740"/>
      <c r="K242" s="740"/>
      <c r="L242" s="740"/>
      <c r="M242" s="740"/>
    </row>
    <row r="243" spans="2:13">
      <c r="B243" s="740"/>
      <c r="C243" s="740"/>
      <c r="D243" s="740"/>
      <c r="E243" s="740"/>
      <c r="F243" s="740"/>
      <c r="G243" s="740"/>
      <c r="H243" s="740"/>
      <c r="I243" s="740"/>
      <c r="J243" s="740"/>
      <c r="K243" s="740"/>
      <c r="L243" s="740"/>
      <c r="M243" s="740"/>
    </row>
    <row r="244" spans="2:13">
      <c r="B244" s="740"/>
      <c r="C244" s="740"/>
      <c r="D244" s="740"/>
      <c r="E244" s="740"/>
      <c r="F244" s="740"/>
      <c r="G244" s="740"/>
      <c r="H244" s="740"/>
      <c r="I244" s="740"/>
      <c r="J244" s="740"/>
      <c r="K244" s="740"/>
      <c r="L244" s="740"/>
      <c r="M244" s="740"/>
    </row>
    <row r="245" spans="2:13">
      <c r="B245" s="740"/>
      <c r="C245" s="740"/>
      <c r="D245" s="740"/>
      <c r="E245" s="740"/>
      <c r="F245" s="740"/>
      <c r="G245" s="740"/>
      <c r="H245" s="740"/>
      <c r="I245" s="740"/>
      <c r="J245" s="740"/>
      <c r="K245" s="740"/>
      <c r="L245" s="740"/>
      <c r="M245" s="740"/>
    </row>
    <row r="246" spans="2:13">
      <c r="B246" s="740"/>
      <c r="C246" s="740"/>
      <c r="D246" s="740"/>
      <c r="E246" s="740"/>
      <c r="F246" s="740"/>
      <c r="G246" s="740"/>
      <c r="H246" s="740"/>
      <c r="I246" s="740"/>
      <c r="J246" s="740"/>
      <c r="K246" s="740"/>
      <c r="L246" s="740"/>
      <c r="M246" s="740"/>
    </row>
    <row r="247" spans="2:13">
      <c r="B247" s="740"/>
      <c r="C247" s="740"/>
      <c r="D247" s="740"/>
      <c r="E247" s="740"/>
      <c r="F247" s="740"/>
      <c r="G247" s="740"/>
      <c r="H247" s="740"/>
      <c r="I247" s="740"/>
      <c r="J247" s="740"/>
      <c r="K247" s="740"/>
      <c r="L247" s="740"/>
      <c r="M247" s="740"/>
    </row>
    <row r="248" spans="2:13">
      <c r="B248" s="740"/>
      <c r="C248" s="740"/>
      <c r="D248" s="740"/>
      <c r="E248" s="740"/>
      <c r="F248" s="740"/>
      <c r="G248" s="740"/>
      <c r="H248" s="740"/>
      <c r="I248" s="740"/>
      <c r="J248" s="740"/>
      <c r="K248" s="740"/>
      <c r="L248" s="740"/>
      <c r="M248" s="740"/>
    </row>
    <row r="249" spans="2:13">
      <c r="B249" s="740"/>
      <c r="C249" s="740"/>
      <c r="D249" s="740"/>
      <c r="E249" s="740"/>
      <c r="F249" s="740"/>
      <c r="G249" s="740"/>
      <c r="H249" s="740"/>
      <c r="I249" s="740"/>
      <c r="J249" s="740"/>
      <c r="K249" s="740"/>
      <c r="L249" s="740"/>
      <c r="M249" s="740"/>
    </row>
    <row r="250" spans="2:13">
      <c r="B250" s="740"/>
      <c r="C250" s="740"/>
      <c r="D250" s="740"/>
      <c r="E250" s="740"/>
      <c r="F250" s="740"/>
      <c r="G250" s="740"/>
      <c r="H250" s="740"/>
      <c r="I250" s="740"/>
      <c r="J250" s="740"/>
      <c r="K250" s="740"/>
      <c r="L250" s="740"/>
      <c r="M250" s="740"/>
    </row>
    <row r="251" spans="2:13">
      <c r="B251" s="740"/>
      <c r="C251" s="740"/>
      <c r="D251" s="740"/>
      <c r="E251" s="740"/>
      <c r="F251" s="740"/>
      <c r="G251" s="740"/>
      <c r="H251" s="740"/>
      <c r="I251" s="740"/>
      <c r="J251" s="740"/>
      <c r="K251" s="740"/>
      <c r="L251" s="740"/>
      <c r="M251" s="740"/>
    </row>
    <row r="252" spans="2:13">
      <c r="B252" s="740"/>
      <c r="C252" s="740"/>
      <c r="D252" s="740"/>
      <c r="E252" s="740"/>
      <c r="F252" s="740"/>
      <c r="G252" s="740"/>
      <c r="H252" s="740"/>
      <c r="I252" s="740"/>
      <c r="J252" s="740"/>
      <c r="K252" s="740"/>
      <c r="L252" s="740"/>
      <c r="M252" s="740"/>
    </row>
    <row r="253" spans="2:13">
      <c r="B253" s="740"/>
      <c r="C253" s="740"/>
      <c r="D253" s="740"/>
      <c r="E253" s="740"/>
      <c r="F253" s="740"/>
      <c r="G253" s="740"/>
      <c r="H253" s="740"/>
      <c r="I253" s="740"/>
      <c r="J253" s="740"/>
      <c r="K253" s="740"/>
      <c r="L253" s="740"/>
      <c r="M253" s="740"/>
    </row>
    <row r="254" spans="2:13">
      <c r="B254" s="740"/>
      <c r="C254" s="740"/>
      <c r="D254" s="740"/>
      <c r="E254" s="740"/>
      <c r="F254" s="740"/>
      <c r="G254" s="740"/>
      <c r="H254" s="740"/>
      <c r="I254" s="740"/>
      <c r="J254" s="740"/>
      <c r="K254" s="740"/>
      <c r="L254" s="740"/>
      <c r="M254" s="740"/>
    </row>
    <row r="255" spans="2:13">
      <c r="B255" s="740"/>
      <c r="C255" s="740"/>
      <c r="D255" s="740"/>
      <c r="E255" s="740"/>
      <c r="F255" s="740"/>
      <c r="G255" s="740"/>
      <c r="H255" s="740"/>
      <c r="I255" s="740"/>
      <c r="J255" s="740"/>
      <c r="K255" s="740"/>
      <c r="L255" s="740"/>
      <c r="M255" s="740"/>
    </row>
    <row r="256" spans="2:13">
      <c r="B256" s="740"/>
      <c r="C256" s="740"/>
      <c r="D256" s="740"/>
      <c r="E256" s="740"/>
      <c r="F256" s="740"/>
      <c r="G256" s="740"/>
      <c r="H256" s="740"/>
      <c r="I256" s="740"/>
      <c r="J256" s="740"/>
      <c r="K256" s="740"/>
      <c r="L256" s="740"/>
      <c r="M256" s="740"/>
    </row>
    <row r="257" spans="2:13">
      <c r="B257" s="740"/>
      <c r="C257" s="740"/>
      <c r="D257" s="740"/>
      <c r="E257" s="740"/>
      <c r="F257" s="740"/>
      <c r="G257" s="740"/>
      <c r="H257" s="740"/>
      <c r="I257" s="740"/>
      <c r="J257" s="740"/>
      <c r="K257" s="740"/>
      <c r="L257" s="740"/>
      <c r="M257" s="740"/>
    </row>
    <row r="258" spans="2:13">
      <c r="B258" s="740"/>
      <c r="C258" s="740"/>
      <c r="D258" s="740"/>
      <c r="E258" s="740"/>
      <c r="F258" s="740"/>
      <c r="G258" s="740"/>
      <c r="H258" s="740"/>
      <c r="I258" s="740"/>
      <c r="J258" s="740"/>
      <c r="K258" s="740"/>
      <c r="L258" s="740"/>
      <c r="M258" s="740"/>
    </row>
    <row r="259" spans="2:13">
      <c r="B259" s="740"/>
      <c r="C259" s="740"/>
      <c r="D259" s="740"/>
      <c r="E259" s="740"/>
      <c r="F259" s="740"/>
      <c r="G259" s="740"/>
      <c r="H259" s="740"/>
      <c r="I259" s="740"/>
      <c r="J259" s="740"/>
      <c r="K259" s="740"/>
      <c r="L259" s="740"/>
      <c r="M259" s="740"/>
    </row>
    <row r="260" spans="2:13">
      <c r="B260" s="740"/>
      <c r="C260" s="740"/>
      <c r="D260" s="740"/>
      <c r="E260" s="740"/>
      <c r="F260" s="740"/>
      <c r="G260" s="740"/>
      <c r="H260" s="740"/>
      <c r="I260" s="740"/>
      <c r="J260" s="740"/>
      <c r="K260" s="740"/>
      <c r="L260" s="740"/>
      <c r="M260" s="740"/>
    </row>
    <row r="261" spans="2:13">
      <c r="B261" s="740"/>
      <c r="C261" s="740"/>
      <c r="D261" s="740"/>
      <c r="E261" s="740"/>
      <c r="F261" s="740"/>
      <c r="G261" s="740"/>
      <c r="H261" s="740"/>
      <c r="I261" s="740"/>
      <c r="J261" s="740"/>
      <c r="K261" s="740"/>
      <c r="L261" s="740"/>
      <c r="M261" s="740"/>
    </row>
    <row r="262" spans="2:13">
      <c r="B262" s="740"/>
      <c r="C262" s="740"/>
      <c r="D262" s="740"/>
      <c r="E262" s="740"/>
      <c r="F262" s="740"/>
      <c r="G262" s="740"/>
      <c r="H262" s="740"/>
      <c r="I262" s="740"/>
      <c r="J262" s="740"/>
      <c r="K262" s="740"/>
      <c r="L262" s="740"/>
      <c r="M262" s="740"/>
    </row>
    <row r="263" spans="2:13">
      <c r="B263" s="740"/>
      <c r="C263" s="740"/>
      <c r="D263" s="740"/>
      <c r="E263" s="740"/>
      <c r="F263" s="740"/>
      <c r="G263" s="740"/>
      <c r="H263" s="740"/>
      <c r="I263" s="740"/>
      <c r="J263" s="740"/>
      <c r="K263" s="740"/>
      <c r="L263" s="740"/>
      <c r="M263" s="740"/>
    </row>
    <row r="264" spans="2:13">
      <c r="B264" s="740"/>
      <c r="C264" s="740"/>
      <c r="D264" s="740"/>
      <c r="E264" s="740"/>
      <c r="F264" s="740"/>
      <c r="G264" s="740"/>
      <c r="H264" s="740"/>
      <c r="I264" s="740"/>
      <c r="J264" s="740"/>
      <c r="K264" s="740"/>
      <c r="L264" s="740"/>
      <c r="M264" s="740"/>
    </row>
    <row r="265" spans="2:13">
      <c r="B265" s="740"/>
      <c r="C265" s="740"/>
      <c r="D265" s="740"/>
      <c r="E265" s="740"/>
      <c r="F265" s="740"/>
      <c r="G265" s="740"/>
      <c r="H265" s="740"/>
      <c r="I265" s="740"/>
      <c r="J265" s="740"/>
      <c r="K265" s="740"/>
      <c r="L265" s="740"/>
      <c r="M265" s="740"/>
    </row>
    <row r="266" spans="2:13">
      <c r="B266" s="740"/>
      <c r="C266" s="740"/>
      <c r="D266" s="740"/>
      <c r="E266" s="740"/>
      <c r="F266" s="740"/>
      <c r="G266" s="740"/>
      <c r="H266" s="740"/>
      <c r="I266" s="740"/>
      <c r="J266" s="740"/>
      <c r="K266" s="740"/>
      <c r="L266" s="740"/>
      <c r="M266" s="740"/>
    </row>
    <row r="267" spans="2:13">
      <c r="B267" s="740"/>
      <c r="C267" s="740"/>
      <c r="D267" s="740"/>
      <c r="E267" s="740"/>
      <c r="F267" s="740"/>
      <c r="G267" s="740"/>
      <c r="H267" s="740"/>
      <c r="I267" s="740"/>
      <c r="J267" s="740"/>
      <c r="K267" s="740"/>
      <c r="L267" s="740"/>
      <c r="M267" s="740"/>
    </row>
    <row r="268" spans="2:13">
      <c r="B268" s="740"/>
      <c r="C268" s="740"/>
      <c r="D268" s="740"/>
      <c r="E268" s="740"/>
      <c r="F268" s="740"/>
      <c r="G268" s="740"/>
      <c r="H268" s="740"/>
      <c r="I268" s="740"/>
      <c r="J268" s="740"/>
      <c r="K268" s="740"/>
      <c r="L268" s="740"/>
      <c r="M268" s="740"/>
    </row>
    <row r="269" spans="2:13">
      <c r="B269" s="740"/>
      <c r="C269" s="740"/>
      <c r="D269" s="740"/>
      <c r="E269" s="740"/>
      <c r="F269" s="740"/>
      <c r="G269" s="740"/>
      <c r="H269" s="740"/>
      <c r="I269" s="740"/>
      <c r="J269" s="740"/>
      <c r="K269" s="740"/>
      <c r="L269" s="740"/>
      <c r="M269" s="740"/>
    </row>
    <row r="270" spans="2:13">
      <c r="B270" s="740"/>
      <c r="C270" s="740"/>
      <c r="D270" s="740"/>
      <c r="E270" s="740"/>
      <c r="F270" s="740"/>
      <c r="G270" s="740"/>
      <c r="H270" s="740"/>
      <c r="I270" s="740"/>
      <c r="J270" s="740"/>
      <c r="K270" s="740"/>
      <c r="L270" s="740"/>
      <c r="M270" s="740"/>
    </row>
    <row r="271" spans="2:13">
      <c r="B271" s="740"/>
      <c r="C271" s="740"/>
      <c r="D271" s="740"/>
      <c r="E271" s="740"/>
      <c r="F271" s="740"/>
      <c r="G271" s="740"/>
      <c r="H271" s="740"/>
      <c r="I271" s="740"/>
      <c r="J271" s="740"/>
      <c r="K271" s="740"/>
      <c r="L271" s="740"/>
      <c r="M271" s="740"/>
    </row>
    <row r="272" spans="2:13">
      <c r="B272" s="740"/>
      <c r="C272" s="740"/>
      <c r="D272" s="740"/>
      <c r="E272" s="740"/>
      <c r="F272" s="740"/>
      <c r="G272" s="740"/>
      <c r="H272" s="740"/>
      <c r="I272" s="740"/>
      <c r="J272" s="740"/>
      <c r="K272" s="740"/>
      <c r="L272" s="740"/>
      <c r="M272" s="740"/>
    </row>
    <row r="273" spans="2:13">
      <c r="B273" s="740"/>
      <c r="C273" s="740"/>
      <c r="D273" s="740"/>
      <c r="E273" s="740"/>
      <c r="F273" s="740"/>
      <c r="G273" s="740"/>
      <c r="H273" s="740"/>
      <c r="I273" s="740"/>
      <c r="J273" s="740"/>
      <c r="K273" s="740"/>
      <c r="L273" s="740"/>
      <c r="M273" s="740"/>
    </row>
    <row r="274" spans="2:13">
      <c r="B274" s="740"/>
      <c r="C274" s="740"/>
      <c r="D274" s="740"/>
      <c r="E274" s="740"/>
      <c r="F274" s="740"/>
      <c r="G274" s="740"/>
      <c r="H274" s="740"/>
      <c r="I274" s="740"/>
      <c r="J274" s="740"/>
      <c r="K274" s="740"/>
      <c r="L274" s="740"/>
      <c r="M274" s="740"/>
    </row>
    <row r="275" spans="2:13">
      <c r="B275" s="740"/>
      <c r="C275" s="740"/>
      <c r="D275" s="740"/>
      <c r="E275" s="740"/>
      <c r="F275" s="740"/>
      <c r="G275" s="740"/>
      <c r="H275" s="740"/>
      <c r="I275" s="740"/>
      <c r="J275" s="740"/>
      <c r="K275" s="740"/>
      <c r="L275" s="740"/>
      <c r="M275" s="740"/>
    </row>
    <row r="276" spans="2:13">
      <c r="B276" s="740"/>
      <c r="C276" s="740"/>
      <c r="D276" s="740"/>
      <c r="E276" s="740"/>
      <c r="F276" s="740"/>
      <c r="G276" s="740"/>
      <c r="H276" s="740"/>
      <c r="I276" s="740"/>
      <c r="J276" s="740"/>
      <c r="K276" s="740"/>
      <c r="L276" s="740"/>
      <c r="M276" s="740"/>
    </row>
    <row r="277" spans="2:13">
      <c r="B277" s="740"/>
      <c r="C277" s="740"/>
      <c r="D277" s="740"/>
      <c r="E277" s="740"/>
      <c r="F277" s="740"/>
      <c r="G277" s="740"/>
      <c r="H277" s="740"/>
      <c r="I277" s="740"/>
      <c r="J277" s="740"/>
      <c r="K277" s="740"/>
      <c r="L277" s="740"/>
      <c r="M277" s="740"/>
    </row>
    <row r="278" spans="2:13">
      <c r="B278" s="740"/>
      <c r="C278" s="740"/>
      <c r="D278" s="740"/>
      <c r="E278" s="740"/>
      <c r="F278" s="740"/>
      <c r="G278" s="740"/>
      <c r="H278" s="740"/>
      <c r="I278" s="740"/>
      <c r="J278" s="740"/>
      <c r="K278" s="740"/>
      <c r="L278" s="740"/>
      <c r="M278" s="740"/>
    </row>
    <row r="279" spans="2:13">
      <c r="B279" s="740"/>
      <c r="C279" s="740"/>
      <c r="D279" s="740"/>
      <c r="E279" s="740"/>
      <c r="F279" s="740"/>
      <c r="G279" s="740"/>
      <c r="H279" s="740"/>
      <c r="I279" s="740"/>
      <c r="J279" s="740"/>
      <c r="K279" s="740"/>
      <c r="L279" s="740"/>
      <c r="M279" s="740"/>
    </row>
    <row r="280" spans="2:13">
      <c r="B280" s="740"/>
      <c r="C280" s="740"/>
      <c r="D280" s="740"/>
      <c r="E280" s="740"/>
      <c r="F280" s="740"/>
      <c r="G280" s="740"/>
      <c r="H280" s="740"/>
      <c r="I280" s="740"/>
      <c r="J280" s="740"/>
      <c r="K280" s="740"/>
      <c r="L280" s="740"/>
      <c r="M280" s="740"/>
    </row>
    <row r="281" spans="2:13">
      <c r="B281" s="740"/>
      <c r="C281" s="740"/>
      <c r="D281" s="740"/>
      <c r="E281" s="740"/>
      <c r="F281" s="740"/>
      <c r="G281" s="740"/>
      <c r="H281" s="740"/>
      <c r="I281" s="740"/>
      <c r="J281" s="740"/>
      <c r="K281" s="740"/>
      <c r="L281" s="740"/>
      <c r="M281" s="740"/>
    </row>
    <row r="282" spans="2:13">
      <c r="B282" s="740"/>
      <c r="C282" s="740"/>
      <c r="D282" s="740"/>
      <c r="E282" s="740"/>
      <c r="F282" s="740"/>
      <c r="G282" s="740"/>
      <c r="H282" s="740"/>
      <c r="I282" s="740"/>
      <c r="J282" s="740"/>
      <c r="K282" s="740"/>
      <c r="L282" s="740"/>
      <c r="M282" s="740"/>
    </row>
    <row r="283" spans="2:13">
      <c r="B283" s="740"/>
      <c r="C283" s="740"/>
      <c r="D283" s="740"/>
      <c r="E283" s="740"/>
      <c r="F283" s="740"/>
      <c r="G283" s="740"/>
      <c r="H283" s="740"/>
      <c r="I283" s="740"/>
      <c r="J283" s="740"/>
      <c r="K283" s="740"/>
      <c r="L283" s="740"/>
      <c r="M283" s="740"/>
    </row>
    <row r="284" spans="2:13">
      <c r="B284" s="740"/>
      <c r="C284" s="740"/>
      <c r="D284" s="740"/>
      <c r="E284" s="740"/>
      <c r="F284" s="740"/>
      <c r="G284" s="740"/>
      <c r="H284" s="740"/>
      <c r="I284" s="740"/>
      <c r="J284" s="740"/>
      <c r="K284" s="740"/>
      <c r="L284" s="740"/>
      <c r="M284" s="740"/>
    </row>
    <row r="285" spans="2:13">
      <c r="B285" s="740"/>
      <c r="C285" s="740"/>
      <c r="D285" s="740"/>
      <c r="E285" s="740"/>
      <c r="F285" s="740"/>
      <c r="G285" s="740"/>
      <c r="H285" s="740"/>
      <c r="I285" s="740"/>
      <c r="J285" s="740"/>
      <c r="K285" s="740"/>
      <c r="L285" s="740"/>
      <c r="M285" s="740"/>
    </row>
    <row r="286" spans="2:13">
      <c r="B286" s="740"/>
      <c r="C286" s="740"/>
      <c r="D286" s="740"/>
      <c r="E286" s="740"/>
      <c r="F286" s="740"/>
      <c r="G286" s="740"/>
      <c r="H286" s="740"/>
      <c r="I286" s="740"/>
      <c r="J286" s="740"/>
      <c r="K286" s="740"/>
      <c r="L286" s="740"/>
      <c r="M286" s="740"/>
    </row>
    <row r="287" spans="2:13">
      <c r="B287" s="740"/>
      <c r="C287" s="740"/>
      <c r="D287" s="740"/>
      <c r="E287" s="740"/>
      <c r="F287" s="740"/>
      <c r="G287" s="740"/>
      <c r="H287" s="740"/>
      <c r="I287" s="740"/>
      <c r="J287" s="740"/>
      <c r="K287" s="740"/>
      <c r="L287" s="740"/>
      <c r="M287" s="740"/>
    </row>
    <row r="288" spans="2:13">
      <c r="B288" s="740"/>
      <c r="C288" s="740"/>
      <c r="D288" s="740"/>
      <c r="E288" s="740"/>
      <c r="F288" s="740"/>
      <c r="G288" s="740"/>
      <c r="H288" s="740"/>
      <c r="I288" s="740"/>
      <c r="J288" s="740"/>
      <c r="K288" s="740"/>
      <c r="L288" s="740"/>
      <c r="M288" s="740"/>
    </row>
    <row r="289" spans="2:13">
      <c r="B289" s="740"/>
      <c r="C289" s="740"/>
      <c r="D289" s="740"/>
      <c r="E289" s="740"/>
      <c r="F289" s="740"/>
      <c r="G289" s="740"/>
      <c r="H289" s="740"/>
      <c r="I289" s="740"/>
      <c r="J289" s="740"/>
      <c r="K289" s="740"/>
      <c r="L289" s="740"/>
      <c r="M289" s="740"/>
    </row>
    <row r="290" spans="2:13">
      <c r="B290" s="740"/>
      <c r="C290" s="740"/>
      <c r="D290" s="740"/>
      <c r="E290" s="740"/>
      <c r="F290" s="740"/>
      <c r="G290" s="740"/>
      <c r="H290" s="740"/>
      <c r="I290" s="740"/>
      <c r="J290" s="740"/>
      <c r="K290" s="740"/>
      <c r="L290" s="740"/>
      <c r="M290" s="740"/>
    </row>
    <row r="291" spans="2:13">
      <c r="B291" s="740"/>
      <c r="C291" s="740"/>
      <c r="D291" s="740"/>
      <c r="E291" s="740"/>
      <c r="F291" s="740"/>
      <c r="G291" s="740"/>
      <c r="H291" s="740"/>
      <c r="I291" s="740"/>
      <c r="J291" s="740"/>
      <c r="K291" s="740"/>
      <c r="L291" s="740"/>
      <c r="M291" s="740"/>
    </row>
    <row r="292" spans="2:13">
      <c r="B292" s="740"/>
      <c r="C292" s="740"/>
      <c r="D292" s="740"/>
      <c r="E292" s="740"/>
      <c r="F292" s="740"/>
      <c r="G292" s="740"/>
      <c r="H292" s="740"/>
      <c r="I292" s="740"/>
      <c r="J292" s="740"/>
      <c r="K292" s="740"/>
      <c r="L292" s="740"/>
      <c r="M292" s="740"/>
    </row>
    <row r="293" spans="2:13">
      <c r="B293" s="740"/>
      <c r="C293" s="740"/>
      <c r="D293" s="740"/>
      <c r="E293" s="740"/>
      <c r="F293" s="740"/>
      <c r="G293" s="740"/>
      <c r="H293" s="740"/>
      <c r="I293" s="740"/>
      <c r="J293" s="740"/>
      <c r="K293" s="740"/>
      <c r="L293" s="740"/>
      <c r="M293" s="740"/>
    </row>
    <row r="294" spans="2:13">
      <c r="B294" s="740"/>
      <c r="C294" s="740"/>
      <c r="D294" s="740"/>
      <c r="E294" s="740"/>
      <c r="F294" s="740"/>
      <c r="G294" s="740"/>
      <c r="H294" s="740"/>
      <c r="I294" s="740"/>
      <c r="J294" s="740"/>
      <c r="K294" s="740"/>
      <c r="L294" s="740"/>
      <c r="M294" s="740"/>
    </row>
    <row r="295" spans="2:13">
      <c r="B295" s="740"/>
      <c r="C295" s="740"/>
      <c r="D295" s="740"/>
      <c r="E295" s="740"/>
      <c r="F295" s="740"/>
      <c r="G295" s="740"/>
      <c r="H295" s="740"/>
      <c r="I295" s="740"/>
      <c r="J295" s="740"/>
      <c r="K295" s="740"/>
      <c r="L295" s="740"/>
      <c r="M295" s="740"/>
    </row>
    <row r="296" spans="2:13">
      <c r="B296" s="740"/>
      <c r="C296" s="740"/>
      <c r="D296" s="740"/>
      <c r="E296" s="740"/>
      <c r="F296" s="740"/>
      <c r="G296" s="740"/>
      <c r="H296" s="740"/>
      <c r="I296" s="740"/>
      <c r="J296" s="740"/>
      <c r="K296" s="740"/>
      <c r="L296" s="740"/>
      <c r="M296" s="740"/>
    </row>
    <row r="297" spans="2:13">
      <c r="B297" s="740"/>
      <c r="C297" s="740"/>
      <c r="D297" s="740"/>
      <c r="E297" s="740"/>
      <c r="F297" s="740"/>
      <c r="G297" s="740"/>
      <c r="H297" s="740"/>
      <c r="I297" s="740"/>
      <c r="J297" s="740"/>
      <c r="K297" s="740"/>
      <c r="L297" s="740"/>
      <c r="M297" s="740"/>
    </row>
    <row r="298" spans="2:13">
      <c r="B298" s="740"/>
      <c r="C298" s="740"/>
      <c r="D298" s="740"/>
      <c r="E298" s="740"/>
      <c r="F298" s="740"/>
      <c r="G298" s="740"/>
      <c r="H298" s="740"/>
      <c r="I298" s="740"/>
      <c r="J298" s="740"/>
      <c r="K298" s="740"/>
      <c r="L298" s="740"/>
      <c r="M298" s="740"/>
    </row>
    <row r="299" spans="2:13">
      <c r="B299" s="740"/>
      <c r="C299" s="740"/>
      <c r="D299" s="740"/>
      <c r="E299" s="740"/>
      <c r="F299" s="740"/>
      <c r="G299" s="740"/>
      <c r="H299" s="740"/>
      <c r="I299" s="740"/>
      <c r="J299" s="740"/>
      <c r="K299" s="740"/>
      <c r="L299" s="740"/>
      <c r="M299" s="740"/>
    </row>
    <row r="300" spans="2:13">
      <c r="B300" s="740"/>
      <c r="C300" s="740"/>
      <c r="D300" s="740"/>
      <c r="E300" s="740"/>
      <c r="F300" s="740"/>
      <c r="G300" s="740"/>
      <c r="H300" s="740"/>
      <c r="I300" s="740"/>
      <c r="J300" s="740"/>
      <c r="K300" s="740"/>
      <c r="L300" s="740"/>
      <c r="M300" s="740"/>
    </row>
    <row r="301" spans="2:13">
      <c r="B301" s="740"/>
      <c r="C301" s="740"/>
      <c r="D301" s="740"/>
      <c r="E301" s="740"/>
      <c r="F301" s="740"/>
      <c r="G301" s="740"/>
      <c r="H301" s="740"/>
      <c r="I301" s="740"/>
      <c r="J301" s="740"/>
      <c r="K301" s="740"/>
      <c r="L301" s="740"/>
      <c r="M301" s="740"/>
    </row>
    <row r="302" spans="2:13">
      <c r="B302" s="740"/>
      <c r="C302" s="740"/>
      <c r="D302" s="740"/>
      <c r="E302" s="740"/>
      <c r="F302" s="740"/>
      <c r="G302" s="740"/>
      <c r="H302" s="740"/>
      <c r="I302" s="740"/>
      <c r="J302" s="740"/>
      <c r="K302" s="740"/>
      <c r="L302" s="740"/>
      <c r="M302" s="740"/>
    </row>
    <row r="303" spans="2:13">
      <c r="B303" s="740"/>
      <c r="C303" s="740"/>
      <c r="D303" s="740"/>
      <c r="E303" s="740"/>
      <c r="F303" s="740"/>
      <c r="G303" s="740"/>
      <c r="H303" s="740"/>
      <c r="I303" s="740"/>
      <c r="J303" s="740"/>
      <c r="K303" s="740"/>
      <c r="L303" s="740"/>
      <c r="M303" s="740"/>
    </row>
    <row r="304" spans="2:13">
      <c r="B304" s="740"/>
      <c r="C304" s="740"/>
      <c r="D304" s="740"/>
      <c r="E304" s="740"/>
      <c r="F304" s="740"/>
      <c r="G304" s="740"/>
      <c r="H304" s="740"/>
      <c r="I304" s="740"/>
      <c r="J304" s="740"/>
      <c r="K304" s="740"/>
      <c r="L304" s="740"/>
      <c r="M304" s="740"/>
    </row>
    <row r="305" spans="2:13">
      <c r="B305" s="740"/>
      <c r="C305" s="740"/>
      <c r="D305" s="740"/>
      <c r="E305" s="740"/>
      <c r="F305" s="740"/>
      <c r="G305" s="740"/>
      <c r="H305" s="740"/>
      <c r="I305" s="740"/>
      <c r="J305" s="740"/>
      <c r="K305" s="740"/>
      <c r="L305" s="740"/>
      <c r="M305" s="740"/>
    </row>
    <row r="306" spans="2:13">
      <c r="B306" s="740"/>
      <c r="C306" s="740"/>
      <c r="D306" s="740"/>
      <c r="E306" s="740"/>
      <c r="F306" s="740"/>
      <c r="G306" s="740"/>
      <c r="H306" s="740"/>
      <c r="I306" s="740"/>
      <c r="J306" s="740"/>
      <c r="K306" s="740"/>
      <c r="L306" s="740"/>
      <c r="M306" s="740"/>
    </row>
    <row r="307" spans="2:13">
      <c r="B307" s="740"/>
      <c r="C307" s="740"/>
      <c r="D307" s="740"/>
      <c r="E307" s="740"/>
      <c r="F307" s="740"/>
      <c r="G307" s="740"/>
      <c r="H307" s="740"/>
      <c r="I307" s="740"/>
      <c r="J307" s="740"/>
      <c r="K307" s="740"/>
      <c r="L307" s="740"/>
      <c r="M307" s="740"/>
    </row>
    <row r="308" spans="2:13">
      <c r="B308" s="740"/>
      <c r="C308" s="740"/>
      <c r="D308" s="740"/>
      <c r="E308" s="740"/>
      <c r="F308" s="740"/>
      <c r="G308" s="740"/>
      <c r="H308" s="740"/>
      <c r="I308" s="740"/>
      <c r="J308" s="740"/>
      <c r="K308" s="740"/>
      <c r="L308" s="740"/>
      <c r="M308" s="740"/>
    </row>
    <row r="309" spans="2:13">
      <c r="B309" s="740"/>
      <c r="C309" s="740"/>
      <c r="D309" s="740"/>
      <c r="E309" s="740"/>
      <c r="F309" s="740"/>
      <c r="G309" s="740"/>
      <c r="H309" s="740"/>
      <c r="I309" s="740"/>
      <c r="J309" s="740"/>
      <c r="K309" s="740"/>
      <c r="L309" s="740"/>
      <c r="M309" s="740"/>
    </row>
    <row r="310" spans="2:13">
      <c r="B310" s="740"/>
      <c r="C310" s="740"/>
      <c r="D310" s="740"/>
      <c r="E310" s="740"/>
      <c r="F310" s="740"/>
      <c r="G310" s="740"/>
      <c r="H310" s="740"/>
      <c r="I310" s="740"/>
      <c r="J310" s="740"/>
      <c r="K310" s="740"/>
      <c r="L310" s="740"/>
      <c r="M310" s="740"/>
    </row>
    <row r="311" spans="2:13">
      <c r="B311" s="740"/>
      <c r="C311" s="740"/>
      <c r="D311" s="740"/>
      <c r="E311" s="740"/>
      <c r="F311" s="740"/>
      <c r="G311" s="740"/>
      <c r="H311" s="740"/>
      <c r="I311" s="740"/>
      <c r="J311" s="740"/>
      <c r="K311" s="740"/>
      <c r="L311" s="740"/>
      <c r="M311" s="740"/>
    </row>
    <row r="312" spans="2:13">
      <c r="B312" s="740"/>
      <c r="C312" s="740"/>
      <c r="D312" s="740"/>
      <c r="E312" s="740"/>
      <c r="F312" s="740"/>
      <c r="G312" s="740"/>
      <c r="H312" s="740"/>
      <c r="I312" s="740"/>
      <c r="J312" s="740"/>
      <c r="K312" s="740"/>
      <c r="L312" s="740"/>
      <c r="M312" s="740"/>
    </row>
    <row r="313" spans="2:13">
      <c r="B313" s="740"/>
      <c r="C313" s="740"/>
      <c r="D313" s="740"/>
      <c r="E313" s="740"/>
      <c r="F313" s="740"/>
      <c r="G313" s="740"/>
      <c r="H313" s="740"/>
      <c r="I313" s="740"/>
      <c r="J313" s="740"/>
      <c r="K313" s="740"/>
      <c r="L313" s="740"/>
      <c r="M313" s="740"/>
    </row>
    <row r="314" spans="2:13">
      <c r="B314" s="740"/>
      <c r="C314" s="740"/>
      <c r="D314" s="740"/>
      <c r="E314" s="740"/>
      <c r="F314" s="740"/>
      <c r="G314" s="740"/>
      <c r="H314" s="740"/>
      <c r="I314" s="740"/>
      <c r="J314" s="740"/>
      <c r="K314" s="740"/>
      <c r="L314" s="740"/>
      <c r="M314" s="740"/>
    </row>
    <row r="315" spans="2:13">
      <c r="B315" s="740"/>
      <c r="C315" s="740"/>
      <c r="D315" s="740"/>
      <c r="E315" s="740"/>
      <c r="F315" s="740"/>
      <c r="G315" s="740"/>
      <c r="H315" s="740"/>
      <c r="I315" s="740"/>
      <c r="J315" s="740"/>
      <c r="K315" s="740"/>
      <c r="L315" s="740"/>
      <c r="M315" s="740"/>
    </row>
    <row r="316" spans="2:13">
      <c r="B316" s="740"/>
      <c r="C316" s="740"/>
      <c r="D316" s="740"/>
      <c r="E316" s="740"/>
      <c r="F316" s="740"/>
      <c r="G316" s="740"/>
      <c r="H316" s="740"/>
      <c r="I316" s="740"/>
      <c r="J316" s="740"/>
      <c r="K316" s="740"/>
      <c r="L316" s="740"/>
      <c r="M316" s="740"/>
    </row>
    <row r="317" spans="2:13">
      <c r="B317" s="740"/>
      <c r="C317" s="740"/>
      <c r="D317" s="740"/>
      <c r="E317" s="740"/>
      <c r="F317" s="740"/>
      <c r="G317" s="740"/>
      <c r="H317" s="740"/>
      <c r="I317" s="740"/>
      <c r="J317" s="740"/>
      <c r="K317" s="740"/>
      <c r="L317" s="740"/>
      <c r="M317" s="740"/>
    </row>
    <row r="318" spans="2:13">
      <c r="B318" s="740"/>
      <c r="C318" s="740"/>
      <c r="D318" s="740"/>
      <c r="E318" s="740"/>
      <c r="F318" s="740"/>
      <c r="G318" s="740"/>
      <c r="H318" s="740"/>
      <c r="I318" s="740"/>
      <c r="J318" s="740"/>
      <c r="K318" s="740"/>
      <c r="L318" s="740"/>
      <c r="M318" s="740"/>
    </row>
    <row r="319" spans="2:13">
      <c r="B319" s="740"/>
      <c r="C319" s="740"/>
      <c r="D319" s="740"/>
      <c r="E319" s="740"/>
      <c r="F319" s="740"/>
      <c r="G319" s="740"/>
      <c r="H319" s="740"/>
      <c r="I319" s="740"/>
      <c r="J319" s="740"/>
      <c r="K319" s="740"/>
      <c r="L319" s="740"/>
      <c r="M319" s="740"/>
    </row>
    <row r="320" spans="2:13">
      <c r="B320" s="740"/>
      <c r="C320" s="740"/>
      <c r="D320" s="740"/>
      <c r="E320" s="740"/>
      <c r="F320" s="740"/>
      <c r="G320" s="740"/>
      <c r="H320" s="740"/>
      <c r="I320" s="740"/>
      <c r="J320" s="740"/>
      <c r="K320" s="740"/>
      <c r="L320" s="740"/>
      <c r="M320" s="740"/>
    </row>
    <row r="321" spans="2:13">
      <c r="B321" s="740"/>
      <c r="C321" s="740"/>
      <c r="D321" s="740"/>
      <c r="E321" s="740"/>
      <c r="F321" s="740"/>
      <c r="G321" s="740"/>
      <c r="H321" s="740"/>
      <c r="I321" s="740"/>
      <c r="J321" s="740"/>
      <c r="K321" s="740"/>
      <c r="L321" s="740"/>
      <c r="M321" s="740"/>
    </row>
    <row r="322" spans="2:13">
      <c r="B322" s="740"/>
      <c r="C322" s="740"/>
      <c r="D322" s="740"/>
      <c r="E322" s="740"/>
      <c r="F322" s="740"/>
      <c r="G322" s="740"/>
      <c r="H322" s="740"/>
      <c r="I322" s="740"/>
      <c r="J322" s="740"/>
      <c r="K322" s="740"/>
      <c r="L322" s="740"/>
      <c r="M322" s="740"/>
    </row>
    <row r="323" spans="2:13">
      <c r="B323" s="740"/>
      <c r="C323" s="740"/>
      <c r="D323" s="740"/>
      <c r="E323" s="740"/>
      <c r="F323" s="740"/>
      <c r="G323" s="740"/>
      <c r="H323" s="740"/>
      <c r="I323" s="740"/>
      <c r="J323" s="740"/>
      <c r="K323" s="740"/>
      <c r="L323" s="740"/>
      <c r="M323" s="740"/>
    </row>
    <row r="324" spans="2:13">
      <c r="B324" s="740"/>
      <c r="C324" s="740"/>
      <c r="D324" s="740"/>
      <c r="E324" s="740"/>
      <c r="F324" s="740"/>
      <c r="G324" s="740"/>
      <c r="H324" s="740"/>
      <c r="I324" s="740"/>
      <c r="J324" s="740"/>
      <c r="K324" s="740"/>
      <c r="L324" s="740"/>
      <c r="M324" s="740"/>
    </row>
    <row r="325" spans="2:13">
      <c r="B325" s="740"/>
      <c r="C325" s="740"/>
      <c r="D325" s="740"/>
      <c r="E325" s="740"/>
      <c r="F325" s="740"/>
      <c r="G325" s="740"/>
      <c r="H325" s="740"/>
      <c r="I325" s="740"/>
      <c r="J325" s="740"/>
      <c r="K325" s="740"/>
      <c r="L325" s="740"/>
      <c r="M325" s="740"/>
    </row>
    <row r="326" spans="2:13">
      <c r="B326" s="740"/>
      <c r="C326" s="740"/>
      <c r="D326" s="740"/>
      <c r="E326" s="740"/>
      <c r="F326" s="740"/>
      <c r="G326" s="740"/>
      <c r="H326" s="740"/>
      <c r="I326" s="740"/>
      <c r="J326" s="740"/>
      <c r="K326" s="740"/>
      <c r="L326" s="740"/>
      <c r="M326" s="740"/>
    </row>
    <row r="327" spans="2:13">
      <c r="B327" s="740"/>
      <c r="C327" s="740"/>
      <c r="D327" s="740"/>
      <c r="E327" s="740"/>
      <c r="F327" s="740"/>
      <c r="G327" s="740"/>
      <c r="H327" s="740"/>
      <c r="I327" s="740"/>
      <c r="J327" s="740"/>
      <c r="K327" s="740"/>
      <c r="L327" s="740"/>
      <c r="M327" s="740"/>
    </row>
    <row r="328" spans="2:13">
      <c r="B328" s="740"/>
      <c r="C328" s="740"/>
      <c r="D328" s="740"/>
      <c r="E328" s="740"/>
      <c r="F328" s="740"/>
      <c r="G328" s="740"/>
      <c r="H328" s="740"/>
      <c r="I328" s="740"/>
      <c r="J328" s="740"/>
      <c r="K328" s="740"/>
      <c r="L328" s="740"/>
      <c r="M328" s="740"/>
    </row>
    <row r="329" spans="2:13">
      <c r="B329" s="740"/>
      <c r="C329" s="740"/>
      <c r="D329" s="740"/>
      <c r="E329" s="740"/>
      <c r="F329" s="740"/>
      <c r="G329" s="740"/>
      <c r="H329" s="740"/>
      <c r="I329" s="740"/>
      <c r="J329" s="740"/>
      <c r="K329" s="740"/>
      <c r="L329" s="740"/>
      <c r="M329" s="740"/>
    </row>
    <row r="330" spans="2:13">
      <c r="B330" s="740"/>
      <c r="C330" s="740"/>
      <c r="D330" s="740"/>
      <c r="E330" s="740"/>
      <c r="F330" s="740"/>
      <c r="G330" s="740"/>
      <c r="H330" s="740"/>
      <c r="I330" s="740"/>
      <c r="J330" s="740"/>
      <c r="K330" s="740"/>
      <c r="L330" s="740"/>
      <c r="M330" s="740"/>
    </row>
    <row r="331" spans="2:13">
      <c r="B331" s="740"/>
      <c r="C331" s="740"/>
      <c r="D331" s="740"/>
      <c r="E331" s="740"/>
      <c r="F331" s="740"/>
      <c r="G331" s="740"/>
      <c r="H331" s="740"/>
      <c r="I331" s="740"/>
      <c r="J331" s="740"/>
      <c r="K331" s="740"/>
      <c r="L331" s="740"/>
      <c r="M331" s="740"/>
    </row>
    <row r="332" spans="2:13">
      <c r="B332" s="740"/>
      <c r="C332" s="740"/>
      <c r="D332" s="740"/>
      <c r="E332" s="740"/>
      <c r="F332" s="740"/>
      <c r="G332" s="740"/>
      <c r="H332" s="740"/>
      <c r="I332" s="740"/>
      <c r="J332" s="740"/>
      <c r="K332" s="740"/>
      <c r="L332" s="740"/>
      <c r="M332" s="740"/>
    </row>
    <row r="333" spans="2:13">
      <c r="B333" s="740"/>
      <c r="C333" s="740"/>
      <c r="D333" s="740"/>
      <c r="E333" s="740"/>
      <c r="F333" s="740"/>
      <c r="G333" s="740"/>
      <c r="H333" s="740"/>
      <c r="I333" s="740"/>
      <c r="J333" s="740"/>
      <c r="K333" s="740"/>
      <c r="L333" s="740"/>
      <c r="M333" s="740"/>
    </row>
    <row r="334" spans="2:13">
      <c r="B334" s="740"/>
      <c r="C334" s="740"/>
      <c r="D334" s="740"/>
      <c r="E334" s="740"/>
      <c r="F334" s="740"/>
      <c r="G334" s="740"/>
      <c r="H334" s="740"/>
      <c r="I334" s="740"/>
      <c r="J334" s="740"/>
      <c r="K334" s="740"/>
      <c r="L334" s="740"/>
      <c r="M334" s="740"/>
    </row>
    <row r="335" spans="2:13">
      <c r="B335" s="740"/>
      <c r="C335" s="740"/>
      <c r="D335" s="740"/>
      <c r="E335" s="740"/>
      <c r="F335" s="740"/>
      <c r="G335" s="740"/>
      <c r="H335" s="740"/>
      <c r="I335" s="740"/>
      <c r="J335" s="740"/>
      <c r="K335" s="740"/>
      <c r="L335" s="740"/>
      <c r="M335" s="740"/>
    </row>
    <row r="336" spans="2:13">
      <c r="B336" s="740"/>
      <c r="C336" s="740"/>
      <c r="D336" s="740"/>
      <c r="E336" s="740"/>
      <c r="F336" s="740"/>
      <c r="G336" s="740"/>
      <c r="H336" s="740"/>
      <c r="I336" s="740"/>
      <c r="J336" s="740"/>
      <c r="K336" s="740"/>
      <c r="L336" s="740"/>
      <c r="M336" s="740"/>
    </row>
    <row r="337" spans="2:13">
      <c r="B337" s="740"/>
      <c r="C337" s="740"/>
      <c r="D337" s="740"/>
      <c r="E337" s="740"/>
      <c r="F337" s="740"/>
      <c r="G337" s="740"/>
      <c r="H337" s="740"/>
      <c r="I337" s="740"/>
      <c r="J337" s="740"/>
      <c r="K337" s="740"/>
      <c r="L337" s="740"/>
      <c r="M337" s="740"/>
    </row>
    <row r="338" spans="2:13">
      <c r="B338" s="740"/>
      <c r="C338" s="740"/>
      <c r="D338" s="740"/>
      <c r="E338" s="740"/>
      <c r="F338" s="740"/>
      <c r="G338" s="740"/>
      <c r="H338" s="740"/>
      <c r="I338" s="740"/>
      <c r="J338" s="740"/>
      <c r="K338" s="740"/>
      <c r="L338" s="740"/>
      <c r="M338" s="740"/>
    </row>
    <row r="339" spans="2:13">
      <c r="B339" s="740"/>
      <c r="C339" s="740"/>
      <c r="D339" s="740"/>
      <c r="E339" s="740"/>
      <c r="F339" s="740"/>
      <c r="G339" s="740"/>
      <c r="H339" s="740"/>
      <c r="I339" s="740"/>
      <c r="J339" s="740"/>
      <c r="K339" s="740"/>
      <c r="L339" s="740"/>
      <c r="M339" s="740"/>
    </row>
    <row r="340" spans="2:13">
      <c r="B340" s="740"/>
      <c r="C340" s="740"/>
      <c r="D340" s="740"/>
      <c r="E340" s="740"/>
      <c r="F340" s="740"/>
      <c r="G340" s="740"/>
      <c r="H340" s="740"/>
      <c r="I340" s="740"/>
      <c r="J340" s="740"/>
      <c r="K340" s="740"/>
      <c r="L340" s="740"/>
      <c r="M340" s="740"/>
    </row>
    <row r="341" spans="2:13">
      <c r="B341" s="740"/>
      <c r="C341" s="740"/>
      <c r="D341" s="740"/>
      <c r="E341" s="740"/>
      <c r="F341" s="740"/>
      <c r="G341" s="740"/>
      <c r="H341" s="740"/>
      <c r="I341" s="740"/>
      <c r="J341" s="740"/>
      <c r="K341" s="740"/>
      <c r="L341" s="740"/>
      <c r="M341" s="740"/>
    </row>
    <row r="342" spans="2:13">
      <c r="B342" s="740"/>
      <c r="C342" s="740"/>
      <c r="D342" s="740"/>
      <c r="E342" s="740"/>
      <c r="F342" s="740"/>
      <c r="G342" s="740"/>
      <c r="H342" s="740"/>
      <c r="I342" s="740"/>
      <c r="J342" s="740"/>
      <c r="K342" s="740"/>
      <c r="L342" s="740"/>
      <c r="M342" s="740"/>
    </row>
    <row r="343" spans="2:13">
      <c r="B343" s="740"/>
      <c r="C343" s="740"/>
      <c r="D343" s="740"/>
      <c r="E343" s="740"/>
      <c r="F343" s="740"/>
      <c r="G343" s="740"/>
      <c r="H343" s="740"/>
      <c r="I343" s="740"/>
      <c r="J343" s="740"/>
      <c r="K343" s="740"/>
      <c r="L343" s="740"/>
      <c r="M343" s="740"/>
    </row>
    <row r="344" spans="2:13">
      <c r="B344" s="740"/>
      <c r="C344" s="740"/>
      <c r="D344" s="740"/>
      <c r="E344" s="740"/>
      <c r="F344" s="740"/>
      <c r="G344" s="740"/>
      <c r="H344" s="740"/>
      <c r="I344" s="740"/>
      <c r="J344" s="740"/>
      <c r="K344" s="740"/>
      <c r="L344" s="740"/>
      <c r="M344" s="740"/>
    </row>
    <row r="345" spans="2:13">
      <c r="B345" s="740"/>
      <c r="C345" s="740"/>
      <c r="D345" s="740"/>
      <c r="E345" s="740"/>
      <c r="F345" s="740"/>
      <c r="G345" s="740"/>
      <c r="H345" s="740"/>
      <c r="I345" s="740"/>
      <c r="J345" s="740"/>
      <c r="K345" s="740"/>
      <c r="L345" s="740"/>
      <c r="M345" s="740"/>
    </row>
    <row r="346" spans="2:13">
      <c r="B346" s="740"/>
      <c r="C346" s="740"/>
      <c r="D346" s="740"/>
      <c r="E346" s="740"/>
      <c r="F346" s="740"/>
      <c r="G346" s="740"/>
      <c r="H346" s="740"/>
      <c r="I346" s="740"/>
      <c r="J346" s="740"/>
      <c r="K346" s="740"/>
      <c r="L346" s="740"/>
      <c r="M346" s="740"/>
    </row>
    <row r="347" spans="2:13">
      <c r="B347" s="740"/>
      <c r="C347" s="740"/>
      <c r="D347" s="740"/>
      <c r="E347" s="740"/>
      <c r="F347" s="740"/>
      <c r="G347" s="740"/>
      <c r="H347" s="740"/>
      <c r="I347" s="740"/>
      <c r="J347" s="740"/>
      <c r="K347" s="740"/>
      <c r="L347" s="740"/>
      <c r="M347" s="740"/>
    </row>
    <row r="348" spans="2:13">
      <c r="B348" s="740"/>
      <c r="C348" s="740"/>
      <c r="D348" s="740"/>
      <c r="E348" s="740"/>
      <c r="F348" s="740"/>
      <c r="G348" s="740"/>
      <c r="H348" s="740"/>
      <c r="I348" s="740"/>
      <c r="J348" s="740"/>
      <c r="K348" s="740"/>
      <c r="L348" s="740"/>
      <c r="M348" s="740"/>
    </row>
    <row r="349" spans="2:13">
      <c r="B349" s="740"/>
      <c r="C349" s="740"/>
      <c r="D349" s="740"/>
      <c r="E349" s="740"/>
      <c r="F349" s="740"/>
      <c r="G349" s="740"/>
      <c r="H349" s="740"/>
      <c r="I349" s="740"/>
      <c r="J349" s="740"/>
      <c r="K349" s="740"/>
      <c r="L349" s="740"/>
      <c r="M349" s="740"/>
    </row>
    <row r="350" spans="2:13">
      <c r="B350" s="740"/>
      <c r="C350" s="740"/>
      <c r="D350" s="740"/>
      <c r="E350" s="740"/>
      <c r="F350" s="740"/>
      <c r="G350" s="740"/>
      <c r="H350" s="740"/>
      <c r="I350" s="740"/>
      <c r="J350" s="740"/>
      <c r="K350" s="740"/>
      <c r="L350" s="740"/>
      <c r="M350" s="740"/>
    </row>
    <row r="351" spans="2:13">
      <c r="B351" s="740"/>
      <c r="C351" s="740"/>
      <c r="D351" s="740"/>
      <c r="E351" s="740"/>
      <c r="F351" s="740"/>
      <c r="G351" s="740"/>
      <c r="H351" s="740"/>
      <c r="I351" s="740"/>
      <c r="J351" s="740"/>
      <c r="K351" s="740"/>
      <c r="L351" s="740"/>
      <c r="M351" s="740"/>
    </row>
    <row r="352" spans="2:13">
      <c r="B352" s="740"/>
      <c r="C352" s="740"/>
      <c r="D352" s="740"/>
      <c r="E352" s="740"/>
      <c r="F352" s="740"/>
      <c r="G352" s="740"/>
      <c r="H352" s="740"/>
      <c r="I352" s="740"/>
      <c r="J352" s="740"/>
      <c r="K352" s="740"/>
      <c r="L352" s="740"/>
      <c r="M352" s="740"/>
    </row>
    <row r="353" spans="2:13">
      <c r="B353" s="740"/>
      <c r="C353" s="740"/>
      <c r="D353" s="740"/>
      <c r="E353" s="740"/>
      <c r="F353" s="740"/>
      <c r="G353" s="740"/>
      <c r="H353" s="740"/>
      <c r="I353" s="740"/>
      <c r="J353" s="740"/>
      <c r="K353" s="740"/>
      <c r="L353" s="740"/>
      <c r="M353" s="740"/>
    </row>
    <row r="354" spans="2:13">
      <c r="B354" s="740"/>
      <c r="C354" s="740"/>
      <c r="D354" s="740"/>
      <c r="E354" s="740"/>
      <c r="F354" s="740"/>
      <c r="G354" s="740"/>
      <c r="H354" s="740"/>
      <c r="I354" s="740"/>
      <c r="J354" s="740"/>
      <c r="K354" s="740"/>
      <c r="L354" s="740"/>
      <c r="M354" s="740"/>
    </row>
    <row r="355" spans="2:13">
      <c r="B355" s="740"/>
      <c r="C355" s="740"/>
      <c r="D355" s="740"/>
      <c r="E355" s="740"/>
      <c r="F355" s="740"/>
      <c r="G355" s="740"/>
      <c r="H355" s="740"/>
      <c r="I355" s="740"/>
      <c r="J355" s="740"/>
      <c r="K355" s="740"/>
      <c r="L355" s="740"/>
      <c r="M355" s="740"/>
    </row>
    <row r="356" spans="2:13">
      <c r="B356" s="740"/>
      <c r="C356" s="740"/>
      <c r="D356" s="740"/>
      <c r="E356" s="740"/>
      <c r="F356" s="740"/>
      <c r="G356" s="740"/>
      <c r="H356" s="740"/>
      <c r="I356" s="740"/>
      <c r="J356" s="740"/>
      <c r="K356" s="740"/>
      <c r="L356" s="740"/>
      <c r="M356" s="740"/>
    </row>
    <row r="357" spans="2:13">
      <c r="B357" s="740"/>
      <c r="C357" s="740"/>
      <c r="D357" s="740"/>
      <c r="E357" s="740"/>
      <c r="F357" s="740"/>
      <c r="G357" s="740"/>
      <c r="H357" s="740"/>
      <c r="I357" s="740"/>
      <c r="J357" s="740"/>
      <c r="K357" s="740"/>
      <c r="L357" s="740"/>
      <c r="M357" s="740"/>
    </row>
    <row r="358" spans="2:13">
      <c r="B358" s="740"/>
      <c r="C358" s="740"/>
      <c r="D358" s="740"/>
      <c r="E358" s="740"/>
      <c r="F358" s="740"/>
      <c r="G358" s="740"/>
      <c r="H358" s="740"/>
      <c r="I358" s="740"/>
      <c r="J358" s="740"/>
      <c r="K358" s="740"/>
      <c r="L358" s="740"/>
      <c r="M358" s="740"/>
    </row>
    <row r="359" spans="2:13">
      <c r="B359" s="740"/>
      <c r="C359" s="740"/>
      <c r="D359" s="740"/>
      <c r="E359" s="740"/>
      <c r="F359" s="740"/>
      <c r="G359" s="740"/>
      <c r="H359" s="740"/>
      <c r="I359" s="740"/>
      <c r="J359" s="740"/>
      <c r="K359" s="740"/>
      <c r="L359" s="740"/>
      <c r="M359" s="740"/>
    </row>
    <row r="360" spans="2:13">
      <c r="B360" s="740"/>
      <c r="C360" s="740"/>
      <c r="D360" s="740"/>
      <c r="E360" s="740"/>
      <c r="F360" s="740"/>
      <c r="G360" s="740"/>
      <c r="H360" s="740"/>
      <c r="I360" s="740"/>
      <c r="J360" s="740"/>
      <c r="K360" s="740"/>
      <c r="L360" s="740"/>
      <c r="M360" s="740"/>
    </row>
    <row r="361" spans="2:13">
      <c r="B361" s="740"/>
      <c r="C361" s="740"/>
      <c r="D361" s="740"/>
      <c r="E361" s="740"/>
      <c r="F361" s="740"/>
      <c r="G361" s="740"/>
      <c r="H361" s="740"/>
      <c r="I361" s="740"/>
      <c r="J361" s="740"/>
      <c r="K361" s="740"/>
      <c r="L361" s="740"/>
      <c r="M361" s="740"/>
    </row>
    <row r="362" spans="2:13">
      <c r="B362" s="740"/>
      <c r="C362" s="740"/>
      <c r="D362" s="740"/>
      <c r="E362" s="740"/>
      <c r="F362" s="740"/>
      <c r="G362" s="740"/>
      <c r="H362" s="740"/>
      <c r="I362" s="740"/>
      <c r="J362" s="740"/>
      <c r="K362" s="740"/>
      <c r="L362" s="740"/>
      <c r="M362" s="740"/>
    </row>
    <row r="363" spans="2:13">
      <c r="B363" s="740"/>
      <c r="C363" s="740"/>
      <c r="D363" s="740"/>
      <c r="E363" s="740"/>
      <c r="F363" s="740"/>
      <c r="G363" s="740"/>
      <c r="H363" s="740"/>
      <c r="I363" s="740"/>
      <c r="J363" s="740"/>
      <c r="K363" s="740"/>
      <c r="L363" s="740"/>
      <c r="M363" s="740"/>
    </row>
    <row r="364" spans="2:13">
      <c r="B364" s="740"/>
      <c r="C364" s="740"/>
      <c r="D364" s="740"/>
      <c r="E364" s="740"/>
      <c r="F364" s="740"/>
      <c r="G364" s="740"/>
      <c r="H364" s="740"/>
      <c r="I364" s="740"/>
      <c r="J364" s="740"/>
      <c r="K364" s="740"/>
      <c r="L364" s="740"/>
      <c r="M364" s="740"/>
    </row>
    <row r="365" spans="2:13">
      <c r="B365" s="740"/>
      <c r="C365" s="740"/>
      <c r="D365" s="740"/>
      <c r="E365" s="740"/>
      <c r="F365" s="740"/>
      <c r="G365" s="740"/>
      <c r="H365" s="740"/>
      <c r="I365" s="740"/>
      <c r="J365" s="740"/>
      <c r="K365" s="740"/>
      <c r="L365" s="740"/>
      <c r="M365" s="740"/>
    </row>
    <row r="366" spans="2:13">
      <c r="B366" s="740"/>
      <c r="C366" s="740"/>
      <c r="D366" s="740"/>
      <c r="E366" s="740"/>
      <c r="F366" s="740"/>
      <c r="G366" s="740"/>
      <c r="H366" s="740"/>
      <c r="I366" s="740"/>
      <c r="J366" s="740"/>
      <c r="K366" s="740"/>
      <c r="L366" s="740"/>
      <c r="M366" s="740"/>
    </row>
    <row r="367" spans="2:13">
      <c r="B367" s="740"/>
      <c r="C367" s="740"/>
      <c r="D367" s="740"/>
      <c r="E367" s="740"/>
      <c r="F367" s="740"/>
      <c r="G367" s="740"/>
      <c r="H367" s="740"/>
      <c r="I367" s="740"/>
      <c r="J367" s="740"/>
      <c r="K367" s="740"/>
      <c r="L367" s="740"/>
      <c r="M367" s="740"/>
    </row>
    <row r="368" spans="2:13">
      <c r="B368" s="740"/>
      <c r="C368" s="740"/>
      <c r="D368" s="740"/>
      <c r="E368" s="740"/>
      <c r="F368" s="740"/>
      <c r="G368" s="740"/>
      <c r="H368" s="740"/>
      <c r="I368" s="740"/>
      <c r="J368" s="740"/>
      <c r="K368" s="740"/>
      <c r="L368" s="740"/>
      <c r="M368" s="740"/>
    </row>
    <row r="369" spans="2:13">
      <c r="B369" s="740"/>
      <c r="C369" s="740"/>
      <c r="D369" s="740"/>
      <c r="E369" s="740"/>
      <c r="F369" s="740"/>
      <c r="G369" s="740"/>
      <c r="H369" s="740"/>
      <c r="I369" s="740"/>
      <c r="J369" s="740"/>
      <c r="K369" s="740"/>
      <c r="L369" s="740"/>
      <c r="M369" s="740"/>
    </row>
    <row r="370" spans="2:13">
      <c r="B370" s="740"/>
      <c r="C370" s="740"/>
      <c r="D370" s="740"/>
      <c r="E370" s="740"/>
      <c r="F370" s="740"/>
      <c r="G370" s="740"/>
      <c r="H370" s="740"/>
      <c r="I370" s="740"/>
      <c r="J370" s="740"/>
      <c r="K370" s="740"/>
      <c r="L370" s="740"/>
      <c r="M370" s="740"/>
    </row>
    <row r="371" spans="2:13">
      <c r="B371" s="740"/>
      <c r="C371" s="740"/>
      <c r="D371" s="740"/>
      <c r="E371" s="740"/>
      <c r="F371" s="740"/>
      <c r="G371" s="740"/>
      <c r="H371" s="740"/>
      <c r="I371" s="740"/>
      <c r="J371" s="740"/>
      <c r="K371" s="740"/>
      <c r="L371" s="740"/>
      <c r="M371" s="740"/>
    </row>
    <row r="372" spans="2:13">
      <c r="B372" s="740"/>
      <c r="C372" s="740"/>
      <c r="D372" s="740"/>
      <c r="E372" s="740"/>
      <c r="F372" s="740"/>
      <c r="G372" s="740"/>
      <c r="H372" s="740"/>
      <c r="I372" s="740"/>
      <c r="J372" s="740"/>
      <c r="K372" s="740"/>
      <c r="L372" s="740"/>
      <c r="M372" s="740"/>
    </row>
    <row r="373" spans="2:13">
      <c r="B373" s="740"/>
      <c r="C373" s="740"/>
      <c r="D373" s="740"/>
      <c r="E373" s="740"/>
      <c r="F373" s="740"/>
      <c r="G373" s="740"/>
      <c r="H373" s="740"/>
      <c r="I373" s="740"/>
      <c r="J373" s="740"/>
      <c r="K373" s="740"/>
      <c r="L373" s="740"/>
      <c r="M373" s="740"/>
    </row>
    <row r="374" spans="2:13">
      <c r="B374" s="740"/>
      <c r="C374" s="740"/>
      <c r="D374" s="740"/>
      <c r="E374" s="740"/>
      <c r="F374" s="740"/>
      <c r="G374" s="740"/>
      <c r="H374" s="740"/>
      <c r="I374" s="740"/>
      <c r="J374" s="740"/>
      <c r="K374" s="740"/>
      <c r="L374" s="740"/>
      <c r="M374" s="740"/>
    </row>
    <row r="375" spans="2:13">
      <c r="B375" s="740"/>
      <c r="C375" s="740"/>
      <c r="D375" s="740"/>
      <c r="E375" s="740"/>
      <c r="F375" s="740"/>
      <c r="G375" s="740"/>
      <c r="H375" s="740"/>
      <c r="I375" s="740"/>
      <c r="J375" s="740"/>
      <c r="K375" s="740"/>
      <c r="L375" s="740"/>
      <c r="M375" s="740"/>
    </row>
    <row r="376" spans="2:13">
      <c r="B376" s="740"/>
      <c r="C376" s="740"/>
      <c r="D376" s="740"/>
      <c r="E376" s="740"/>
      <c r="F376" s="740"/>
      <c r="G376" s="740"/>
      <c r="H376" s="740"/>
      <c r="I376" s="740"/>
      <c r="J376" s="740"/>
      <c r="K376" s="740"/>
      <c r="L376" s="740"/>
      <c r="M376" s="740"/>
    </row>
  </sheetData>
  <mergeCells count="25">
    <mergeCell ref="O11:Q11"/>
    <mergeCell ref="O12:Q12"/>
    <mergeCell ref="O13:Q13"/>
    <mergeCell ref="O14:Q14"/>
    <mergeCell ref="O15:Q15"/>
    <mergeCell ref="O6:Q7"/>
    <mergeCell ref="R6:T6"/>
    <mergeCell ref="O8:Q8"/>
    <mergeCell ref="O9:Q9"/>
    <mergeCell ref="O10:Q10"/>
    <mergeCell ref="O19:O20"/>
    <mergeCell ref="P19:P20"/>
    <mergeCell ref="Q19:Q20"/>
    <mergeCell ref="R19:T19"/>
    <mergeCell ref="O16:Q16"/>
    <mergeCell ref="AD6:AF6"/>
    <mergeCell ref="AD19:AF19"/>
    <mergeCell ref="AG6:AI6"/>
    <mergeCell ref="AG19:AI19"/>
    <mergeCell ref="U6:W6"/>
    <mergeCell ref="U19:W19"/>
    <mergeCell ref="X6:Z6"/>
    <mergeCell ref="X19:Z19"/>
    <mergeCell ref="AA6:AC6"/>
    <mergeCell ref="AA19:AC19"/>
  </mergeCells>
  <phoneticPr fontId="1" type="noConversion"/>
  <conditionalFormatting sqref="T9:T16 T22:T63">
    <cfRule type="cellIs" dxfId="132" priority="11" operator="greaterThan">
      <formula>0</formula>
    </cfRule>
    <cfRule type="cellIs" dxfId="131" priority="12" operator="lessThan">
      <formula>0</formula>
    </cfRule>
  </conditionalFormatting>
  <conditionalFormatting sqref="W9:W16 W22:W63">
    <cfRule type="cellIs" dxfId="130" priority="9" operator="greaterThan">
      <formula>0</formula>
    </cfRule>
    <cfRule type="cellIs" dxfId="129" priority="10" operator="lessThan">
      <formula>0</formula>
    </cfRule>
  </conditionalFormatting>
  <conditionalFormatting sqref="Z9:Z16 Z22:Z63">
    <cfRule type="cellIs" dxfId="128" priority="7" operator="greaterThan">
      <formula>0</formula>
    </cfRule>
    <cfRule type="cellIs" dxfId="127" priority="8" operator="lessThan">
      <formula>0</formula>
    </cfRule>
  </conditionalFormatting>
  <conditionalFormatting sqref="AC9:AC16 AC22:AC63">
    <cfRule type="cellIs" dxfId="126" priority="5" operator="greaterThan">
      <formula>0</formula>
    </cfRule>
    <cfRule type="cellIs" dxfId="125" priority="6" operator="lessThan">
      <formula>0</formula>
    </cfRule>
  </conditionalFormatting>
  <conditionalFormatting sqref="AF9:AF16 AF22:AF63">
    <cfRule type="cellIs" dxfId="124" priority="3" operator="greaterThan">
      <formula>0</formula>
    </cfRule>
    <cfRule type="cellIs" dxfId="123" priority="4" operator="lessThan">
      <formula>0</formula>
    </cfRule>
  </conditionalFormatting>
  <conditionalFormatting sqref="AI9:AI16 AI22:AI63">
    <cfRule type="cellIs" dxfId="122" priority="1" operator="greaterThan">
      <formula>0</formula>
    </cfRule>
    <cfRule type="cellIs" dxfId="121" priority="2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4"/>
  <sheetViews>
    <sheetView showGridLines="0" zoomScaleNormal="100" workbookViewId="0">
      <selection activeCell="A2" sqref="A2"/>
    </sheetView>
  </sheetViews>
  <sheetFormatPr defaultRowHeight="17"/>
  <cols>
    <col min="1" max="1" width="15.08203125" bestFit="1" customWidth="1"/>
    <col min="2" max="3" width="15.08203125" customWidth="1"/>
    <col min="4" max="9" width="10.58203125" style="1" customWidth="1"/>
    <col min="11" max="11" width="24.25" style="1" bestFit="1" customWidth="1"/>
  </cols>
  <sheetData>
    <row r="1" spans="1:11">
      <c r="A1" s="758" t="s">
        <v>1461</v>
      </c>
      <c r="B1" s="758"/>
      <c r="C1" s="758"/>
      <c r="D1" s="1">
        <f t="shared" ref="D1:H1" si="0">SUM(D3:D44)</f>
        <v>99</v>
      </c>
      <c r="E1" s="1">
        <f t="shared" si="0"/>
        <v>37</v>
      </c>
      <c r="F1" s="1">
        <f t="shared" si="0"/>
        <v>41</v>
      </c>
      <c r="G1" s="1">
        <f t="shared" si="0"/>
        <v>43</v>
      </c>
      <c r="H1" s="1">
        <f t="shared" si="0"/>
        <v>119</v>
      </c>
      <c r="I1" s="1">
        <f>SUM(I3:I44)</f>
        <v>339</v>
      </c>
    </row>
    <row r="2" spans="1:11">
      <c r="A2" s="763" t="s">
        <v>1163</v>
      </c>
      <c r="B2" s="763" t="s">
        <v>1164</v>
      </c>
      <c r="C2" s="763" t="s">
        <v>1165</v>
      </c>
      <c r="D2" s="764" t="s">
        <v>684</v>
      </c>
      <c r="E2" s="764" t="s">
        <v>672</v>
      </c>
      <c r="F2" s="764" t="s">
        <v>685</v>
      </c>
      <c r="G2" s="764" t="s">
        <v>686</v>
      </c>
      <c r="H2" s="764" t="s">
        <v>687</v>
      </c>
      <c r="I2" s="765" t="s">
        <v>688</v>
      </c>
      <c r="K2" s="759" t="s">
        <v>691</v>
      </c>
    </row>
    <row r="3" spans="1:11">
      <c r="A3" s="761" t="s">
        <v>645</v>
      </c>
      <c r="B3" s="761" t="s">
        <v>370</v>
      </c>
      <c r="C3" s="761" t="s">
        <v>689</v>
      </c>
      <c r="D3" s="762">
        <f>COUNTIFS('1월 인력상세'!$D:$D,'1월 인력'!D$2,'1월 인력상세'!$G:$G,'1월 인력'!$B3)</f>
        <v>2</v>
      </c>
      <c r="E3" s="762">
        <f>COUNTIFS('1월 인력상세'!$D:$D,'1월 인력'!E$2,'1월 인력상세'!$G:$G,'1월 인력'!$B3)</f>
        <v>1</v>
      </c>
      <c r="F3" s="762">
        <f>COUNTIFS('1월 인력상세'!$D:$D,'1월 인력'!F$2,'1월 인력상세'!$G:$G,'1월 인력'!$B3)</f>
        <v>1</v>
      </c>
      <c r="G3" s="762">
        <f>COUNTIFS('1월 인력상세'!$D:$D,'1월 인력'!G$2,'1월 인력상세'!$G:$G,'1월 인력'!$B3)</f>
        <v>1</v>
      </c>
      <c r="H3" s="762">
        <f>COUNTIFS('1월 인력상세'!$D:$D,'1월 인력'!H$2,'1월 인력상세'!$G:$G,'1월 인력'!$B3)</f>
        <v>2</v>
      </c>
      <c r="I3" s="766">
        <f>SUM(D3:H3)</f>
        <v>7</v>
      </c>
      <c r="K3" s="760">
        <f>F3+G3+H3</f>
        <v>4</v>
      </c>
    </row>
    <row r="4" spans="1:11">
      <c r="A4" s="761" t="s">
        <v>645</v>
      </c>
      <c r="B4" s="761" t="s">
        <v>374</v>
      </c>
      <c r="C4" s="761" t="s">
        <v>1125</v>
      </c>
      <c r="D4" s="762">
        <f>COUNTIFS('1월 인력상세'!$D:$D,'1월 인력'!D$2,'1월 인력상세'!$G:$G,'1월 인력'!$B4)</f>
        <v>2</v>
      </c>
      <c r="E4" s="762">
        <f>COUNTIFS('1월 인력상세'!$D:$D,'1월 인력'!E$2,'1월 인력상세'!$G:$G,'1월 인력'!$B4)</f>
        <v>1</v>
      </c>
      <c r="F4" s="762">
        <f>COUNTIFS('1월 인력상세'!$D:$D,'1월 인력'!F$2,'1월 인력상세'!$G:$G,'1월 인력'!$B4)</f>
        <v>1</v>
      </c>
      <c r="G4" s="762">
        <f>COUNTIFS('1월 인력상세'!$D:$D,'1월 인력'!G$2,'1월 인력상세'!$G:$G,'1월 인력'!$B4)</f>
        <v>1</v>
      </c>
      <c r="H4" s="762">
        <f>COUNTIFS('1월 인력상세'!$D:$D,'1월 인력'!H$2,'1월 인력상세'!$G:$G,'1월 인력'!$B4)</f>
        <v>2</v>
      </c>
      <c r="I4" s="766">
        <f t="shared" ref="I4:I44" si="1">SUM(D4:H4)</f>
        <v>7</v>
      </c>
      <c r="K4" s="760">
        <f t="shared" ref="K4:K44" si="2">F4+G4+H4</f>
        <v>4</v>
      </c>
    </row>
    <row r="5" spans="1:11">
      <c r="A5" s="761" t="s">
        <v>645</v>
      </c>
      <c r="B5" s="761" t="s">
        <v>366</v>
      </c>
      <c r="C5" s="761" t="s">
        <v>1124</v>
      </c>
      <c r="D5" s="762">
        <f>COUNTIFS('1월 인력상세'!$D:$D,'1월 인력'!D$2,'1월 인력상세'!$G:$G,'1월 인력'!$B5)</f>
        <v>2</v>
      </c>
      <c r="E5" s="762">
        <f>COUNTIFS('1월 인력상세'!$D:$D,'1월 인력'!E$2,'1월 인력상세'!$G:$G,'1월 인력'!$B5)</f>
        <v>1</v>
      </c>
      <c r="F5" s="762">
        <f>COUNTIFS('1월 인력상세'!$D:$D,'1월 인력'!F$2,'1월 인력상세'!$G:$G,'1월 인력'!$B5)</f>
        <v>1</v>
      </c>
      <c r="G5" s="762">
        <f>COUNTIFS('1월 인력상세'!$D:$D,'1월 인력'!G$2,'1월 인력상세'!$G:$G,'1월 인력'!$B5)</f>
        <v>1</v>
      </c>
      <c r="H5" s="762">
        <f>COUNTIFS('1월 인력상세'!$D:$D,'1월 인력'!H$2,'1월 인력상세'!$G:$G,'1월 인력'!$B5)</f>
        <v>3</v>
      </c>
      <c r="I5" s="766">
        <f t="shared" si="1"/>
        <v>8</v>
      </c>
      <c r="K5" s="760">
        <f t="shared" si="2"/>
        <v>5</v>
      </c>
    </row>
    <row r="6" spans="1:11">
      <c r="A6" s="761" t="s">
        <v>645</v>
      </c>
      <c r="B6" s="761" t="s">
        <v>377</v>
      </c>
      <c r="C6" s="761" t="s">
        <v>1126</v>
      </c>
      <c r="D6" s="762">
        <f>COUNTIFS('1월 인력상세'!$D:$D,'1월 인력'!D$2,'1월 인력상세'!$G:$G,'1월 인력'!$B6)</f>
        <v>2</v>
      </c>
      <c r="E6" s="762">
        <f>COUNTIFS('1월 인력상세'!$D:$D,'1월 인력'!E$2,'1월 인력상세'!$G:$G,'1월 인력'!$B6)</f>
        <v>1</v>
      </c>
      <c r="F6" s="762">
        <f>COUNTIFS('1월 인력상세'!$D:$D,'1월 인력'!F$2,'1월 인력상세'!$G:$G,'1월 인력'!$B6)</f>
        <v>1</v>
      </c>
      <c r="G6" s="762">
        <f>COUNTIFS('1월 인력상세'!$D:$D,'1월 인력'!G$2,'1월 인력상세'!$G:$G,'1월 인력'!$B6)</f>
        <v>1</v>
      </c>
      <c r="H6" s="762">
        <f>COUNTIFS('1월 인력상세'!$D:$D,'1월 인력'!H$2,'1월 인력상세'!$G:$G,'1월 인력'!$B6)</f>
        <v>3</v>
      </c>
      <c r="I6" s="766">
        <f t="shared" si="1"/>
        <v>8</v>
      </c>
      <c r="K6" s="760">
        <f t="shared" si="2"/>
        <v>5</v>
      </c>
    </row>
    <row r="7" spans="1:11">
      <c r="A7" s="761" t="s">
        <v>645</v>
      </c>
      <c r="B7" s="761" t="s">
        <v>381</v>
      </c>
      <c r="C7" s="761" t="s">
        <v>1128</v>
      </c>
      <c r="D7" s="762">
        <f>COUNTIFS('1월 인력상세'!$D:$D,'1월 인력'!D$2,'1월 인력상세'!$G:$G,'1월 인력'!$B7)</f>
        <v>2</v>
      </c>
      <c r="E7" s="762">
        <f>COUNTIFS('1월 인력상세'!$D:$D,'1월 인력'!E$2,'1월 인력상세'!$G:$G,'1월 인력'!$B7)</f>
        <v>1</v>
      </c>
      <c r="F7" s="762">
        <f>COUNTIFS('1월 인력상세'!$D:$D,'1월 인력'!F$2,'1월 인력상세'!$G:$G,'1월 인력'!$B7)</f>
        <v>1</v>
      </c>
      <c r="G7" s="762">
        <f>COUNTIFS('1월 인력상세'!$D:$D,'1월 인력'!G$2,'1월 인력상세'!$G:$G,'1월 인력'!$B7)</f>
        <v>1</v>
      </c>
      <c r="H7" s="762">
        <f>COUNTIFS('1월 인력상세'!$D:$D,'1월 인력'!H$2,'1월 인력상세'!$G:$G,'1월 인력'!$B7)</f>
        <v>4</v>
      </c>
      <c r="I7" s="766">
        <f t="shared" si="1"/>
        <v>9</v>
      </c>
      <c r="K7" s="760">
        <f t="shared" si="2"/>
        <v>6</v>
      </c>
    </row>
    <row r="8" spans="1:11">
      <c r="A8" s="761" t="s">
        <v>645</v>
      </c>
      <c r="B8" s="761" t="s">
        <v>379</v>
      </c>
      <c r="C8" s="761" t="s">
        <v>1127</v>
      </c>
      <c r="D8" s="762">
        <f>COUNTIFS('1월 인력상세'!$D:$D,'1월 인력'!D$2,'1월 인력상세'!$G:$G,'1월 인력'!$B8)</f>
        <v>2</v>
      </c>
      <c r="E8" s="762">
        <f>COUNTIFS('1월 인력상세'!$D:$D,'1월 인력'!E$2,'1월 인력상세'!$G:$G,'1월 인력'!$B8)</f>
        <v>1</v>
      </c>
      <c r="F8" s="762">
        <f>COUNTIFS('1월 인력상세'!$D:$D,'1월 인력'!F$2,'1월 인력상세'!$G:$G,'1월 인력'!$B8)</f>
        <v>1</v>
      </c>
      <c r="G8" s="762">
        <f>COUNTIFS('1월 인력상세'!$D:$D,'1월 인력'!G$2,'1월 인력상세'!$G:$G,'1월 인력'!$B8)</f>
        <v>1</v>
      </c>
      <c r="H8" s="762">
        <f>COUNTIFS('1월 인력상세'!$D:$D,'1월 인력'!H$2,'1월 인력상세'!$G:$G,'1월 인력'!$B8)</f>
        <v>3</v>
      </c>
      <c r="I8" s="766">
        <f t="shared" si="1"/>
        <v>8</v>
      </c>
      <c r="K8" s="760">
        <f t="shared" si="2"/>
        <v>5</v>
      </c>
    </row>
    <row r="9" spans="1:11">
      <c r="A9" s="761" t="s">
        <v>646</v>
      </c>
      <c r="B9" s="761" t="s">
        <v>385</v>
      </c>
      <c r="C9" s="761" t="s">
        <v>1130</v>
      </c>
      <c r="D9" s="762">
        <f>COUNTIFS('1월 인력상세'!$D:$D,'1월 인력'!D$2,'1월 인력상세'!$G:$G,'1월 인력'!$B9)</f>
        <v>1</v>
      </c>
      <c r="E9" s="762">
        <f>COUNTIFS('1월 인력상세'!$D:$D,'1월 인력'!E$2,'1월 인력상세'!$G:$G,'1월 인력'!$B9)</f>
        <v>1</v>
      </c>
      <c r="F9" s="762">
        <f>COUNTIFS('1월 인력상세'!$D:$D,'1월 인력'!F$2,'1월 인력상세'!$G:$G,'1월 인력'!$B9)</f>
        <v>1</v>
      </c>
      <c r="G9" s="762">
        <f>COUNTIFS('1월 인력상세'!$D:$D,'1월 인력'!G$2,'1월 인력상세'!$G:$G,'1월 인력'!$B9)</f>
        <v>1</v>
      </c>
      <c r="H9" s="762">
        <f>COUNTIFS('1월 인력상세'!$D:$D,'1월 인력'!H$2,'1월 인력상세'!$G:$G,'1월 인력'!$B9)</f>
        <v>2</v>
      </c>
      <c r="I9" s="766">
        <f t="shared" si="1"/>
        <v>6</v>
      </c>
      <c r="K9" s="760">
        <f t="shared" si="2"/>
        <v>4</v>
      </c>
    </row>
    <row r="10" spans="1:11">
      <c r="A10" s="761" t="s">
        <v>646</v>
      </c>
      <c r="B10" s="761" t="s">
        <v>383</v>
      </c>
      <c r="C10" s="761" t="s">
        <v>1129</v>
      </c>
      <c r="D10" s="762">
        <f>COUNTIFS('1월 인력상세'!$D:$D,'1월 인력'!D$2,'1월 인력상세'!$G:$G,'1월 인력'!$B10)</f>
        <v>2</v>
      </c>
      <c r="E10" s="762">
        <f>COUNTIFS('1월 인력상세'!$D:$D,'1월 인력'!E$2,'1월 인력상세'!$G:$G,'1월 인력'!$B10)</f>
        <v>1</v>
      </c>
      <c r="F10" s="762">
        <f>COUNTIFS('1월 인력상세'!$D:$D,'1월 인력'!F$2,'1월 인력상세'!$G:$G,'1월 인력'!$B10)</f>
        <v>1</v>
      </c>
      <c r="G10" s="762">
        <f>COUNTIFS('1월 인력상세'!$D:$D,'1월 인력'!G$2,'1월 인력상세'!$G:$G,'1월 인력'!$B10)</f>
        <v>1</v>
      </c>
      <c r="H10" s="762">
        <f>COUNTIFS('1월 인력상세'!$D:$D,'1월 인력'!H$2,'1월 인력상세'!$G:$G,'1월 인력'!$B10)</f>
        <v>4</v>
      </c>
      <c r="I10" s="766">
        <f t="shared" si="1"/>
        <v>9</v>
      </c>
      <c r="K10" s="760">
        <f t="shared" si="2"/>
        <v>6</v>
      </c>
    </row>
    <row r="11" spans="1:11">
      <c r="A11" s="761" t="s">
        <v>646</v>
      </c>
      <c r="B11" s="761" t="s">
        <v>387</v>
      </c>
      <c r="C11" s="761" t="s">
        <v>1131</v>
      </c>
      <c r="D11" s="762">
        <f>COUNTIFS('1월 인력상세'!$D:$D,'1월 인력'!D$2,'1월 인력상세'!$G:$G,'1월 인력'!$B11)</f>
        <v>2</v>
      </c>
      <c r="E11" s="762">
        <f>COUNTIFS('1월 인력상세'!$D:$D,'1월 인력'!E$2,'1월 인력상세'!$G:$G,'1월 인력'!$B11)</f>
        <v>1</v>
      </c>
      <c r="F11" s="762">
        <f>COUNTIFS('1월 인력상세'!$D:$D,'1월 인력'!F$2,'1월 인력상세'!$G:$G,'1월 인력'!$B11)</f>
        <v>1</v>
      </c>
      <c r="G11" s="762">
        <f>COUNTIFS('1월 인력상세'!$D:$D,'1월 인력'!G$2,'1월 인력상세'!$G:$G,'1월 인력'!$B11)</f>
        <v>1</v>
      </c>
      <c r="H11" s="762">
        <f>COUNTIFS('1월 인력상세'!$D:$D,'1월 인력'!H$2,'1월 인력상세'!$G:$G,'1월 인력'!$B11)</f>
        <v>2</v>
      </c>
      <c r="I11" s="766">
        <f t="shared" si="1"/>
        <v>7</v>
      </c>
      <c r="K11" s="760">
        <f t="shared" si="2"/>
        <v>4</v>
      </c>
    </row>
    <row r="12" spans="1:11">
      <c r="A12" s="761" t="s">
        <v>647</v>
      </c>
      <c r="B12" s="761" t="s">
        <v>399</v>
      </c>
      <c r="C12" s="761" t="s">
        <v>1135</v>
      </c>
      <c r="D12" s="762">
        <f>COUNTIFS('1월 인력상세'!$D:$D,'1월 인력'!D$2,'1월 인력상세'!$G:$G,'1월 인력'!$B12)</f>
        <v>2</v>
      </c>
      <c r="E12" s="762">
        <f>COUNTIFS('1월 인력상세'!$D:$D,'1월 인력'!E$2,'1월 인력상세'!$G:$G,'1월 인력'!$B12)</f>
        <v>1</v>
      </c>
      <c r="F12" s="762">
        <f>COUNTIFS('1월 인력상세'!$D:$D,'1월 인력'!F$2,'1월 인력상세'!$G:$G,'1월 인력'!$B12)</f>
        <v>1</v>
      </c>
      <c r="G12" s="762">
        <f>COUNTIFS('1월 인력상세'!$D:$D,'1월 인력'!G$2,'1월 인력상세'!$G:$G,'1월 인력'!$B12)</f>
        <v>1</v>
      </c>
      <c r="H12" s="762">
        <f>COUNTIFS('1월 인력상세'!$D:$D,'1월 인력'!H$2,'1월 인력상세'!$G:$G,'1월 인력'!$B12)</f>
        <v>3</v>
      </c>
      <c r="I12" s="766">
        <f t="shared" si="1"/>
        <v>8</v>
      </c>
      <c r="K12" s="760">
        <f t="shared" si="2"/>
        <v>5</v>
      </c>
    </row>
    <row r="13" spans="1:11">
      <c r="A13" s="761" t="s">
        <v>647</v>
      </c>
      <c r="B13" s="761" t="s">
        <v>389</v>
      </c>
      <c r="C13" s="761" t="s">
        <v>1132</v>
      </c>
      <c r="D13" s="762">
        <f>COUNTIFS('1월 인력상세'!$D:$D,'1월 인력'!D$2,'1월 인력상세'!$G:$G,'1월 인력'!$B13)</f>
        <v>2</v>
      </c>
      <c r="E13" s="762">
        <f>COUNTIFS('1월 인력상세'!$D:$D,'1월 인력'!E$2,'1월 인력상세'!$G:$G,'1월 인력'!$B13)</f>
        <v>1</v>
      </c>
      <c r="F13" s="762">
        <f>COUNTIFS('1월 인력상세'!$D:$D,'1월 인력'!F$2,'1월 인력상세'!$G:$G,'1월 인력'!$B13)</f>
        <v>1</v>
      </c>
      <c r="G13" s="762">
        <f>COUNTIFS('1월 인력상세'!$D:$D,'1월 인력'!G$2,'1월 인력상세'!$G:$G,'1월 인력'!$B13)</f>
        <v>1</v>
      </c>
      <c r="H13" s="762">
        <f>COUNTIFS('1월 인력상세'!$D:$D,'1월 인력'!H$2,'1월 인력상세'!$G:$G,'1월 인력'!$B13)</f>
        <v>1</v>
      </c>
      <c r="I13" s="766">
        <f t="shared" si="1"/>
        <v>6</v>
      </c>
      <c r="K13" s="760">
        <f t="shared" si="2"/>
        <v>3</v>
      </c>
    </row>
    <row r="14" spans="1:11">
      <c r="A14" s="761" t="s">
        <v>647</v>
      </c>
      <c r="B14" s="761" t="s">
        <v>392</v>
      </c>
      <c r="C14" s="761" t="s">
        <v>1134</v>
      </c>
      <c r="D14" s="762">
        <f>COUNTIFS('1월 인력상세'!$D:$D,'1월 인력'!D$2,'1월 인력상세'!$G:$G,'1월 인력'!$B14)</f>
        <v>2</v>
      </c>
      <c r="E14" s="762">
        <f>COUNTIFS('1월 인력상세'!$D:$D,'1월 인력'!E$2,'1월 인력상세'!$G:$G,'1월 인력'!$B14)</f>
        <v>1</v>
      </c>
      <c r="F14" s="762">
        <f>COUNTIFS('1월 인력상세'!$D:$D,'1월 인력'!F$2,'1월 인력상세'!$G:$G,'1월 인력'!$B14)</f>
        <v>1</v>
      </c>
      <c r="G14" s="762">
        <f>COUNTIFS('1월 인력상세'!$D:$D,'1월 인력'!G$2,'1월 인력상세'!$G:$G,'1월 인력'!$B14)</f>
        <v>1</v>
      </c>
      <c r="H14" s="762">
        <f>COUNTIFS('1월 인력상세'!$D:$D,'1월 인력'!H$2,'1월 인력상세'!$G:$G,'1월 인력'!$B14)</f>
        <v>2</v>
      </c>
      <c r="I14" s="766">
        <f t="shared" si="1"/>
        <v>7</v>
      </c>
      <c r="K14" s="760">
        <f t="shared" si="2"/>
        <v>4</v>
      </c>
    </row>
    <row r="15" spans="1:11">
      <c r="A15" s="761" t="s">
        <v>647</v>
      </c>
      <c r="B15" s="761" t="s">
        <v>397</v>
      </c>
      <c r="C15" s="761" t="s">
        <v>1133</v>
      </c>
      <c r="D15" s="762">
        <f>COUNTIFS('1월 인력상세'!$D:$D,'1월 인력'!D$2,'1월 인력상세'!$G:$G,'1월 인력'!$B15)</f>
        <v>3</v>
      </c>
      <c r="E15" s="762">
        <f>COUNTIFS('1월 인력상세'!$D:$D,'1월 인력'!E$2,'1월 인력상세'!$G:$G,'1월 인력'!$B15)</f>
        <v>1</v>
      </c>
      <c r="F15" s="762">
        <f>COUNTIFS('1월 인력상세'!$D:$D,'1월 인력'!F$2,'1월 인력상세'!$G:$G,'1월 인력'!$B15)</f>
        <v>1</v>
      </c>
      <c r="G15" s="762">
        <f>COUNTIFS('1월 인력상세'!$D:$D,'1월 인력'!G$2,'1월 인력상세'!$G:$G,'1월 인력'!$B15)</f>
        <v>1</v>
      </c>
      <c r="H15" s="762">
        <f>COUNTIFS('1월 인력상세'!$D:$D,'1월 인력'!H$2,'1월 인력상세'!$G:$G,'1월 인력'!$B15)</f>
        <v>3</v>
      </c>
      <c r="I15" s="766">
        <f t="shared" si="1"/>
        <v>9</v>
      </c>
      <c r="K15" s="760">
        <f t="shared" si="2"/>
        <v>5</v>
      </c>
    </row>
    <row r="16" spans="1:11">
      <c r="A16" s="761" t="s">
        <v>647</v>
      </c>
      <c r="B16" s="761" t="s">
        <v>401</v>
      </c>
      <c r="C16" s="761" t="s">
        <v>1136</v>
      </c>
      <c r="D16" s="762">
        <f>COUNTIFS('1월 인력상세'!$D:$D,'1월 인력'!D$2,'1월 인력상세'!$G:$G,'1월 인력'!$B16)</f>
        <v>2</v>
      </c>
      <c r="E16" s="762">
        <f>COUNTIFS('1월 인력상세'!$D:$D,'1월 인력'!E$2,'1월 인력상세'!$G:$G,'1월 인력'!$B16)</f>
        <v>1</v>
      </c>
      <c r="F16" s="762">
        <f>COUNTIFS('1월 인력상세'!$D:$D,'1월 인력'!F$2,'1월 인력상세'!$G:$G,'1월 인력'!$B16)</f>
        <v>1</v>
      </c>
      <c r="G16" s="762">
        <f>COUNTIFS('1월 인력상세'!$D:$D,'1월 인력'!G$2,'1월 인력상세'!$G:$G,'1월 인력'!$B16)</f>
        <v>1</v>
      </c>
      <c r="H16" s="762">
        <f>COUNTIFS('1월 인력상세'!$D:$D,'1월 인력'!H$2,'1월 인력상세'!$G:$G,'1월 인력'!$B16)</f>
        <v>3</v>
      </c>
      <c r="I16" s="766">
        <f t="shared" si="1"/>
        <v>8</v>
      </c>
      <c r="K16" s="760">
        <f t="shared" si="2"/>
        <v>5</v>
      </c>
    </row>
    <row r="17" spans="1:11">
      <c r="A17" s="761" t="s">
        <v>647</v>
      </c>
      <c r="B17" s="761" t="s">
        <v>403</v>
      </c>
      <c r="C17" s="761" t="s">
        <v>1137</v>
      </c>
      <c r="D17" s="762">
        <f>COUNTIFS('1월 인력상세'!$D:$D,'1월 인력'!D$2,'1월 인력상세'!$G:$G,'1월 인력'!$B17)</f>
        <v>2</v>
      </c>
      <c r="E17" s="762">
        <f>COUNTIFS('1월 인력상세'!$D:$D,'1월 인력'!E$2,'1월 인력상세'!$G:$G,'1월 인력'!$B17)</f>
        <v>1</v>
      </c>
      <c r="F17" s="762">
        <f>COUNTIFS('1월 인력상세'!$D:$D,'1월 인력'!F$2,'1월 인력상세'!$G:$G,'1월 인력'!$B17)</f>
        <v>1</v>
      </c>
      <c r="G17" s="762">
        <f>COUNTIFS('1월 인력상세'!$D:$D,'1월 인력'!G$2,'1월 인력상세'!$G:$G,'1월 인력'!$B17)</f>
        <v>1</v>
      </c>
      <c r="H17" s="762">
        <f>COUNTIFS('1월 인력상세'!$D:$D,'1월 인력'!H$2,'1월 인력상세'!$G:$G,'1월 인력'!$B17)</f>
        <v>4</v>
      </c>
      <c r="I17" s="766">
        <f t="shared" si="1"/>
        <v>9</v>
      </c>
      <c r="K17" s="760">
        <f t="shared" si="2"/>
        <v>6</v>
      </c>
    </row>
    <row r="18" spans="1:11">
      <c r="A18" s="761" t="s">
        <v>652</v>
      </c>
      <c r="B18" s="761" t="s">
        <v>442</v>
      </c>
      <c r="C18" s="761" t="s">
        <v>1140</v>
      </c>
      <c r="D18" s="762">
        <f>COUNTIFS('1월 인력상세'!$D:$D,'1월 인력'!D$2,'1월 인력상세'!$G:$G,'1월 인력'!$B18)</f>
        <v>3</v>
      </c>
      <c r="E18" s="762">
        <f>COUNTIFS('1월 인력상세'!$D:$D,'1월 인력'!E$2,'1월 인력상세'!$G:$G,'1월 인력'!$B18)</f>
        <v>1</v>
      </c>
      <c r="F18" s="762">
        <f>COUNTIFS('1월 인력상세'!$D:$D,'1월 인력'!F$2,'1월 인력상세'!$G:$G,'1월 인력'!$B18)</f>
        <v>1</v>
      </c>
      <c r="G18" s="762">
        <f>COUNTIFS('1월 인력상세'!$D:$D,'1월 인력'!G$2,'1월 인력상세'!$G:$G,'1월 인력'!$B18)</f>
        <v>2</v>
      </c>
      <c r="H18" s="762">
        <f>COUNTIFS('1월 인력상세'!$D:$D,'1월 인력'!H$2,'1월 인력상세'!$G:$G,'1월 인력'!$B18)</f>
        <v>2</v>
      </c>
      <c r="I18" s="766">
        <f t="shared" si="1"/>
        <v>9</v>
      </c>
      <c r="K18" s="760">
        <f t="shared" si="2"/>
        <v>5</v>
      </c>
    </row>
    <row r="19" spans="1:11">
      <c r="A19" s="761" t="s">
        <v>652</v>
      </c>
      <c r="B19" s="761" t="s">
        <v>450</v>
      </c>
      <c r="C19" s="761" t="s">
        <v>1142</v>
      </c>
      <c r="D19" s="762">
        <f>COUNTIFS('1월 인력상세'!$D:$D,'1월 인력'!D$2,'1월 인력상세'!$G:$G,'1월 인력'!$B19)</f>
        <v>2</v>
      </c>
      <c r="E19" s="762">
        <f>COUNTIFS('1월 인력상세'!$D:$D,'1월 인력'!E$2,'1월 인력상세'!$G:$G,'1월 인력'!$B19)</f>
        <v>1</v>
      </c>
      <c r="F19" s="762">
        <f>COUNTIFS('1월 인력상세'!$D:$D,'1월 인력'!F$2,'1월 인력상세'!$G:$G,'1월 인력'!$B19)</f>
        <v>1</v>
      </c>
      <c r="G19" s="762">
        <f>COUNTIFS('1월 인력상세'!$D:$D,'1월 인력'!G$2,'1월 인력상세'!$G:$G,'1월 인력'!$B19)</f>
        <v>0</v>
      </c>
      <c r="H19" s="762">
        <f>COUNTIFS('1월 인력상세'!$D:$D,'1월 인력'!H$2,'1월 인력상세'!$G:$G,'1월 인력'!$B19)</f>
        <v>3</v>
      </c>
      <c r="I19" s="766">
        <f t="shared" si="1"/>
        <v>7</v>
      </c>
      <c r="K19" s="760">
        <f t="shared" si="2"/>
        <v>4</v>
      </c>
    </row>
    <row r="20" spans="1:11">
      <c r="A20" s="761" t="s">
        <v>652</v>
      </c>
      <c r="B20" s="761" t="s">
        <v>440</v>
      </c>
      <c r="C20" s="761" t="s">
        <v>1138</v>
      </c>
      <c r="D20" s="762">
        <f>COUNTIFS('1월 인력상세'!$D:$D,'1월 인력'!D$2,'1월 인력상세'!$G:$G,'1월 인력'!$B20)</f>
        <v>2</v>
      </c>
      <c r="E20" s="762">
        <f>COUNTIFS('1월 인력상세'!$D:$D,'1월 인력'!E$2,'1월 인력상세'!$G:$G,'1월 인력'!$B20)</f>
        <v>1</v>
      </c>
      <c r="F20" s="762">
        <f>COUNTIFS('1월 인력상세'!$D:$D,'1월 인력'!F$2,'1월 인력상세'!$G:$G,'1월 인력'!$B20)</f>
        <v>1</v>
      </c>
      <c r="G20" s="762">
        <f>COUNTIFS('1월 인력상세'!$D:$D,'1월 인력'!G$2,'1월 인력상세'!$G:$G,'1월 인력'!$B20)</f>
        <v>1</v>
      </c>
      <c r="H20" s="762">
        <f>COUNTIFS('1월 인력상세'!$D:$D,'1월 인력'!H$2,'1월 인력상세'!$G:$G,'1월 인력'!$B20)</f>
        <v>3</v>
      </c>
      <c r="I20" s="766">
        <f t="shared" si="1"/>
        <v>8</v>
      </c>
      <c r="K20" s="760">
        <f t="shared" si="2"/>
        <v>5</v>
      </c>
    </row>
    <row r="21" spans="1:11">
      <c r="A21" s="761" t="s">
        <v>652</v>
      </c>
      <c r="B21" s="761" t="s">
        <v>448</v>
      </c>
      <c r="C21" s="761" t="s">
        <v>1141</v>
      </c>
      <c r="D21" s="762">
        <f>COUNTIFS('1월 인력상세'!$D:$D,'1월 인력'!D$2,'1월 인력상세'!$G:$G,'1월 인력'!$B21)</f>
        <v>3</v>
      </c>
      <c r="E21" s="762">
        <f>COUNTIFS('1월 인력상세'!$D:$D,'1월 인력'!E$2,'1월 인력상세'!$G:$G,'1월 인력'!$B21)</f>
        <v>1</v>
      </c>
      <c r="F21" s="762">
        <f>COUNTIFS('1월 인력상세'!$D:$D,'1월 인력'!F$2,'1월 인력상세'!$G:$G,'1월 인력'!$B21)</f>
        <v>1</v>
      </c>
      <c r="G21" s="762">
        <f>COUNTIFS('1월 인력상세'!$D:$D,'1월 인력'!G$2,'1월 인력상세'!$G:$G,'1월 인력'!$B21)</f>
        <v>1</v>
      </c>
      <c r="H21" s="762">
        <f>COUNTIFS('1월 인력상세'!$D:$D,'1월 인력'!H$2,'1월 인력상세'!$G:$G,'1월 인력'!$B21)</f>
        <v>2</v>
      </c>
      <c r="I21" s="766">
        <f t="shared" si="1"/>
        <v>8</v>
      </c>
      <c r="K21" s="760">
        <f t="shared" si="2"/>
        <v>4</v>
      </c>
    </row>
    <row r="22" spans="1:11">
      <c r="A22" s="761" t="s">
        <v>652</v>
      </c>
      <c r="B22" s="761" t="s">
        <v>444</v>
      </c>
      <c r="C22" s="761" t="s">
        <v>1139</v>
      </c>
      <c r="D22" s="762">
        <f>COUNTIFS('1월 인력상세'!$D:$D,'1월 인력'!D$2,'1월 인력상세'!$G:$G,'1월 인력'!$B22)</f>
        <v>3</v>
      </c>
      <c r="E22" s="762">
        <f>COUNTIFS('1월 인력상세'!$D:$D,'1월 인력'!E$2,'1월 인력상세'!$G:$G,'1월 인력'!$B22)</f>
        <v>1</v>
      </c>
      <c r="F22" s="762">
        <f>COUNTIFS('1월 인력상세'!$D:$D,'1월 인력'!F$2,'1월 인력상세'!$G:$G,'1월 인력'!$B22)</f>
        <v>1</v>
      </c>
      <c r="G22" s="762">
        <f>COUNTIFS('1월 인력상세'!$D:$D,'1월 인력'!G$2,'1월 인력상세'!$G:$G,'1월 인력'!$B22)</f>
        <v>1</v>
      </c>
      <c r="H22" s="762">
        <f>COUNTIFS('1월 인력상세'!$D:$D,'1월 인력'!H$2,'1월 인력상세'!$G:$G,'1월 인력'!$B22)</f>
        <v>3</v>
      </c>
      <c r="I22" s="766">
        <f t="shared" si="1"/>
        <v>9</v>
      </c>
      <c r="K22" s="760">
        <f t="shared" si="2"/>
        <v>5</v>
      </c>
    </row>
    <row r="23" spans="1:11">
      <c r="A23" s="761" t="s">
        <v>651</v>
      </c>
      <c r="B23" s="761" t="s">
        <v>425</v>
      </c>
      <c r="C23" s="761" t="s">
        <v>1145</v>
      </c>
      <c r="D23" s="762">
        <f>COUNTIFS('1월 인력상세'!$D:$D,'1월 인력'!D$2,'1월 인력상세'!$G:$G,'1월 인력'!$B23)</f>
        <v>2</v>
      </c>
      <c r="E23" s="762">
        <f>COUNTIFS('1월 인력상세'!$D:$D,'1월 인력'!E$2,'1월 인력상세'!$G:$G,'1월 인력'!$B23)</f>
        <v>1</v>
      </c>
      <c r="F23" s="762">
        <f>COUNTIFS('1월 인력상세'!$D:$D,'1월 인력'!F$2,'1월 인력상세'!$G:$G,'1월 인력'!$B23)</f>
        <v>1</v>
      </c>
      <c r="G23" s="762">
        <f>COUNTIFS('1월 인력상세'!$D:$D,'1월 인력'!G$2,'1월 인력상세'!$G:$G,'1월 인력'!$B23)</f>
        <v>1</v>
      </c>
      <c r="H23" s="762">
        <f>COUNTIFS('1월 인력상세'!$D:$D,'1월 인력'!H$2,'1월 인력상세'!$G:$G,'1월 인력'!$B23)</f>
        <v>3</v>
      </c>
      <c r="I23" s="766">
        <f t="shared" si="1"/>
        <v>8</v>
      </c>
      <c r="K23" s="760">
        <f t="shared" si="2"/>
        <v>5</v>
      </c>
    </row>
    <row r="24" spans="1:11">
      <c r="A24" s="761" t="s">
        <v>651</v>
      </c>
      <c r="B24" s="761" t="s">
        <v>429</v>
      </c>
      <c r="C24" s="761" t="s">
        <v>1146</v>
      </c>
      <c r="D24" s="762">
        <f>COUNTIFS('1월 인력상세'!$D:$D,'1월 인력'!D$2,'1월 인력상세'!$G:$G,'1월 인력'!$B24)</f>
        <v>3</v>
      </c>
      <c r="E24" s="762">
        <f>COUNTIFS('1월 인력상세'!$D:$D,'1월 인력'!E$2,'1월 인력상세'!$G:$G,'1월 인력'!$B24)</f>
        <v>1</v>
      </c>
      <c r="F24" s="762">
        <f>COUNTIFS('1월 인력상세'!$D:$D,'1월 인력'!F$2,'1월 인력상세'!$G:$G,'1월 인력'!$B24)</f>
        <v>1</v>
      </c>
      <c r="G24" s="762">
        <f>COUNTIFS('1월 인력상세'!$D:$D,'1월 인력'!G$2,'1월 인력상세'!$G:$G,'1월 인력'!$B24)</f>
        <v>1</v>
      </c>
      <c r="H24" s="762">
        <f>COUNTIFS('1월 인력상세'!$D:$D,'1월 인력'!H$2,'1월 인력상세'!$G:$G,'1월 인력'!$B24)</f>
        <v>3</v>
      </c>
      <c r="I24" s="766">
        <f t="shared" si="1"/>
        <v>9</v>
      </c>
      <c r="K24" s="760">
        <f t="shared" si="2"/>
        <v>5</v>
      </c>
    </row>
    <row r="25" spans="1:11">
      <c r="A25" s="761" t="s">
        <v>651</v>
      </c>
      <c r="B25" s="761" t="s">
        <v>421</v>
      </c>
      <c r="C25" s="761" t="s">
        <v>1143</v>
      </c>
      <c r="D25" s="762">
        <f>COUNTIFS('1월 인력상세'!$D:$D,'1월 인력'!D$2,'1월 인력상세'!$G:$G,'1월 인력'!$B25)</f>
        <v>3</v>
      </c>
      <c r="E25" s="762">
        <f>COUNTIFS('1월 인력상세'!$D:$D,'1월 인력'!E$2,'1월 인력상세'!$G:$G,'1월 인력'!$B25)</f>
        <v>1</v>
      </c>
      <c r="F25" s="762">
        <f>COUNTIFS('1월 인력상세'!$D:$D,'1월 인력'!F$2,'1월 인력상세'!$G:$G,'1월 인력'!$B25)</f>
        <v>1</v>
      </c>
      <c r="G25" s="762">
        <f>COUNTIFS('1월 인력상세'!$D:$D,'1월 인력'!G$2,'1월 인력상세'!$G:$G,'1월 인력'!$B25)</f>
        <v>2</v>
      </c>
      <c r="H25" s="762">
        <f>COUNTIFS('1월 인력상세'!$D:$D,'1월 인력'!H$2,'1월 인력상세'!$G:$G,'1월 인력'!$B25)</f>
        <v>3</v>
      </c>
      <c r="I25" s="766">
        <f t="shared" si="1"/>
        <v>10</v>
      </c>
      <c r="K25" s="760">
        <f t="shared" si="2"/>
        <v>6</v>
      </c>
    </row>
    <row r="26" spans="1:11">
      <c r="A26" s="761" t="s">
        <v>651</v>
      </c>
      <c r="B26" s="761" t="s">
        <v>435</v>
      </c>
      <c r="C26" s="761" t="s">
        <v>1147</v>
      </c>
      <c r="D26" s="762">
        <f>COUNTIFS('1월 인력상세'!$D:$D,'1월 인력'!D$2,'1월 인력상세'!$G:$G,'1월 인력'!$B26)</f>
        <v>4</v>
      </c>
      <c r="E26" s="762">
        <f>COUNTIFS('1월 인력상세'!$D:$D,'1월 인력'!E$2,'1월 인력상세'!$G:$G,'1월 인력'!$B26)</f>
        <v>1</v>
      </c>
      <c r="F26" s="762">
        <f>COUNTIFS('1월 인력상세'!$D:$D,'1월 인력'!F$2,'1월 인력상세'!$G:$G,'1월 인력'!$B26)</f>
        <v>1</v>
      </c>
      <c r="G26" s="762">
        <f>COUNTIFS('1월 인력상세'!$D:$D,'1월 인력'!G$2,'1월 인력상세'!$G:$G,'1월 인력'!$B26)</f>
        <v>1</v>
      </c>
      <c r="H26" s="762">
        <f>COUNTIFS('1월 인력상세'!$D:$D,'1월 인력'!H$2,'1월 인력상세'!$G:$G,'1월 인력'!$B26)</f>
        <v>4</v>
      </c>
      <c r="I26" s="766">
        <f t="shared" si="1"/>
        <v>11</v>
      </c>
      <c r="K26" s="760">
        <f t="shared" si="2"/>
        <v>6</v>
      </c>
    </row>
    <row r="27" spans="1:11">
      <c r="A27" s="761" t="s">
        <v>651</v>
      </c>
      <c r="B27" s="761" t="s">
        <v>438</v>
      </c>
      <c r="C27" s="761" t="s">
        <v>1148</v>
      </c>
      <c r="D27" s="762">
        <f>COUNTIFS('1월 인력상세'!$D:$D,'1월 인력'!D$2,'1월 인력상세'!$G:$G,'1월 인력'!$B27)</f>
        <v>4</v>
      </c>
      <c r="E27" s="762">
        <f>COUNTIFS('1월 인력상세'!$D:$D,'1월 인력'!E$2,'1월 인력상세'!$G:$G,'1월 인력'!$B27)</f>
        <v>1</v>
      </c>
      <c r="F27" s="762">
        <f>COUNTIFS('1월 인력상세'!$D:$D,'1월 인력'!F$2,'1월 인력상세'!$G:$G,'1월 인력'!$B27)</f>
        <v>1</v>
      </c>
      <c r="G27" s="762">
        <f>COUNTIFS('1월 인력상세'!$D:$D,'1월 인력'!G$2,'1월 인력상세'!$G:$G,'1월 인력'!$B27)</f>
        <v>1</v>
      </c>
      <c r="H27" s="762">
        <f>COUNTIFS('1월 인력상세'!$D:$D,'1월 인력'!H$2,'1월 인력상세'!$G:$G,'1월 인력'!$B27)</f>
        <v>4</v>
      </c>
      <c r="I27" s="766">
        <f t="shared" si="1"/>
        <v>11</v>
      </c>
      <c r="K27" s="760">
        <f t="shared" si="2"/>
        <v>6</v>
      </c>
    </row>
    <row r="28" spans="1:11">
      <c r="A28" s="761" t="s">
        <v>651</v>
      </c>
      <c r="B28" s="761" t="s">
        <v>423</v>
      </c>
      <c r="C28" s="761" t="s">
        <v>1144</v>
      </c>
      <c r="D28" s="762">
        <f>COUNTIFS('1월 인력상세'!$D:$D,'1월 인력'!D$2,'1월 인력상세'!$G:$G,'1월 인력'!$B28)</f>
        <v>3</v>
      </c>
      <c r="E28" s="762">
        <f>COUNTIFS('1월 인력상세'!$D:$D,'1월 인력'!E$2,'1월 인력상세'!$G:$G,'1월 인력'!$B28)</f>
        <v>1</v>
      </c>
      <c r="F28" s="762">
        <f>COUNTIFS('1월 인력상세'!$D:$D,'1월 인력'!F$2,'1월 인력상세'!$G:$G,'1월 인력'!$B28)</f>
        <v>0</v>
      </c>
      <c r="G28" s="762">
        <f>COUNTIFS('1월 인력상세'!$D:$D,'1월 인력'!G$2,'1월 인력상세'!$G:$G,'1월 인력'!$B28)</f>
        <v>1</v>
      </c>
      <c r="H28" s="762">
        <f>COUNTIFS('1월 인력상세'!$D:$D,'1월 인력'!H$2,'1월 인력상세'!$G:$G,'1월 인력'!$B28)</f>
        <v>4</v>
      </c>
      <c r="I28" s="766">
        <f t="shared" si="1"/>
        <v>9</v>
      </c>
      <c r="K28" s="760">
        <f t="shared" si="2"/>
        <v>5</v>
      </c>
    </row>
    <row r="29" spans="1:11">
      <c r="A29" s="761" t="s">
        <v>648</v>
      </c>
      <c r="B29" s="761" t="s">
        <v>419</v>
      </c>
      <c r="C29" s="761" t="s">
        <v>1154</v>
      </c>
      <c r="D29" s="762">
        <f>COUNTIFS('1월 인력상세'!$D:$D,'1월 인력'!D$2,'1월 인력상세'!$G:$G,'1월 인력'!$B29)</f>
        <v>2</v>
      </c>
      <c r="E29" s="762">
        <f>COUNTIFS('1월 인력상세'!$D:$D,'1월 인력'!E$2,'1월 인력상세'!$G:$G,'1월 인력'!$B29)</f>
        <v>1</v>
      </c>
      <c r="F29" s="762">
        <f>COUNTIFS('1월 인력상세'!$D:$D,'1월 인력'!F$2,'1월 인력상세'!$G:$G,'1월 인력'!$B29)</f>
        <v>1</v>
      </c>
      <c r="G29" s="762">
        <f>COUNTIFS('1월 인력상세'!$D:$D,'1월 인력'!G$2,'1월 인력상세'!$G:$G,'1월 인력'!$B29)</f>
        <v>1</v>
      </c>
      <c r="H29" s="762">
        <f>COUNTIFS('1월 인력상세'!$D:$D,'1월 인력'!H$2,'1월 인력상세'!$G:$G,'1월 인력'!$B29)</f>
        <v>3</v>
      </c>
      <c r="I29" s="766">
        <f t="shared" si="1"/>
        <v>8</v>
      </c>
      <c r="K29" s="760">
        <f t="shared" si="2"/>
        <v>5</v>
      </c>
    </row>
    <row r="30" spans="1:11">
      <c r="A30" s="761" t="s">
        <v>648</v>
      </c>
      <c r="B30" s="761" t="s">
        <v>407</v>
      </c>
      <c r="C30" s="761" t="s">
        <v>1150</v>
      </c>
      <c r="D30" s="762">
        <f>COUNTIFS('1월 인력상세'!$D:$D,'1월 인력'!D$2,'1월 인력상세'!$G:$G,'1월 인력'!$B30)</f>
        <v>2</v>
      </c>
      <c r="E30" s="762">
        <f>COUNTIFS('1월 인력상세'!$D:$D,'1월 인력'!E$2,'1월 인력상세'!$G:$G,'1월 인력'!$B30)</f>
        <v>1</v>
      </c>
      <c r="F30" s="762">
        <f>COUNTIFS('1월 인력상세'!$D:$D,'1월 인력'!F$2,'1월 인력상세'!$G:$G,'1월 인력'!$B30)</f>
        <v>1</v>
      </c>
      <c r="G30" s="762">
        <f>COUNTIFS('1월 인력상세'!$D:$D,'1월 인력'!G$2,'1월 인력상세'!$G:$G,'1월 인력'!$B30)</f>
        <v>1</v>
      </c>
      <c r="H30" s="762">
        <f>COUNTIFS('1월 인력상세'!$D:$D,'1월 인력'!H$2,'1월 인력상세'!$G:$G,'1월 인력'!$B30)</f>
        <v>2</v>
      </c>
      <c r="I30" s="766">
        <f t="shared" si="1"/>
        <v>7</v>
      </c>
      <c r="K30" s="760">
        <f t="shared" si="2"/>
        <v>4</v>
      </c>
    </row>
    <row r="31" spans="1:11">
      <c r="A31" s="761" t="s">
        <v>648</v>
      </c>
      <c r="B31" s="761" t="s">
        <v>413</v>
      </c>
      <c r="C31" s="761" t="s">
        <v>1151</v>
      </c>
      <c r="D31" s="762">
        <f>COUNTIFS('1월 인력상세'!$D:$D,'1월 인력'!D$2,'1월 인력상세'!$G:$G,'1월 인력'!$B31)</f>
        <v>2</v>
      </c>
      <c r="E31" s="762">
        <f>COUNTIFS('1월 인력상세'!$D:$D,'1월 인력'!E$2,'1월 인력상세'!$G:$G,'1월 인력'!$B31)</f>
        <v>1</v>
      </c>
      <c r="F31" s="762">
        <f>COUNTIFS('1월 인력상세'!$D:$D,'1월 인력'!F$2,'1월 인력상세'!$G:$G,'1월 인력'!$B31)</f>
        <v>1</v>
      </c>
      <c r="G31" s="762">
        <f>COUNTIFS('1월 인력상세'!$D:$D,'1월 인력'!G$2,'1월 인력상세'!$G:$G,'1월 인력'!$B31)</f>
        <v>1</v>
      </c>
      <c r="H31" s="762">
        <f>COUNTIFS('1월 인력상세'!$D:$D,'1월 인력'!H$2,'1월 인력상세'!$G:$G,'1월 인력'!$B31)</f>
        <v>3</v>
      </c>
      <c r="I31" s="766">
        <f t="shared" si="1"/>
        <v>8</v>
      </c>
      <c r="K31" s="760">
        <f t="shared" si="2"/>
        <v>5</v>
      </c>
    </row>
    <row r="32" spans="1:11">
      <c r="A32" s="761" t="s">
        <v>648</v>
      </c>
      <c r="B32" s="761" t="s">
        <v>415</v>
      </c>
      <c r="C32" s="761" t="s">
        <v>1152</v>
      </c>
      <c r="D32" s="762">
        <f>COUNTIFS('1월 인력상세'!$D:$D,'1월 인력'!D$2,'1월 인력상세'!$G:$G,'1월 인력'!$B32)</f>
        <v>2</v>
      </c>
      <c r="E32" s="762">
        <f>COUNTIFS('1월 인력상세'!$D:$D,'1월 인력'!E$2,'1월 인력상세'!$G:$G,'1월 인력'!$B32)</f>
        <v>1</v>
      </c>
      <c r="F32" s="762">
        <f>COUNTIFS('1월 인력상세'!$D:$D,'1월 인력'!F$2,'1월 인력상세'!$G:$G,'1월 인력'!$B32)</f>
        <v>1</v>
      </c>
      <c r="G32" s="762">
        <f>COUNTIFS('1월 인력상세'!$D:$D,'1월 인력'!G$2,'1월 인력상세'!$G:$G,'1월 인력'!$B32)</f>
        <v>1</v>
      </c>
      <c r="H32" s="762">
        <f>COUNTIFS('1월 인력상세'!$D:$D,'1월 인력'!H$2,'1월 인력상세'!$G:$G,'1월 인력'!$B32)</f>
        <v>3</v>
      </c>
      <c r="I32" s="766">
        <f t="shared" si="1"/>
        <v>8</v>
      </c>
      <c r="K32" s="760">
        <f t="shared" si="2"/>
        <v>5</v>
      </c>
    </row>
    <row r="33" spans="1:11">
      <c r="A33" s="761" t="s">
        <v>648</v>
      </c>
      <c r="B33" s="761" t="s">
        <v>417</v>
      </c>
      <c r="C33" s="761" t="s">
        <v>1153</v>
      </c>
      <c r="D33" s="762">
        <f>COUNTIFS('1월 인력상세'!$D:$D,'1월 인력'!D$2,'1월 인력상세'!$G:$G,'1월 인력'!$B33)</f>
        <v>1</v>
      </c>
      <c r="E33" s="762">
        <f>COUNTIFS('1월 인력상세'!$D:$D,'1월 인력'!E$2,'1월 인력상세'!$G:$G,'1월 인력'!$B33)</f>
        <v>1</v>
      </c>
      <c r="F33" s="762">
        <f>COUNTIFS('1월 인력상세'!$D:$D,'1월 인력'!F$2,'1월 인력상세'!$G:$G,'1월 인력'!$B33)</f>
        <v>1</v>
      </c>
      <c r="G33" s="762">
        <f>COUNTIFS('1월 인력상세'!$D:$D,'1월 인력'!G$2,'1월 인력상세'!$G:$G,'1월 인력'!$B33)</f>
        <v>1</v>
      </c>
      <c r="H33" s="762">
        <f>COUNTIFS('1월 인력상세'!$D:$D,'1월 인력'!H$2,'1월 인력상세'!$G:$G,'1월 인력'!$B33)</f>
        <v>2</v>
      </c>
      <c r="I33" s="766">
        <f t="shared" si="1"/>
        <v>6</v>
      </c>
      <c r="K33" s="760">
        <f t="shared" si="2"/>
        <v>4</v>
      </c>
    </row>
    <row r="34" spans="1:11">
      <c r="A34" s="761" t="s">
        <v>648</v>
      </c>
      <c r="B34" s="761" t="s">
        <v>405</v>
      </c>
      <c r="C34" s="761" t="s">
        <v>1149</v>
      </c>
      <c r="D34" s="762">
        <f>COUNTIFS('1월 인력상세'!$D:$D,'1월 인력'!D$2,'1월 인력상세'!$G:$G,'1월 인력'!$B34)</f>
        <v>3</v>
      </c>
      <c r="E34" s="762">
        <f>COUNTIFS('1월 인력상세'!$D:$D,'1월 인력'!E$2,'1월 인력상세'!$G:$G,'1월 인력'!$B34)</f>
        <v>0</v>
      </c>
      <c r="F34" s="762">
        <f>COUNTIFS('1월 인력상세'!$D:$D,'1월 인력'!F$2,'1월 인력상세'!$G:$G,'1월 인력'!$B34)</f>
        <v>1</v>
      </c>
      <c r="G34" s="762">
        <f>COUNTIFS('1월 인력상세'!$D:$D,'1월 인력'!G$2,'1월 인력상세'!$G:$G,'1월 인력'!$B34)</f>
        <v>0</v>
      </c>
      <c r="H34" s="762">
        <f>COUNTIFS('1월 인력상세'!$D:$D,'1월 인력'!H$2,'1월 인력상세'!$G:$G,'1월 인력'!$B34)</f>
        <v>4</v>
      </c>
      <c r="I34" s="766">
        <f t="shared" si="1"/>
        <v>8</v>
      </c>
      <c r="K34" s="760">
        <f t="shared" si="2"/>
        <v>5</v>
      </c>
    </row>
    <row r="35" spans="1:11">
      <c r="A35" s="761" t="s">
        <v>650</v>
      </c>
      <c r="B35" s="761" t="s">
        <v>457</v>
      </c>
      <c r="C35" s="761" t="s">
        <v>1156</v>
      </c>
      <c r="D35" s="762">
        <f>COUNTIFS('1월 인력상세'!$D:$D,'1월 인력'!D$2,'1월 인력상세'!$G:$G,'1월 인력'!$B35)</f>
        <v>4</v>
      </c>
      <c r="E35" s="762">
        <f>COUNTIFS('1월 인력상세'!$D:$D,'1월 인력'!E$2,'1월 인력상세'!$G:$G,'1월 인력'!$B35)</f>
        <v>1</v>
      </c>
      <c r="F35" s="762">
        <f>COUNTIFS('1월 인력상세'!$D:$D,'1월 인력'!F$2,'1월 인력상세'!$G:$G,'1월 인력'!$B35)</f>
        <v>1</v>
      </c>
      <c r="G35" s="762">
        <f>COUNTIFS('1월 인력상세'!$D:$D,'1월 인력'!G$2,'1월 인력상세'!$G:$G,'1월 인력'!$B35)</f>
        <v>1</v>
      </c>
      <c r="H35" s="762">
        <f>COUNTIFS('1월 인력상세'!$D:$D,'1월 인력'!H$2,'1월 인력상세'!$G:$G,'1월 인력'!$B35)</f>
        <v>3</v>
      </c>
      <c r="I35" s="766">
        <f t="shared" si="1"/>
        <v>10</v>
      </c>
      <c r="K35" s="760">
        <f t="shared" si="2"/>
        <v>5</v>
      </c>
    </row>
    <row r="36" spans="1:11">
      <c r="A36" s="761" t="s">
        <v>650</v>
      </c>
      <c r="B36" s="761" t="s">
        <v>461</v>
      </c>
      <c r="C36" s="761" t="s">
        <v>1158</v>
      </c>
      <c r="D36" s="762">
        <f>COUNTIFS('1월 인력상세'!$D:$D,'1월 인력'!D$2,'1월 인력상세'!$G:$G,'1월 인력'!$B36)</f>
        <v>3</v>
      </c>
      <c r="E36" s="762">
        <f>COUNTIFS('1월 인력상세'!$D:$D,'1월 인력'!E$2,'1월 인력상세'!$G:$G,'1월 인력'!$B36)</f>
        <v>1</v>
      </c>
      <c r="F36" s="762">
        <f>COUNTIFS('1월 인력상세'!$D:$D,'1월 인력'!F$2,'1월 인력상세'!$G:$G,'1월 인력'!$B36)</f>
        <v>1</v>
      </c>
      <c r="G36" s="762">
        <f>COUNTIFS('1월 인력상세'!$D:$D,'1월 인력'!G$2,'1월 인력상세'!$G:$G,'1월 인력'!$B36)</f>
        <v>1</v>
      </c>
      <c r="H36" s="762">
        <f>COUNTIFS('1월 인력상세'!$D:$D,'1월 인력'!H$2,'1월 인력상세'!$G:$G,'1월 인력'!$B36)</f>
        <v>3</v>
      </c>
      <c r="I36" s="766">
        <f t="shared" si="1"/>
        <v>9</v>
      </c>
      <c r="K36" s="760">
        <f t="shared" si="2"/>
        <v>5</v>
      </c>
    </row>
    <row r="37" spans="1:11">
      <c r="A37" s="761" t="s">
        <v>650</v>
      </c>
      <c r="B37" s="761" t="s">
        <v>463</v>
      </c>
      <c r="C37" s="761" t="s">
        <v>690</v>
      </c>
      <c r="D37" s="762">
        <f>COUNTIFS('1월 인력상세'!$D:$D,'1월 인력'!D$2,'1월 인력상세'!$G:$G,'1월 인력'!$B37)</f>
        <v>5</v>
      </c>
      <c r="E37" s="762">
        <f>COUNTIFS('1월 인력상세'!$D:$D,'1월 인력'!E$2,'1월 인력상세'!$G:$G,'1월 인력'!$B37)</f>
        <v>0</v>
      </c>
      <c r="F37" s="762">
        <f>COUNTIFS('1월 인력상세'!$D:$D,'1월 인력'!F$2,'1월 인력상세'!$G:$G,'1월 인력'!$B37)</f>
        <v>1</v>
      </c>
      <c r="G37" s="762">
        <f>COUNTIFS('1월 인력상세'!$D:$D,'1월 인력'!G$2,'1월 인력상세'!$G:$G,'1월 인력'!$B37)</f>
        <v>2</v>
      </c>
      <c r="H37" s="762">
        <f>COUNTIFS('1월 인력상세'!$D:$D,'1월 인력'!H$2,'1월 인력상세'!$G:$G,'1월 인력'!$B37)</f>
        <v>3</v>
      </c>
      <c r="I37" s="766">
        <f t="shared" si="1"/>
        <v>11</v>
      </c>
      <c r="K37" s="760">
        <f t="shared" si="2"/>
        <v>6</v>
      </c>
    </row>
    <row r="38" spans="1:11">
      <c r="A38" s="761" t="s">
        <v>650</v>
      </c>
      <c r="B38" s="761" t="s">
        <v>459</v>
      </c>
      <c r="C38" s="761" t="s">
        <v>1157</v>
      </c>
      <c r="D38" s="762">
        <f>COUNTIFS('1월 인력상세'!$D:$D,'1월 인력'!D$2,'1월 인력상세'!$G:$G,'1월 인력'!$B38)</f>
        <v>3</v>
      </c>
      <c r="E38" s="762">
        <f>COUNTIFS('1월 인력상세'!$D:$D,'1월 인력'!E$2,'1월 인력상세'!$G:$G,'1월 인력'!$B38)</f>
        <v>0</v>
      </c>
      <c r="F38" s="762">
        <f>COUNTIFS('1월 인력상세'!$D:$D,'1월 인력'!F$2,'1월 인력상세'!$G:$G,'1월 인력'!$B38)</f>
        <v>1</v>
      </c>
      <c r="G38" s="762">
        <f>COUNTIFS('1월 인력상세'!$D:$D,'1월 인력'!G$2,'1월 인력상세'!$G:$G,'1월 인력'!$B38)</f>
        <v>1</v>
      </c>
      <c r="H38" s="762">
        <f>COUNTIFS('1월 인력상세'!$D:$D,'1월 인력'!H$2,'1월 인력상세'!$G:$G,'1월 인력'!$B38)</f>
        <v>3</v>
      </c>
      <c r="I38" s="766">
        <f t="shared" si="1"/>
        <v>8</v>
      </c>
      <c r="K38" s="760">
        <f t="shared" si="2"/>
        <v>5</v>
      </c>
    </row>
    <row r="39" spans="1:11">
      <c r="A39" s="761" t="s">
        <v>650</v>
      </c>
      <c r="B39" s="761" t="s">
        <v>455</v>
      </c>
      <c r="C39" s="761" t="s">
        <v>1155</v>
      </c>
      <c r="D39" s="762">
        <f>COUNTIFS('1월 인력상세'!$D:$D,'1월 인력'!D$2,'1월 인력상세'!$G:$G,'1월 인력'!$B39)</f>
        <v>2</v>
      </c>
      <c r="E39" s="762">
        <f>COUNTIFS('1월 인력상세'!$D:$D,'1월 인력'!E$2,'1월 인력상세'!$G:$G,'1월 인력'!$B39)</f>
        <v>1</v>
      </c>
      <c r="F39" s="762">
        <f>COUNTIFS('1월 인력상세'!$D:$D,'1월 인력'!F$2,'1월 인력상세'!$G:$G,'1월 인력'!$B39)</f>
        <v>1</v>
      </c>
      <c r="G39" s="762">
        <f>COUNTIFS('1월 인력상세'!$D:$D,'1월 인력'!G$2,'1월 인력상세'!$G:$G,'1월 인력'!$B39)</f>
        <v>1</v>
      </c>
      <c r="H39" s="762">
        <f>COUNTIFS('1월 인력상세'!$D:$D,'1월 인력'!H$2,'1월 인력상세'!$G:$G,'1월 인력'!$B39)</f>
        <v>3</v>
      </c>
      <c r="I39" s="766">
        <f t="shared" si="1"/>
        <v>8</v>
      </c>
      <c r="K39" s="760">
        <f t="shared" si="2"/>
        <v>5</v>
      </c>
    </row>
    <row r="40" spans="1:11">
      <c r="A40" s="761" t="s">
        <v>649</v>
      </c>
      <c r="B40" s="761" t="s">
        <v>480</v>
      </c>
      <c r="C40" s="761" t="s">
        <v>1162</v>
      </c>
      <c r="D40" s="762">
        <f>COUNTIFS('1월 인력상세'!$D:$D,'1월 인력'!D$2,'1월 인력상세'!$G:$G,'1월 인력'!$B40)</f>
        <v>2</v>
      </c>
      <c r="E40" s="762">
        <f>COUNTIFS('1월 인력상세'!$D:$D,'1월 인력'!E$2,'1월 인력상세'!$G:$G,'1월 인력'!$B40)</f>
        <v>1</v>
      </c>
      <c r="F40" s="762">
        <f>COUNTIFS('1월 인력상세'!$D:$D,'1월 인력'!F$2,'1월 인력상세'!$G:$G,'1월 인력'!$B40)</f>
        <v>1</v>
      </c>
      <c r="G40" s="762">
        <f>COUNTIFS('1월 인력상세'!$D:$D,'1월 인력'!G$2,'1월 인력상세'!$G:$G,'1월 인력'!$B40)</f>
        <v>1</v>
      </c>
      <c r="H40" s="762">
        <f>COUNTIFS('1월 인력상세'!$D:$D,'1월 인력'!H$2,'1월 인력상세'!$G:$G,'1월 인력'!$B40)</f>
        <v>2</v>
      </c>
      <c r="I40" s="766">
        <f t="shared" si="1"/>
        <v>7</v>
      </c>
      <c r="K40" s="760">
        <f t="shared" si="2"/>
        <v>4</v>
      </c>
    </row>
    <row r="41" spans="1:11">
      <c r="A41" s="761" t="s">
        <v>649</v>
      </c>
      <c r="B41" s="761" t="s">
        <v>473</v>
      </c>
      <c r="C41" s="761" t="s">
        <v>1160</v>
      </c>
      <c r="D41" s="762">
        <f>COUNTIFS('1월 인력상세'!$D:$D,'1월 인력'!D$2,'1월 인력상세'!$G:$G,'1월 인력'!$B41)</f>
        <v>2</v>
      </c>
      <c r="E41" s="762">
        <f>COUNTIFS('1월 인력상세'!$D:$D,'1월 인력'!E$2,'1월 인력상세'!$G:$G,'1월 인력'!$B41)</f>
        <v>0</v>
      </c>
      <c r="F41" s="762">
        <f>COUNTIFS('1월 인력상세'!$D:$D,'1월 인력'!F$2,'1월 인력상세'!$G:$G,'1월 인력'!$B41)</f>
        <v>1</v>
      </c>
      <c r="G41" s="762">
        <f>COUNTIFS('1월 인력상세'!$D:$D,'1월 인력'!G$2,'1월 인력상세'!$G:$G,'1월 인력'!$B41)</f>
        <v>1</v>
      </c>
      <c r="H41" s="762">
        <f>COUNTIFS('1월 인력상세'!$D:$D,'1월 인력'!H$2,'1월 인력상세'!$G:$G,'1월 인력'!$B41)</f>
        <v>2</v>
      </c>
      <c r="I41" s="766">
        <f t="shared" si="1"/>
        <v>6</v>
      </c>
      <c r="K41" s="760">
        <f t="shared" si="2"/>
        <v>4</v>
      </c>
    </row>
    <row r="42" spans="1:11">
      <c r="A42" s="761" t="s">
        <v>649</v>
      </c>
      <c r="B42" s="761" t="s">
        <v>471</v>
      </c>
      <c r="C42" s="761" t="s">
        <v>692</v>
      </c>
      <c r="D42" s="762">
        <f>COUNTIFS('1월 인력상세'!$D:$D,'1월 인력'!D$2,'1월 인력상세'!$G:$G,'1월 인력'!$B42)</f>
        <v>2</v>
      </c>
      <c r="E42" s="762">
        <f>COUNTIFS('1월 인력상세'!$D:$D,'1월 인력'!E$2,'1월 인력상세'!$G:$G,'1월 인력'!$B42)</f>
        <v>1</v>
      </c>
      <c r="F42" s="762">
        <f>COUNTIFS('1월 인력상세'!$D:$D,'1월 인력'!F$2,'1월 인력상세'!$G:$G,'1월 인력'!$B42)</f>
        <v>1</v>
      </c>
      <c r="G42" s="762">
        <f>COUNTIFS('1월 인력상세'!$D:$D,'1월 인력'!G$2,'1월 인력상세'!$G:$G,'1월 인력'!$B42)</f>
        <v>1</v>
      </c>
      <c r="H42" s="762">
        <f>COUNTIFS('1월 인력상세'!$D:$D,'1월 인력'!H$2,'1월 인력상세'!$G:$G,'1월 인력'!$B42)</f>
        <v>4</v>
      </c>
      <c r="I42" s="766">
        <f t="shared" si="1"/>
        <v>9</v>
      </c>
      <c r="K42" s="760">
        <f t="shared" si="2"/>
        <v>6</v>
      </c>
    </row>
    <row r="43" spans="1:11">
      <c r="A43" s="761" t="s">
        <v>649</v>
      </c>
      <c r="B43" s="761" t="s">
        <v>477</v>
      </c>
      <c r="C43" s="761" t="s">
        <v>1161</v>
      </c>
      <c r="D43" s="762">
        <f>COUNTIFS('1월 인력상세'!$D:$D,'1월 인력'!D$2,'1월 인력상세'!$G:$G,'1월 인력'!$B43)</f>
        <v>0</v>
      </c>
      <c r="E43" s="762">
        <f>COUNTIFS('1월 인력상세'!$D:$D,'1월 인력'!E$2,'1월 인력상세'!$G:$G,'1월 인력'!$B43)</f>
        <v>1</v>
      </c>
      <c r="F43" s="762">
        <f>COUNTIFS('1월 인력상세'!$D:$D,'1월 인력'!F$2,'1월 인력상세'!$G:$G,'1월 인력'!$B43)</f>
        <v>1</v>
      </c>
      <c r="G43" s="762">
        <f>COUNTIFS('1월 인력상세'!$D:$D,'1월 인력'!G$2,'1월 인력상세'!$G:$G,'1월 인력'!$B43)</f>
        <v>1</v>
      </c>
      <c r="H43" s="762">
        <f>COUNTIFS('1월 인력상세'!$D:$D,'1월 인력'!H$2,'1월 인력상세'!$G:$G,'1월 인력'!$B43)</f>
        <v>2</v>
      </c>
      <c r="I43" s="766">
        <f t="shared" si="1"/>
        <v>5</v>
      </c>
      <c r="K43" s="760">
        <f t="shared" si="2"/>
        <v>4</v>
      </c>
    </row>
    <row r="44" spans="1:11">
      <c r="A44" s="761" t="s">
        <v>649</v>
      </c>
      <c r="B44" s="761" t="s">
        <v>467</v>
      </c>
      <c r="C44" s="761" t="s">
        <v>1159</v>
      </c>
      <c r="D44" s="762">
        <f>COUNTIFS('1월 인력상세'!$D:$D,'1월 인력'!D$2,'1월 인력상세'!$G:$G,'1월 인력'!$B44)</f>
        <v>2</v>
      </c>
      <c r="E44" s="762">
        <f>COUNTIFS('1월 인력상세'!$D:$D,'1월 인력'!E$2,'1월 인력상세'!$G:$G,'1월 인력'!$B44)</f>
        <v>0</v>
      </c>
      <c r="F44" s="762">
        <f>COUNTIFS('1월 인력상세'!$D:$D,'1월 인력'!F$2,'1월 인력상세'!$G:$G,'1월 인력'!$B44)</f>
        <v>1</v>
      </c>
      <c r="G44" s="762">
        <f>COUNTIFS('1월 인력상세'!$D:$D,'1월 인력'!G$2,'1월 인력상세'!$G:$G,'1월 인력'!$B44)</f>
        <v>1</v>
      </c>
      <c r="H44" s="762">
        <f>COUNTIFS('1월 인력상세'!$D:$D,'1월 인력'!H$2,'1월 인력상세'!$G:$G,'1월 인력'!$B44)</f>
        <v>2</v>
      </c>
      <c r="I44" s="766">
        <f t="shared" si="1"/>
        <v>6</v>
      </c>
      <c r="K44" s="760">
        <f t="shared" si="2"/>
        <v>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B2:H18"/>
  <sheetViews>
    <sheetView showGridLines="0" workbookViewId="0">
      <selection activeCell="H10" sqref="H10"/>
    </sheetView>
  </sheetViews>
  <sheetFormatPr defaultColWidth="8.83203125" defaultRowHeight="17"/>
  <cols>
    <col min="1" max="1" width="8.83203125" style="209"/>
    <col min="2" max="2" width="8.83203125" style="693"/>
    <col min="3" max="3" width="0" style="693" hidden="1" customWidth="1"/>
    <col min="4" max="4" width="8.83203125" style="209"/>
    <col min="5" max="7" width="12.33203125" style="209" customWidth="1"/>
    <col min="8" max="8" width="15.08203125" style="209" customWidth="1"/>
    <col min="9" max="16384" width="8.83203125" style="209"/>
  </cols>
  <sheetData>
    <row r="2" spans="2:8" ht="17.5">
      <c r="D2" s="657" t="s">
        <v>513</v>
      </c>
      <c r="H2" s="694"/>
    </row>
    <row r="3" spans="2:8" ht="28.5" customHeight="1">
      <c r="D3" s="703" t="s">
        <v>517</v>
      </c>
      <c r="E3" s="698" t="s">
        <v>518</v>
      </c>
      <c r="F3" s="698" t="s">
        <v>519</v>
      </c>
      <c r="G3" s="698" t="s">
        <v>520</v>
      </c>
      <c r="H3" s="704" t="s">
        <v>521</v>
      </c>
    </row>
    <row r="4" spans="2:8">
      <c r="D4" s="705" t="s">
        <v>331</v>
      </c>
      <c r="E4" s="699">
        <v>0.20830148642088969</v>
      </c>
      <c r="F4" s="700">
        <f t="shared" ref="F4:H7" si="0">SUMIF($C$9:$C$16,$D4,F$9:F$16)</f>
        <v>4165</v>
      </c>
      <c r="G4" s="700">
        <f t="shared" si="0"/>
        <v>2083</v>
      </c>
      <c r="H4" s="706">
        <f t="shared" si="0"/>
        <v>4165000</v>
      </c>
    </row>
    <row r="5" spans="2:8">
      <c r="D5" s="705" t="s">
        <v>332</v>
      </c>
      <c r="E5" s="699">
        <v>0.30101706337143502</v>
      </c>
      <c r="F5" s="700">
        <f t="shared" si="0"/>
        <v>6021</v>
      </c>
      <c r="G5" s="700">
        <f t="shared" si="0"/>
        <v>3010</v>
      </c>
      <c r="H5" s="706">
        <f t="shared" si="0"/>
        <v>6021000</v>
      </c>
    </row>
    <row r="6" spans="2:8">
      <c r="D6" s="705" t="s">
        <v>333</v>
      </c>
      <c r="E6" s="699">
        <v>0.25282142749482817</v>
      </c>
      <c r="F6" s="700">
        <f t="shared" si="0"/>
        <v>5057</v>
      </c>
      <c r="G6" s="700">
        <f t="shared" si="0"/>
        <v>2528</v>
      </c>
      <c r="H6" s="706">
        <f t="shared" si="0"/>
        <v>5057000</v>
      </c>
    </row>
    <row r="7" spans="2:8">
      <c r="D7" s="705" t="s">
        <v>334</v>
      </c>
      <c r="E7" s="699">
        <v>0.23786002271284701</v>
      </c>
      <c r="F7" s="700">
        <f t="shared" si="0"/>
        <v>4757</v>
      </c>
      <c r="G7" s="700">
        <f t="shared" si="0"/>
        <v>2379</v>
      </c>
      <c r="H7" s="706">
        <f t="shared" si="0"/>
        <v>4757000</v>
      </c>
    </row>
    <row r="8" spans="2:8" ht="17.5">
      <c r="D8" s="707" t="s">
        <v>502</v>
      </c>
      <c r="E8" s="701">
        <v>0.99999999999999989</v>
      </c>
      <c r="F8" s="702">
        <v>20000</v>
      </c>
      <c r="G8" s="702">
        <v>10000</v>
      </c>
      <c r="H8" s="708">
        <v>20000000</v>
      </c>
    </row>
    <row r="9" spans="2:8">
      <c r="B9" s="693" t="s">
        <v>331</v>
      </c>
      <c r="C9" s="693" t="s">
        <v>331</v>
      </c>
      <c r="D9" s="705" t="s">
        <v>331</v>
      </c>
      <c r="E9" s="699">
        <v>0.15111931625935016</v>
      </c>
      <c r="F9" s="700">
        <v>3021</v>
      </c>
      <c r="G9" s="700">
        <f t="shared" ref="G9:G17" si="1">ROUND($E9*G$8,)</f>
        <v>1511</v>
      </c>
      <c r="H9" s="706">
        <v>3021000</v>
      </c>
    </row>
    <row r="10" spans="2:8">
      <c r="B10" s="693" t="s">
        <v>331</v>
      </c>
      <c r="C10" s="693" t="s">
        <v>331</v>
      </c>
      <c r="D10" s="705" t="s">
        <v>347</v>
      </c>
      <c r="E10" s="699">
        <v>5.7182170161539543E-2</v>
      </c>
      <c r="F10" s="700">
        <f t="shared" ref="F10:F17" si="2">ROUND($E10*F$8,)</f>
        <v>1144</v>
      </c>
      <c r="G10" s="700">
        <f t="shared" si="1"/>
        <v>572</v>
      </c>
      <c r="H10" s="706">
        <f t="shared" ref="H10:H17" si="3">ROUND(E10*$H$8,-3)</f>
        <v>1144000</v>
      </c>
    </row>
    <row r="11" spans="2:8">
      <c r="B11" s="693" t="s">
        <v>332</v>
      </c>
      <c r="C11" s="693" t="s">
        <v>332</v>
      </c>
      <c r="D11" s="705" t="s">
        <v>349</v>
      </c>
      <c r="E11" s="699">
        <v>0.16283691403911443</v>
      </c>
      <c r="F11" s="700">
        <f t="shared" si="2"/>
        <v>3257</v>
      </c>
      <c r="G11" s="700">
        <f t="shared" si="1"/>
        <v>1628</v>
      </c>
      <c r="H11" s="706">
        <f t="shared" si="3"/>
        <v>3257000</v>
      </c>
    </row>
    <row r="12" spans="2:8">
      <c r="B12" s="693" t="s">
        <v>332</v>
      </c>
      <c r="C12" s="693" t="s">
        <v>332</v>
      </c>
      <c r="D12" s="705" t="s">
        <v>334</v>
      </c>
      <c r="E12" s="699">
        <v>0.13818014933232059</v>
      </c>
      <c r="F12" s="700">
        <f t="shared" si="2"/>
        <v>2764</v>
      </c>
      <c r="G12" s="700">
        <f t="shared" si="1"/>
        <v>1382</v>
      </c>
      <c r="H12" s="706">
        <f t="shared" si="3"/>
        <v>2764000</v>
      </c>
    </row>
    <row r="13" spans="2:8">
      <c r="B13" s="693" t="s">
        <v>333</v>
      </c>
      <c r="C13" s="693" t="s">
        <v>333</v>
      </c>
      <c r="D13" s="705" t="s">
        <v>351</v>
      </c>
      <c r="E13" s="699">
        <v>0.14818090154394958</v>
      </c>
      <c r="F13" s="700">
        <f t="shared" si="2"/>
        <v>2964</v>
      </c>
      <c r="G13" s="700">
        <f t="shared" si="1"/>
        <v>1482</v>
      </c>
      <c r="H13" s="706">
        <f t="shared" si="3"/>
        <v>2964000</v>
      </c>
    </row>
    <row r="14" spans="2:8">
      <c r="B14" s="693" t="s">
        <v>333</v>
      </c>
      <c r="C14" s="693" t="s">
        <v>333</v>
      </c>
      <c r="D14" s="705" t="s">
        <v>352</v>
      </c>
      <c r="E14" s="699">
        <v>0.10464052595087861</v>
      </c>
      <c r="F14" s="700">
        <f t="shared" si="2"/>
        <v>2093</v>
      </c>
      <c r="G14" s="700">
        <f t="shared" si="1"/>
        <v>1046</v>
      </c>
      <c r="H14" s="706">
        <f t="shared" si="3"/>
        <v>2093000</v>
      </c>
    </row>
    <row r="15" spans="2:8">
      <c r="B15" s="693" t="s">
        <v>334</v>
      </c>
      <c r="C15" s="693" t="s">
        <v>334</v>
      </c>
      <c r="D15" s="705" t="s">
        <v>354</v>
      </c>
      <c r="E15" s="699">
        <v>0.12969114528587281</v>
      </c>
      <c r="F15" s="700">
        <f t="shared" si="2"/>
        <v>2594</v>
      </c>
      <c r="G15" s="700">
        <f t="shared" si="1"/>
        <v>1297</v>
      </c>
      <c r="H15" s="706">
        <f t="shared" si="3"/>
        <v>2594000</v>
      </c>
    </row>
    <row r="16" spans="2:8">
      <c r="B16" s="693" t="s">
        <v>334</v>
      </c>
      <c r="C16" s="693" t="s">
        <v>334</v>
      </c>
      <c r="D16" s="705" t="s">
        <v>355</v>
      </c>
      <c r="E16" s="699">
        <v>0.10816887742697419</v>
      </c>
      <c r="F16" s="700">
        <f t="shared" si="2"/>
        <v>2163</v>
      </c>
      <c r="G16" s="700">
        <f t="shared" si="1"/>
        <v>1082</v>
      </c>
      <c r="H16" s="706">
        <f t="shared" si="3"/>
        <v>2163000</v>
      </c>
    </row>
    <row r="17" spans="5:8" ht="1.4" customHeight="1">
      <c r="E17" s="697" t="e">
        <f>#REF!</f>
        <v>#REF!</v>
      </c>
      <c r="F17" s="209" t="e">
        <f t="shared" si="2"/>
        <v>#REF!</v>
      </c>
      <c r="G17" s="209" t="e">
        <f t="shared" si="1"/>
        <v>#REF!</v>
      </c>
      <c r="H17" s="209" t="e">
        <f t="shared" si="3"/>
        <v>#REF!</v>
      </c>
    </row>
    <row r="18" spans="5:8" hidden="1">
      <c r="E18" s="695" t="e">
        <f>E8-#REF!</f>
        <v>#REF!</v>
      </c>
      <c r="F18" s="2" t="e">
        <f>F8-#REF!</f>
        <v>#REF!</v>
      </c>
      <c r="G18" s="2" t="e">
        <f>G8-#REF!</f>
        <v>#REF!</v>
      </c>
      <c r="H18" s="2" t="e">
        <f>H8-#REF!</f>
        <v>#REF!</v>
      </c>
    </row>
  </sheetData>
  <phoneticPr fontId="1" type="noConversion"/>
  <conditionalFormatting sqref="E18:H18">
    <cfRule type="cellIs" dxfId="120" priority="4" operator="equal">
      <formula>0</formula>
    </cfRule>
  </conditionalFormatting>
  <pageMargins left="0.7" right="0.7" top="0.75" bottom="0.75" header="0.3" footer="0.3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40"/>
  <sheetViews>
    <sheetView zoomScaleNormal="100" workbookViewId="0">
      <selection activeCell="A2" sqref="A2"/>
    </sheetView>
  </sheetViews>
  <sheetFormatPr defaultColWidth="9" defaultRowHeight="17"/>
  <cols>
    <col min="1" max="3" width="8.75" style="1" bestFit="1" customWidth="1"/>
    <col min="4" max="4" width="15.33203125" style="793" bestFit="1" customWidth="1"/>
    <col min="5" max="5" width="13.08203125" style="1" bestFit="1" customWidth="1"/>
    <col min="6" max="6" width="14.83203125" style="1" customWidth="1"/>
    <col min="7" max="7" width="9" style="1"/>
    <col min="8" max="8" width="13.08203125" style="1" bestFit="1" customWidth="1"/>
    <col min="9" max="16384" width="9" style="1"/>
  </cols>
  <sheetData>
    <row r="1" spans="1:8">
      <c r="A1" s="770" t="s">
        <v>659</v>
      </c>
      <c r="B1" s="770" t="s">
        <v>660</v>
      </c>
      <c r="C1" s="770" t="s">
        <v>661</v>
      </c>
      <c r="D1" s="792" t="s">
        <v>1207</v>
      </c>
      <c r="E1" s="815" t="s">
        <v>1339</v>
      </c>
      <c r="F1" s="770" t="s">
        <v>1179</v>
      </c>
      <c r="G1" s="770" t="s">
        <v>1180</v>
      </c>
      <c r="H1" s="770" t="s">
        <v>1181</v>
      </c>
    </row>
    <row r="2" spans="1:8">
      <c r="A2" s="816" t="s">
        <v>1431</v>
      </c>
      <c r="B2" s="816" t="s">
        <v>1432</v>
      </c>
      <c r="C2" s="771" t="s">
        <v>1123</v>
      </c>
      <c r="D2" s="818" t="s">
        <v>1458</v>
      </c>
      <c r="E2" s="816" t="s">
        <v>1274</v>
      </c>
      <c r="F2" s="820" t="s">
        <v>650</v>
      </c>
      <c r="G2" s="816" t="s">
        <v>455</v>
      </c>
      <c r="H2" s="820" t="s">
        <v>1155</v>
      </c>
    </row>
    <row r="3" spans="1:8">
      <c r="A3" s="816" t="s">
        <v>1433</v>
      </c>
      <c r="B3" s="816" t="s">
        <v>1434</v>
      </c>
      <c r="C3" s="771" t="s">
        <v>1123</v>
      </c>
      <c r="D3" s="818" t="s">
        <v>1458</v>
      </c>
      <c r="E3" s="816" t="s">
        <v>1274</v>
      </c>
      <c r="F3" s="820" t="s">
        <v>645</v>
      </c>
      <c r="G3" s="816" t="s">
        <v>377</v>
      </c>
      <c r="H3" s="820" t="s">
        <v>1126</v>
      </c>
    </row>
    <row r="4" spans="1:8">
      <c r="A4" s="816" t="s">
        <v>1435</v>
      </c>
      <c r="B4" s="816" t="s">
        <v>1436</v>
      </c>
      <c r="C4" s="771" t="s">
        <v>1123</v>
      </c>
      <c r="D4" s="818" t="s">
        <v>1458</v>
      </c>
      <c r="E4" s="816" t="s">
        <v>1274</v>
      </c>
      <c r="F4" s="820" t="s">
        <v>651</v>
      </c>
      <c r="G4" s="816" t="s">
        <v>423</v>
      </c>
      <c r="H4" s="820" t="s">
        <v>1144</v>
      </c>
    </row>
    <row r="5" spans="1:8">
      <c r="A5" s="816" t="s">
        <v>1437</v>
      </c>
      <c r="B5" s="816" t="s">
        <v>1438</v>
      </c>
      <c r="C5" s="771" t="s">
        <v>1123</v>
      </c>
      <c r="D5" s="818" t="s">
        <v>1458</v>
      </c>
      <c r="E5" s="816" t="s">
        <v>1274</v>
      </c>
      <c r="F5" s="820" t="s">
        <v>645</v>
      </c>
      <c r="G5" s="816" t="s">
        <v>370</v>
      </c>
      <c r="H5" s="820" t="s">
        <v>689</v>
      </c>
    </row>
    <row r="6" spans="1:8">
      <c r="A6" s="816" t="s">
        <v>1404</v>
      </c>
      <c r="B6" s="816" t="s">
        <v>1405</v>
      </c>
      <c r="C6" s="771" t="s">
        <v>1123</v>
      </c>
      <c r="D6" s="818" t="s">
        <v>1458</v>
      </c>
      <c r="E6" s="816" t="s">
        <v>1274</v>
      </c>
      <c r="F6" s="820" t="s">
        <v>650</v>
      </c>
      <c r="G6" s="816" t="s">
        <v>463</v>
      </c>
      <c r="H6" s="820" t="s">
        <v>690</v>
      </c>
    </row>
    <row r="7" spans="1:8">
      <c r="A7" s="816" t="s">
        <v>1402</v>
      </c>
      <c r="B7" s="816" t="s">
        <v>1403</v>
      </c>
      <c r="C7" s="771" t="s">
        <v>1123</v>
      </c>
      <c r="D7" s="818" t="s">
        <v>1458</v>
      </c>
      <c r="E7" s="816" t="s">
        <v>1274</v>
      </c>
      <c r="F7" s="820" t="s">
        <v>650</v>
      </c>
      <c r="G7" s="816" t="s">
        <v>463</v>
      </c>
      <c r="H7" s="820" t="s">
        <v>690</v>
      </c>
    </row>
    <row r="8" spans="1:8">
      <c r="A8" s="816" t="s">
        <v>1376</v>
      </c>
      <c r="B8" s="816" t="s">
        <v>1377</v>
      </c>
      <c r="C8" s="771" t="s">
        <v>1123</v>
      </c>
      <c r="D8" s="818" t="s">
        <v>1458</v>
      </c>
      <c r="E8" s="816" t="s">
        <v>1274</v>
      </c>
      <c r="F8" s="820" t="s">
        <v>650</v>
      </c>
      <c r="G8" s="816" t="s">
        <v>463</v>
      </c>
      <c r="H8" s="820" t="s">
        <v>690</v>
      </c>
    </row>
    <row r="9" spans="1:8">
      <c r="A9" s="816" t="s">
        <v>1374</v>
      </c>
      <c r="B9" s="816" t="s">
        <v>1375</v>
      </c>
      <c r="C9" s="771" t="s">
        <v>1123</v>
      </c>
      <c r="D9" s="818" t="s">
        <v>1458</v>
      </c>
      <c r="E9" s="816" t="s">
        <v>1274</v>
      </c>
      <c r="F9" s="820" t="s">
        <v>650</v>
      </c>
      <c r="G9" s="816" t="s">
        <v>457</v>
      </c>
      <c r="H9" s="820" t="s">
        <v>1156</v>
      </c>
    </row>
    <row r="10" spans="1:8">
      <c r="A10" s="816" t="s">
        <v>1439</v>
      </c>
      <c r="B10" s="816" t="s">
        <v>1440</v>
      </c>
      <c r="C10" s="771" t="s">
        <v>1123</v>
      </c>
      <c r="D10" s="818" t="s">
        <v>1459</v>
      </c>
      <c r="E10" s="816" t="s">
        <v>1279</v>
      </c>
      <c r="F10" s="820" t="s">
        <v>651</v>
      </c>
      <c r="G10" s="816" t="s">
        <v>423</v>
      </c>
      <c r="H10" s="820" t="s">
        <v>1144</v>
      </c>
    </row>
    <row r="11" spans="1:8">
      <c r="A11" s="816" t="s">
        <v>1441</v>
      </c>
      <c r="B11" s="816" t="s">
        <v>1442</v>
      </c>
      <c r="C11" s="771" t="s">
        <v>1123</v>
      </c>
      <c r="D11" s="818" t="s">
        <v>1459</v>
      </c>
      <c r="E11" s="816" t="s">
        <v>1279</v>
      </c>
      <c r="F11" s="820" t="s">
        <v>1252</v>
      </c>
      <c r="G11" s="816" t="s">
        <v>405</v>
      </c>
      <c r="H11" s="820" t="s">
        <v>1149</v>
      </c>
    </row>
    <row r="12" spans="1:8">
      <c r="A12" s="816" t="s">
        <v>1443</v>
      </c>
      <c r="B12" s="816" t="s">
        <v>1444</v>
      </c>
      <c r="C12" s="771" t="s">
        <v>1123</v>
      </c>
      <c r="D12" s="818" t="s">
        <v>1459</v>
      </c>
      <c r="E12" s="816" t="s">
        <v>1279</v>
      </c>
      <c r="F12" s="820" t="s">
        <v>650</v>
      </c>
      <c r="G12" s="816" t="s">
        <v>461</v>
      </c>
      <c r="H12" s="820" t="s">
        <v>1158</v>
      </c>
    </row>
    <row r="13" spans="1:8">
      <c r="A13" s="816" t="s">
        <v>1445</v>
      </c>
      <c r="B13" s="816" t="s">
        <v>1446</v>
      </c>
      <c r="C13" s="771" t="s">
        <v>1123</v>
      </c>
      <c r="D13" s="818" t="s">
        <v>1459</v>
      </c>
      <c r="E13" s="816" t="s">
        <v>1279</v>
      </c>
      <c r="F13" s="820" t="s">
        <v>1337</v>
      </c>
      <c r="G13" s="816" t="s">
        <v>383</v>
      </c>
      <c r="H13" s="820" t="s">
        <v>1129</v>
      </c>
    </row>
    <row r="14" spans="1:8">
      <c r="A14" s="816" t="s">
        <v>1447</v>
      </c>
      <c r="B14" s="816" t="s">
        <v>1448</v>
      </c>
      <c r="C14" s="771"/>
      <c r="D14" s="818" t="s">
        <v>1459</v>
      </c>
      <c r="E14" s="816" t="s">
        <v>1279</v>
      </c>
      <c r="F14" s="820" t="s">
        <v>1252</v>
      </c>
      <c r="G14" s="816" t="s">
        <v>415</v>
      </c>
      <c r="H14" s="820" t="s">
        <v>1152</v>
      </c>
    </row>
    <row r="15" spans="1:8">
      <c r="A15" s="816" t="s">
        <v>1449</v>
      </c>
      <c r="B15" s="816" t="s">
        <v>1450</v>
      </c>
      <c r="C15" s="771"/>
      <c r="D15" s="818" t="s">
        <v>1459</v>
      </c>
      <c r="E15" s="816" t="s">
        <v>1279</v>
      </c>
      <c r="F15" s="820" t="s">
        <v>1253</v>
      </c>
      <c r="G15" s="816" t="s">
        <v>399</v>
      </c>
      <c r="H15" s="820" t="s">
        <v>1135</v>
      </c>
    </row>
    <row r="16" spans="1:8">
      <c r="A16" s="816" t="s">
        <v>1451</v>
      </c>
      <c r="B16" s="816" t="s">
        <v>1452</v>
      </c>
      <c r="C16" s="771"/>
      <c r="D16" s="818" t="s">
        <v>1459</v>
      </c>
      <c r="E16" s="816" t="s">
        <v>1279</v>
      </c>
      <c r="F16" s="820" t="s">
        <v>650</v>
      </c>
      <c r="G16" s="816" t="s">
        <v>463</v>
      </c>
      <c r="H16" s="820" t="s">
        <v>690</v>
      </c>
    </row>
    <row r="17" spans="1:8">
      <c r="A17" s="816" t="s">
        <v>1425</v>
      </c>
      <c r="B17" s="816" t="s">
        <v>1426</v>
      </c>
      <c r="C17" s="771"/>
      <c r="D17" s="818" t="s">
        <v>1459</v>
      </c>
      <c r="E17" s="816" t="s">
        <v>1279</v>
      </c>
      <c r="F17" s="820" t="s">
        <v>645</v>
      </c>
      <c r="G17" s="816" t="s">
        <v>381</v>
      </c>
      <c r="H17" s="820" t="s">
        <v>1128</v>
      </c>
    </row>
    <row r="18" spans="1:8">
      <c r="A18" s="816" t="s">
        <v>1421</v>
      </c>
      <c r="B18" s="816" t="s">
        <v>1422</v>
      </c>
      <c r="C18" s="771"/>
      <c r="D18" s="818" t="s">
        <v>1459</v>
      </c>
      <c r="E18" s="816" t="s">
        <v>1279</v>
      </c>
      <c r="F18" s="820" t="s">
        <v>645</v>
      </c>
      <c r="G18" s="816" t="s">
        <v>379</v>
      </c>
      <c r="H18" s="820" t="s">
        <v>1127</v>
      </c>
    </row>
    <row r="19" spans="1:8">
      <c r="A19" s="816" t="s">
        <v>1423</v>
      </c>
      <c r="B19" s="816" t="s">
        <v>1424</v>
      </c>
      <c r="C19" s="771"/>
      <c r="D19" s="818" t="s">
        <v>1459</v>
      </c>
      <c r="E19" s="816" t="s">
        <v>1279</v>
      </c>
      <c r="F19" s="820" t="s">
        <v>649</v>
      </c>
      <c r="G19" s="816" t="s">
        <v>473</v>
      </c>
      <c r="H19" s="820" t="s">
        <v>1160</v>
      </c>
    </row>
    <row r="20" spans="1:8">
      <c r="A20" s="816" t="s">
        <v>1419</v>
      </c>
      <c r="B20" s="816" t="s">
        <v>1420</v>
      </c>
      <c r="C20" s="771"/>
      <c r="D20" s="818" t="s">
        <v>1459</v>
      </c>
      <c r="E20" s="816" t="s">
        <v>1279</v>
      </c>
      <c r="F20" s="820" t="s">
        <v>651</v>
      </c>
      <c r="G20" s="816" t="s">
        <v>435</v>
      </c>
      <c r="H20" s="820" t="s">
        <v>1147</v>
      </c>
    </row>
    <row r="21" spans="1:8">
      <c r="A21" s="816" t="s">
        <v>1415</v>
      </c>
      <c r="B21" s="816" t="s">
        <v>1416</v>
      </c>
      <c r="C21" s="771"/>
      <c r="D21" s="818" t="s">
        <v>1459</v>
      </c>
      <c r="E21" s="816" t="s">
        <v>1279</v>
      </c>
      <c r="F21" s="820" t="s">
        <v>651</v>
      </c>
      <c r="G21" s="816" t="s">
        <v>438</v>
      </c>
      <c r="H21" s="820" t="s">
        <v>1148</v>
      </c>
    </row>
    <row r="22" spans="1:8">
      <c r="A22" s="816" t="s">
        <v>1417</v>
      </c>
      <c r="B22" s="816" t="s">
        <v>1418</v>
      </c>
      <c r="C22" s="771"/>
      <c r="D22" s="818" t="s">
        <v>1459</v>
      </c>
      <c r="E22" s="816" t="s">
        <v>1279</v>
      </c>
      <c r="F22" s="820" t="s">
        <v>651</v>
      </c>
      <c r="G22" s="816" t="s">
        <v>438</v>
      </c>
      <c r="H22" s="820" t="s">
        <v>1148</v>
      </c>
    </row>
    <row r="23" spans="1:8">
      <c r="A23" s="816" t="s">
        <v>1412</v>
      </c>
      <c r="B23" s="816" t="s">
        <v>992</v>
      </c>
      <c r="C23" s="771"/>
      <c r="D23" s="818" t="s">
        <v>1459</v>
      </c>
      <c r="E23" s="816" t="s">
        <v>1279</v>
      </c>
      <c r="F23" s="820" t="s">
        <v>1253</v>
      </c>
      <c r="G23" s="816" t="s">
        <v>403</v>
      </c>
      <c r="H23" s="820" t="s">
        <v>1137</v>
      </c>
    </row>
    <row r="24" spans="1:8">
      <c r="A24" s="816" t="s">
        <v>1413</v>
      </c>
      <c r="B24" s="816" t="s">
        <v>1414</v>
      </c>
      <c r="C24" s="771"/>
      <c r="D24" s="818" t="s">
        <v>1459</v>
      </c>
      <c r="E24" s="816" t="s">
        <v>1279</v>
      </c>
      <c r="F24" s="820" t="s">
        <v>1253</v>
      </c>
      <c r="G24" s="816" t="s">
        <v>401</v>
      </c>
      <c r="H24" s="820" t="s">
        <v>1136</v>
      </c>
    </row>
    <row r="25" spans="1:8">
      <c r="A25" s="816" t="s">
        <v>1406</v>
      </c>
      <c r="B25" s="816" t="s">
        <v>1407</v>
      </c>
      <c r="C25" s="771"/>
      <c r="D25" s="818" t="s">
        <v>1459</v>
      </c>
      <c r="E25" s="816" t="s">
        <v>1279</v>
      </c>
      <c r="F25" s="820" t="s">
        <v>1252</v>
      </c>
      <c r="G25" s="816" t="s">
        <v>419</v>
      </c>
      <c r="H25" s="820" t="s">
        <v>1154</v>
      </c>
    </row>
    <row r="26" spans="1:8">
      <c r="A26" s="816" t="s">
        <v>1408</v>
      </c>
      <c r="B26" s="816" t="s">
        <v>1409</v>
      </c>
      <c r="C26" s="771"/>
      <c r="D26" s="818" t="s">
        <v>1459</v>
      </c>
      <c r="E26" s="816" t="s">
        <v>1279</v>
      </c>
      <c r="F26" s="820" t="s">
        <v>1252</v>
      </c>
      <c r="G26" s="816" t="s">
        <v>405</v>
      </c>
      <c r="H26" s="820" t="s">
        <v>1149</v>
      </c>
    </row>
    <row r="27" spans="1:8">
      <c r="A27" s="816" t="s">
        <v>1410</v>
      </c>
      <c r="B27" s="816" t="s">
        <v>1411</v>
      </c>
      <c r="C27" s="771"/>
      <c r="D27" s="818" t="s">
        <v>1459</v>
      </c>
      <c r="E27" s="816" t="s">
        <v>1279</v>
      </c>
      <c r="F27" s="820" t="s">
        <v>1252</v>
      </c>
      <c r="G27" s="816" t="s">
        <v>415</v>
      </c>
      <c r="H27" s="820" t="s">
        <v>1152</v>
      </c>
    </row>
    <row r="28" spans="1:8">
      <c r="A28" s="816" t="s">
        <v>1398</v>
      </c>
      <c r="B28" s="816" t="s">
        <v>1399</v>
      </c>
      <c r="C28" s="771"/>
      <c r="D28" s="818" t="s">
        <v>1459</v>
      </c>
      <c r="E28" s="816" t="s">
        <v>1279</v>
      </c>
      <c r="F28" s="820" t="s">
        <v>645</v>
      </c>
      <c r="G28" s="816" t="s">
        <v>366</v>
      </c>
      <c r="H28" s="820" t="s">
        <v>1124</v>
      </c>
    </row>
    <row r="29" spans="1:8">
      <c r="A29" s="816" t="s">
        <v>1396</v>
      </c>
      <c r="B29" s="816" t="s">
        <v>1397</v>
      </c>
      <c r="C29" s="771"/>
      <c r="D29" s="818" t="s">
        <v>1459</v>
      </c>
      <c r="E29" s="816" t="s">
        <v>1279</v>
      </c>
      <c r="F29" s="820" t="s">
        <v>651</v>
      </c>
      <c r="G29" s="816" t="s">
        <v>421</v>
      </c>
      <c r="H29" s="820" t="s">
        <v>1143</v>
      </c>
    </row>
    <row r="30" spans="1:8">
      <c r="A30" s="816" t="s">
        <v>1378</v>
      </c>
      <c r="B30" s="816" t="s">
        <v>1379</v>
      </c>
      <c r="C30" s="771"/>
      <c r="D30" s="818" t="s">
        <v>1459</v>
      </c>
      <c r="E30" s="816" t="s">
        <v>1279</v>
      </c>
      <c r="F30" s="820" t="s">
        <v>651</v>
      </c>
      <c r="G30" s="816" t="s">
        <v>425</v>
      </c>
      <c r="H30" s="820" t="s">
        <v>1145</v>
      </c>
    </row>
    <row r="31" spans="1:8">
      <c r="A31" s="816" t="s">
        <v>1392</v>
      </c>
      <c r="B31" s="816" t="s">
        <v>1393</v>
      </c>
      <c r="C31" s="771"/>
      <c r="D31" s="818" t="s">
        <v>1458</v>
      </c>
      <c r="E31" s="816" t="s">
        <v>1279</v>
      </c>
      <c r="F31" s="820" t="s">
        <v>1252</v>
      </c>
      <c r="G31" s="816" t="s">
        <v>405</v>
      </c>
      <c r="H31" s="820" t="s">
        <v>1149</v>
      </c>
    </row>
    <row r="32" spans="1:8">
      <c r="A32" s="816" t="s">
        <v>1394</v>
      </c>
      <c r="B32" s="816" t="s">
        <v>1395</v>
      </c>
      <c r="C32" s="771"/>
      <c r="D32" s="818" t="s">
        <v>1459</v>
      </c>
      <c r="E32" s="816" t="s">
        <v>1279</v>
      </c>
      <c r="F32" s="820" t="s">
        <v>650</v>
      </c>
      <c r="G32" s="816" t="s">
        <v>455</v>
      </c>
      <c r="H32" s="820" t="s">
        <v>1155</v>
      </c>
    </row>
    <row r="33" spans="1:8">
      <c r="A33" s="816" t="s">
        <v>1390</v>
      </c>
      <c r="B33" s="816" t="s">
        <v>1391</v>
      </c>
      <c r="C33" s="771"/>
      <c r="D33" s="818" t="s">
        <v>1459</v>
      </c>
      <c r="E33" s="816" t="s">
        <v>1279</v>
      </c>
      <c r="F33" s="820" t="s">
        <v>650</v>
      </c>
      <c r="G33" s="816" t="s">
        <v>459</v>
      </c>
      <c r="H33" s="820" t="s">
        <v>1157</v>
      </c>
    </row>
    <row r="34" spans="1:8">
      <c r="A34" s="816" t="s">
        <v>1388</v>
      </c>
      <c r="B34" s="816" t="s">
        <v>1389</v>
      </c>
      <c r="C34" s="771"/>
      <c r="D34" s="818" t="s">
        <v>1459</v>
      </c>
      <c r="E34" s="816" t="s">
        <v>1279</v>
      </c>
      <c r="F34" s="820" t="s">
        <v>652</v>
      </c>
      <c r="G34" s="816" t="s">
        <v>450</v>
      </c>
      <c r="H34" s="820" t="s">
        <v>1142</v>
      </c>
    </row>
    <row r="35" spans="1:8">
      <c r="A35" s="816" t="s">
        <v>1380</v>
      </c>
      <c r="B35" s="816" t="s">
        <v>1381</v>
      </c>
      <c r="C35" s="771"/>
      <c r="D35" s="818" t="s">
        <v>1459</v>
      </c>
      <c r="E35" s="816" t="s">
        <v>1279</v>
      </c>
      <c r="F35" s="820" t="s">
        <v>1253</v>
      </c>
      <c r="G35" s="816" t="s">
        <v>397</v>
      </c>
      <c r="H35" s="820" t="s">
        <v>1133</v>
      </c>
    </row>
    <row r="36" spans="1:8">
      <c r="A36" s="816" t="s">
        <v>1382</v>
      </c>
      <c r="B36" s="816" t="s">
        <v>1383</v>
      </c>
      <c r="C36" s="771"/>
      <c r="D36" s="818" t="s">
        <v>1459</v>
      </c>
      <c r="E36" s="816" t="s">
        <v>1279</v>
      </c>
      <c r="F36" s="820" t="s">
        <v>1253</v>
      </c>
      <c r="G36" s="816" t="s">
        <v>403</v>
      </c>
      <c r="H36" s="820" t="s">
        <v>1137</v>
      </c>
    </row>
    <row r="37" spans="1:8">
      <c r="A37" s="816" t="s">
        <v>1384</v>
      </c>
      <c r="B37" s="816" t="s">
        <v>1385</v>
      </c>
      <c r="C37" s="771"/>
      <c r="D37" s="818" t="s">
        <v>1459</v>
      </c>
      <c r="E37" s="816" t="s">
        <v>1279</v>
      </c>
      <c r="F37" s="820" t="s">
        <v>1253</v>
      </c>
      <c r="G37" s="816" t="s">
        <v>403</v>
      </c>
      <c r="H37" s="820" t="s">
        <v>1137</v>
      </c>
    </row>
    <row r="38" spans="1:8">
      <c r="A38" s="816" t="s">
        <v>1386</v>
      </c>
      <c r="B38" s="816" t="s">
        <v>1387</v>
      </c>
      <c r="C38" s="771"/>
      <c r="D38" s="818" t="s">
        <v>1459</v>
      </c>
      <c r="E38" s="816" t="s">
        <v>1279</v>
      </c>
      <c r="F38" s="820" t="s">
        <v>1253</v>
      </c>
      <c r="G38" s="816" t="s">
        <v>401</v>
      </c>
      <c r="H38" s="820" t="s">
        <v>1136</v>
      </c>
    </row>
    <row r="39" spans="1:8">
      <c r="A39" s="816" t="s">
        <v>1368</v>
      </c>
      <c r="B39" s="816" t="s">
        <v>1369</v>
      </c>
      <c r="C39" s="771"/>
      <c r="D39" s="818" t="s">
        <v>1459</v>
      </c>
      <c r="E39" s="816" t="s">
        <v>1279</v>
      </c>
      <c r="F39" s="820" t="s">
        <v>651</v>
      </c>
      <c r="G39" s="816" t="s">
        <v>429</v>
      </c>
      <c r="H39" s="820" t="s">
        <v>1146</v>
      </c>
    </row>
    <row r="40" spans="1:8">
      <c r="A40" s="816" t="s">
        <v>1370</v>
      </c>
      <c r="B40" s="816" t="s">
        <v>1371</v>
      </c>
      <c r="C40" s="771"/>
      <c r="D40" s="818" t="s">
        <v>1459</v>
      </c>
      <c r="E40" s="816" t="s">
        <v>1279</v>
      </c>
      <c r="F40" s="820" t="s">
        <v>1337</v>
      </c>
      <c r="G40" s="816" t="s">
        <v>385</v>
      </c>
      <c r="H40" s="820" t="s">
        <v>1130</v>
      </c>
    </row>
    <row r="41" spans="1:8">
      <c r="A41" s="816" t="s">
        <v>1366</v>
      </c>
      <c r="B41" s="816" t="s">
        <v>1367</v>
      </c>
      <c r="C41" s="771"/>
      <c r="D41" s="818" t="s">
        <v>1459</v>
      </c>
      <c r="E41" s="816" t="s">
        <v>1279</v>
      </c>
      <c r="F41" s="820" t="s">
        <v>1337</v>
      </c>
      <c r="G41" s="816" t="s">
        <v>387</v>
      </c>
      <c r="H41" s="820" t="s">
        <v>1131</v>
      </c>
    </row>
    <row r="42" spans="1:8">
      <c r="A42" s="816" t="s">
        <v>1109</v>
      </c>
      <c r="B42" s="816" t="s">
        <v>1110</v>
      </c>
      <c r="C42" s="771"/>
      <c r="D42" s="818" t="s">
        <v>1460</v>
      </c>
      <c r="E42" s="816" t="s">
        <v>1274</v>
      </c>
      <c r="F42" s="820" t="s">
        <v>649</v>
      </c>
      <c r="G42" s="816" t="s">
        <v>477</v>
      </c>
      <c r="H42" s="820" t="s">
        <v>1161</v>
      </c>
    </row>
    <row r="43" spans="1:8">
      <c r="A43" s="816" t="s">
        <v>1029</v>
      </c>
      <c r="B43" s="816" t="s">
        <v>1030</v>
      </c>
      <c r="C43" s="771"/>
      <c r="D43" s="818" t="s">
        <v>1460</v>
      </c>
      <c r="E43" s="816" t="s">
        <v>1274</v>
      </c>
      <c r="F43" s="820" t="s">
        <v>1252</v>
      </c>
      <c r="G43" s="816" t="s">
        <v>419</v>
      </c>
      <c r="H43" s="820" t="s">
        <v>1154</v>
      </c>
    </row>
    <row r="44" spans="1:8">
      <c r="A44" s="816" t="s">
        <v>774</v>
      </c>
      <c r="B44" s="816" t="s">
        <v>775</v>
      </c>
      <c r="C44" s="771"/>
      <c r="D44" s="818" t="s">
        <v>1460</v>
      </c>
      <c r="E44" s="816" t="s">
        <v>1274</v>
      </c>
      <c r="F44" s="820" t="s">
        <v>1337</v>
      </c>
      <c r="G44" s="816" t="s">
        <v>385</v>
      </c>
      <c r="H44" s="820" t="s">
        <v>1130</v>
      </c>
    </row>
    <row r="45" spans="1:8">
      <c r="A45" s="816" t="s">
        <v>1111</v>
      </c>
      <c r="B45" s="816" t="s">
        <v>1112</v>
      </c>
      <c r="C45" s="771"/>
      <c r="D45" s="818" t="s">
        <v>1460</v>
      </c>
      <c r="E45" s="816" t="s">
        <v>1274</v>
      </c>
      <c r="F45" s="820" t="s">
        <v>649</v>
      </c>
      <c r="G45" s="816" t="s">
        <v>480</v>
      </c>
      <c r="H45" s="820" t="s">
        <v>1162</v>
      </c>
    </row>
    <row r="46" spans="1:8">
      <c r="A46" s="816" t="s">
        <v>1300</v>
      </c>
      <c r="B46" s="816" t="s">
        <v>1301</v>
      </c>
      <c r="C46" s="771"/>
      <c r="D46" s="818" t="s">
        <v>1460</v>
      </c>
      <c r="E46" s="816" t="s">
        <v>1274</v>
      </c>
      <c r="F46" s="820" t="s">
        <v>1337</v>
      </c>
      <c r="G46" s="816" t="s">
        <v>383</v>
      </c>
      <c r="H46" s="820" t="s">
        <v>1129</v>
      </c>
    </row>
    <row r="47" spans="1:8">
      <c r="A47" s="816" t="s">
        <v>939</v>
      </c>
      <c r="B47" s="816" t="s">
        <v>940</v>
      </c>
      <c r="C47" s="771"/>
      <c r="D47" s="818" t="s">
        <v>1460</v>
      </c>
      <c r="E47" s="816" t="s">
        <v>1274</v>
      </c>
      <c r="F47" s="820" t="s">
        <v>651</v>
      </c>
      <c r="G47" s="816" t="s">
        <v>425</v>
      </c>
      <c r="H47" s="820" t="s">
        <v>1145</v>
      </c>
    </row>
    <row r="48" spans="1:8">
      <c r="A48" s="816" t="s">
        <v>1427</v>
      </c>
      <c r="B48" s="816" t="s">
        <v>1428</v>
      </c>
      <c r="C48" s="771"/>
      <c r="D48" s="818" t="s">
        <v>1460</v>
      </c>
      <c r="E48" s="816" t="s">
        <v>1274</v>
      </c>
      <c r="F48" s="820" t="s">
        <v>1252</v>
      </c>
      <c r="G48" s="816" t="s">
        <v>413</v>
      </c>
      <c r="H48" s="820" t="s">
        <v>1151</v>
      </c>
    </row>
    <row r="49" spans="1:8">
      <c r="A49" s="816" t="s">
        <v>812</v>
      </c>
      <c r="B49" s="816" t="s">
        <v>813</v>
      </c>
      <c r="C49" s="771"/>
      <c r="D49" s="818" t="s">
        <v>1460</v>
      </c>
      <c r="E49" s="816" t="s">
        <v>1274</v>
      </c>
      <c r="F49" s="820" t="s">
        <v>1253</v>
      </c>
      <c r="G49" s="816" t="s">
        <v>399</v>
      </c>
      <c r="H49" s="820" t="s">
        <v>1135</v>
      </c>
    </row>
    <row r="50" spans="1:8">
      <c r="A50" s="816" t="s">
        <v>1049</v>
      </c>
      <c r="B50" s="816" t="s">
        <v>1050</v>
      </c>
      <c r="C50" s="771"/>
      <c r="D50" s="818" t="s">
        <v>1460</v>
      </c>
      <c r="E50" s="816" t="s">
        <v>1274</v>
      </c>
      <c r="F50" s="820" t="s">
        <v>650</v>
      </c>
      <c r="G50" s="816" t="s">
        <v>457</v>
      </c>
      <c r="H50" s="820" t="s">
        <v>1156</v>
      </c>
    </row>
    <row r="51" spans="1:8">
      <c r="A51" s="816" t="s">
        <v>798</v>
      </c>
      <c r="B51" s="816" t="s">
        <v>799</v>
      </c>
      <c r="C51" s="771"/>
      <c r="D51" s="818" t="s">
        <v>1460</v>
      </c>
      <c r="E51" s="816" t="s">
        <v>1274</v>
      </c>
      <c r="F51" s="820" t="s">
        <v>1253</v>
      </c>
      <c r="G51" s="816" t="s">
        <v>392</v>
      </c>
      <c r="H51" s="820" t="s">
        <v>1134</v>
      </c>
    </row>
    <row r="52" spans="1:8">
      <c r="A52" s="816" t="s">
        <v>694</v>
      </c>
      <c r="B52" s="816" t="s">
        <v>695</v>
      </c>
      <c r="C52" s="771"/>
      <c r="D52" s="818" t="s">
        <v>1460</v>
      </c>
      <c r="E52" s="816" t="s">
        <v>1274</v>
      </c>
      <c r="F52" s="820" t="s">
        <v>645</v>
      </c>
      <c r="G52" s="816" t="s">
        <v>366</v>
      </c>
      <c r="H52" s="820" t="s">
        <v>1124</v>
      </c>
    </row>
    <row r="53" spans="1:8">
      <c r="A53" s="816" t="s">
        <v>1067</v>
      </c>
      <c r="B53" s="816" t="s">
        <v>1068</v>
      </c>
      <c r="C53" s="771"/>
      <c r="D53" s="818" t="s">
        <v>1460</v>
      </c>
      <c r="E53" s="816" t="s">
        <v>1274</v>
      </c>
      <c r="F53" s="820" t="s">
        <v>650</v>
      </c>
      <c r="G53" s="816" t="s">
        <v>461</v>
      </c>
      <c r="H53" s="820" t="s">
        <v>1158</v>
      </c>
    </row>
    <row r="54" spans="1:8">
      <c r="A54" s="816" t="s">
        <v>1005</v>
      </c>
      <c r="B54" s="816" t="s">
        <v>1006</v>
      </c>
      <c r="C54" s="771"/>
      <c r="D54" s="818" t="s">
        <v>1460</v>
      </c>
      <c r="E54" s="816" t="s">
        <v>1274</v>
      </c>
      <c r="F54" s="820" t="s">
        <v>1252</v>
      </c>
      <c r="G54" s="816" t="s">
        <v>415</v>
      </c>
      <c r="H54" s="820" t="s">
        <v>1152</v>
      </c>
    </row>
    <row r="55" spans="1:8">
      <c r="A55" s="816" t="s">
        <v>853</v>
      </c>
      <c r="B55" s="816" t="s">
        <v>854</v>
      </c>
      <c r="C55" s="771"/>
      <c r="D55" s="818" t="s">
        <v>1460</v>
      </c>
      <c r="E55" s="816" t="s">
        <v>1274</v>
      </c>
      <c r="F55" s="820" t="s">
        <v>652</v>
      </c>
      <c r="G55" s="816" t="s">
        <v>444</v>
      </c>
      <c r="H55" s="820" t="s">
        <v>1139</v>
      </c>
    </row>
    <row r="56" spans="1:8">
      <c r="A56" s="816" t="s">
        <v>1039</v>
      </c>
      <c r="B56" s="816" t="s">
        <v>1040</v>
      </c>
      <c r="C56" s="771"/>
      <c r="D56" s="818" t="s">
        <v>1460</v>
      </c>
      <c r="E56" s="816" t="s">
        <v>1274</v>
      </c>
      <c r="F56" s="820" t="s">
        <v>650</v>
      </c>
      <c r="G56" s="816" t="s">
        <v>455</v>
      </c>
      <c r="H56" s="820" t="s">
        <v>1155</v>
      </c>
    </row>
    <row r="57" spans="1:8">
      <c r="A57" s="816" t="s">
        <v>1019</v>
      </c>
      <c r="B57" s="816" t="s">
        <v>1020</v>
      </c>
      <c r="C57" s="771"/>
      <c r="D57" s="818" t="s">
        <v>1460</v>
      </c>
      <c r="E57" s="816" t="s">
        <v>1274</v>
      </c>
      <c r="F57" s="820" t="s">
        <v>1252</v>
      </c>
      <c r="G57" s="816" t="s">
        <v>407</v>
      </c>
      <c r="H57" s="820" t="s">
        <v>1150</v>
      </c>
    </row>
    <row r="58" spans="1:8">
      <c r="A58" s="816" t="s">
        <v>776</v>
      </c>
      <c r="B58" s="816" t="s">
        <v>777</v>
      </c>
      <c r="C58" s="771"/>
      <c r="D58" s="818" t="s">
        <v>1460</v>
      </c>
      <c r="E58" s="816" t="s">
        <v>1274</v>
      </c>
      <c r="F58" s="820" t="s">
        <v>1337</v>
      </c>
      <c r="G58" s="816" t="s">
        <v>387</v>
      </c>
      <c r="H58" s="820" t="s">
        <v>1131</v>
      </c>
    </row>
    <row r="59" spans="1:8">
      <c r="A59" s="816" t="s">
        <v>899</v>
      </c>
      <c r="B59" s="816" t="s">
        <v>900</v>
      </c>
      <c r="C59" s="771"/>
      <c r="D59" s="818" t="s">
        <v>1460</v>
      </c>
      <c r="E59" s="816" t="s">
        <v>1274</v>
      </c>
      <c r="F59" s="820" t="s">
        <v>652</v>
      </c>
      <c r="G59" s="816" t="s">
        <v>450</v>
      </c>
      <c r="H59" s="820" t="s">
        <v>1142</v>
      </c>
    </row>
    <row r="60" spans="1:8">
      <c r="A60" s="816" t="s">
        <v>921</v>
      </c>
      <c r="B60" s="816" t="s">
        <v>922</v>
      </c>
      <c r="C60" s="771"/>
      <c r="D60" s="818" t="s">
        <v>1460</v>
      </c>
      <c r="E60" s="816" t="s">
        <v>1274</v>
      </c>
      <c r="F60" s="820" t="s">
        <v>651</v>
      </c>
      <c r="G60" s="816" t="s">
        <v>423</v>
      </c>
      <c r="H60" s="820" t="s">
        <v>1144</v>
      </c>
    </row>
    <row r="61" spans="1:8">
      <c r="A61" s="816" t="s">
        <v>1086</v>
      </c>
      <c r="B61" s="816" t="s">
        <v>1087</v>
      </c>
      <c r="C61" s="771"/>
      <c r="D61" s="818" t="s">
        <v>1460</v>
      </c>
      <c r="E61" s="816" t="s">
        <v>1274</v>
      </c>
      <c r="F61" s="820" t="s">
        <v>649</v>
      </c>
      <c r="G61" s="816" t="s">
        <v>471</v>
      </c>
      <c r="H61" s="820" t="s">
        <v>692</v>
      </c>
    </row>
    <row r="62" spans="1:8">
      <c r="A62" s="816" t="s">
        <v>867</v>
      </c>
      <c r="B62" s="816" t="s">
        <v>868</v>
      </c>
      <c r="C62" s="771"/>
      <c r="D62" s="818" t="s">
        <v>1460</v>
      </c>
      <c r="E62" s="816" t="s">
        <v>1274</v>
      </c>
      <c r="F62" s="820" t="s">
        <v>652</v>
      </c>
      <c r="G62" s="816" t="s">
        <v>442</v>
      </c>
      <c r="H62" s="820" t="s">
        <v>1140</v>
      </c>
    </row>
    <row r="63" spans="1:8">
      <c r="A63" s="816" t="s">
        <v>841</v>
      </c>
      <c r="B63" s="816" t="s">
        <v>842</v>
      </c>
      <c r="C63" s="771"/>
      <c r="D63" s="818" t="s">
        <v>1460</v>
      </c>
      <c r="E63" s="816" t="s">
        <v>1274</v>
      </c>
      <c r="F63" s="820" t="s">
        <v>652</v>
      </c>
      <c r="G63" s="816" t="s">
        <v>440</v>
      </c>
      <c r="H63" s="820" t="s">
        <v>1138</v>
      </c>
    </row>
    <row r="64" spans="1:8">
      <c r="A64" s="816" t="s">
        <v>1182</v>
      </c>
      <c r="B64" s="816" t="s">
        <v>1183</v>
      </c>
      <c r="C64" s="771"/>
      <c r="D64" s="818" t="s">
        <v>1460</v>
      </c>
      <c r="E64" s="816" t="s">
        <v>1274</v>
      </c>
      <c r="F64" s="820" t="s">
        <v>1253</v>
      </c>
      <c r="G64" s="816" t="s">
        <v>397</v>
      </c>
      <c r="H64" s="820" t="s">
        <v>1133</v>
      </c>
    </row>
    <row r="65" spans="1:8">
      <c r="A65" s="816" t="s">
        <v>784</v>
      </c>
      <c r="B65" s="816" t="s">
        <v>785</v>
      </c>
      <c r="C65" s="771"/>
      <c r="D65" s="818" t="s">
        <v>1460</v>
      </c>
      <c r="E65" s="816" t="s">
        <v>1274</v>
      </c>
      <c r="F65" s="820" t="s">
        <v>1253</v>
      </c>
      <c r="G65" s="816" t="s">
        <v>389</v>
      </c>
      <c r="H65" s="820" t="s">
        <v>1132</v>
      </c>
    </row>
    <row r="66" spans="1:8">
      <c r="A66" s="816" t="s">
        <v>941</v>
      </c>
      <c r="B66" s="816" t="s">
        <v>942</v>
      </c>
      <c r="C66" s="771"/>
      <c r="D66" s="818" t="s">
        <v>1460</v>
      </c>
      <c r="E66" s="816" t="s">
        <v>1274</v>
      </c>
      <c r="F66" s="820" t="s">
        <v>651</v>
      </c>
      <c r="G66" s="816" t="s">
        <v>429</v>
      </c>
      <c r="H66" s="820" t="s">
        <v>1146</v>
      </c>
    </row>
    <row r="67" spans="1:8">
      <c r="A67" s="816" t="s">
        <v>837</v>
      </c>
      <c r="B67" s="816" t="s">
        <v>838</v>
      </c>
      <c r="C67" s="771"/>
      <c r="D67" s="818" t="s">
        <v>1460</v>
      </c>
      <c r="E67" s="816" t="s">
        <v>1274</v>
      </c>
      <c r="F67" s="820" t="s">
        <v>1253</v>
      </c>
      <c r="G67" s="816" t="s">
        <v>403</v>
      </c>
      <c r="H67" s="820" t="s">
        <v>1137</v>
      </c>
    </row>
    <row r="68" spans="1:8">
      <c r="A68" s="816" t="s">
        <v>722</v>
      </c>
      <c r="B68" s="816" t="s">
        <v>723</v>
      </c>
      <c r="C68" s="771"/>
      <c r="D68" s="818" t="s">
        <v>1460</v>
      </c>
      <c r="E68" s="816" t="s">
        <v>1274</v>
      </c>
      <c r="F68" s="820" t="s">
        <v>645</v>
      </c>
      <c r="G68" s="816" t="s">
        <v>377</v>
      </c>
      <c r="H68" s="820" t="s">
        <v>1126</v>
      </c>
    </row>
    <row r="69" spans="1:8">
      <c r="A69" s="816" t="s">
        <v>724</v>
      </c>
      <c r="B69" s="816" t="s">
        <v>725</v>
      </c>
      <c r="C69" s="771"/>
      <c r="D69" s="818" t="s">
        <v>1460</v>
      </c>
      <c r="E69" s="816" t="s">
        <v>1274</v>
      </c>
      <c r="F69" s="820" t="s">
        <v>645</v>
      </c>
      <c r="G69" s="816" t="s">
        <v>379</v>
      </c>
      <c r="H69" s="820" t="s">
        <v>1127</v>
      </c>
    </row>
    <row r="70" spans="1:8">
      <c r="A70" s="816" t="s">
        <v>816</v>
      </c>
      <c r="B70" s="816" t="s">
        <v>817</v>
      </c>
      <c r="C70" s="771"/>
      <c r="D70" s="818" t="s">
        <v>1460</v>
      </c>
      <c r="E70" s="816" t="s">
        <v>1274</v>
      </c>
      <c r="F70" s="820" t="s">
        <v>1253</v>
      </c>
      <c r="G70" s="816" t="s">
        <v>401</v>
      </c>
      <c r="H70" s="820" t="s">
        <v>1136</v>
      </c>
    </row>
    <row r="71" spans="1:8">
      <c r="A71" s="816" t="s">
        <v>1027</v>
      </c>
      <c r="B71" s="816" t="s">
        <v>1028</v>
      </c>
      <c r="C71" s="771"/>
      <c r="D71" s="818" t="s">
        <v>1460</v>
      </c>
      <c r="E71" s="816" t="s">
        <v>1274</v>
      </c>
      <c r="F71" s="820" t="s">
        <v>1252</v>
      </c>
      <c r="G71" s="816" t="s">
        <v>417</v>
      </c>
      <c r="H71" s="820" t="s">
        <v>1153</v>
      </c>
    </row>
    <row r="72" spans="1:8">
      <c r="A72" s="816" t="s">
        <v>907</v>
      </c>
      <c r="B72" s="816" t="s">
        <v>908</v>
      </c>
      <c r="C72" s="771"/>
      <c r="D72" s="818" t="s">
        <v>1460</v>
      </c>
      <c r="E72" s="816" t="s">
        <v>1274</v>
      </c>
      <c r="F72" s="820" t="s">
        <v>651</v>
      </c>
      <c r="G72" s="816" t="s">
        <v>421</v>
      </c>
      <c r="H72" s="820" t="s">
        <v>1143</v>
      </c>
    </row>
    <row r="73" spans="1:8">
      <c r="A73" s="816" t="s">
        <v>748</v>
      </c>
      <c r="B73" s="816" t="s">
        <v>749</v>
      </c>
      <c r="C73" s="771"/>
      <c r="D73" s="818" t="s">
        <v>1460</v>
      </c>
      <c r="E73" s="816" t="s">
        <v>1274</v>
      </c>
      <c r="F73" s="820" t="s">
        <v>645</v>
      </c>
      <c r="G73" s="816" t="s">
        <v>381</v>
      </c>
      <c r="H73" s="820" t="s">
        <v>1128</v>
      </c>
    </row>
    <row r="74" spans="1:8">
      <c r="A74" s="816" t="s">
        <v>744</v>
      </c>
      <c r="B74" s="816" t="s">
        <v>745</v>
      </c>
      <c r="C74" s="771"/>
      <c r="D74" s="818" t="s">
        <v>1460</v>
      </c>
      <c r="E74" s="816" t="s">
        <v>1274</v>
      </c>
      <c r="F74" s="820" t="s">
        <v>645</v>
      </c>
      <c r="G74" s="816" t="s">
        <v>370</v>
      </c>
      <c r="H74" s="820" t="s">
        <v>689</v>
      </c>
    </row>
    <row r="75" spans="1:8">
      <c r="A75" s="816" t="s">
        <v>702</v>
      </c>
      <c r="B75" s="816" t="s">
        <v>703</v>
      </c>
      <c r="C75" s="771"/>
      <c r="D75" s="818" t="s">
        <v>1460</v>
      </c>
      <c r="E75" s="816" t="s">
        <v>1274</v>
      </c>
      <c r="F75" s="820" t="s">
        <v>645</v>
      </c>
      <c r="G75" s="816" t="s">
        <v>374</v>
      </c>
      <c r="H75" s="820" t="s">
        <v>1125</v>
      </c>
    </row>
    <row r="76" spans="1:8">
      <c r="A76" s="816" t="s">
        <v>883</v>
      </c>
      <c r="B76" s="816" t="s">
        <v>884</v>
      </c>
      <c r="C76" s="771"/>
      <c r="D76" s="818" t="s">
        <v>1460</v>
      </c>
      <c r="E76" s="816" t="s">
        <v>1274</v>
      </c>
      <c r="F76" s="820" t="s">
        <v>652</v>
      </c>
      <c r="G76" s="816" t="s">
        <v>448</v>
      </c>
      <c r="H76" s="820" t="s">
        <v>1141</v>
      </c>
    </row>
    <row r="77" spans="1:8">
      <c r="A77" s="816" t="s">
        <v>967</v>
      </c>
      <c r="B77" s="816" t="s">
        <v>968</v>
      </c>
      <c r="C77" s="771"/>
      <c r="D77" s="818" t="s">
        <v>1460</v>
      </c>
      <c r="E77" s="816" t="s">
        <v>1274</v>
      </c>
      <c r="F77" s="820" t="s">
        <v>651</v>
      </c>
      <c r="G77" s="816" t="s">
        <v>438</v>
      </c>
      <c r="H77" s="820" t="s">
        <v>1148</v>
      </c>
    </row>
    <row r="78" spans="1:8">
      <c r="A78" s="816" t="s">
        <v>953</v>
      </c>
      <c r="B78" s="816" t="s">
        <v>954</v>
      </c>
      <c r="C78" s="771"/>
      <c r="D78" s="818" t="s">
        <v>1460</v>
      </c>
      <c r="E78" s="816" t="s">
        <v>1274</v>
      </c>
      <c r="F78" s="820" t="s">
        <v>651</v>
      </c>
      <c r="G78" s="816" t="s">
        <v>435</v>
      </c>
      <c r="H78" s="820" t="s">
        <v>1147</v>
      </c>
    </row>
    <row r="79" spans="1:8">
      <c r="A79" s="816" t="s">
        <v>909</v>
      </c>
      <c r="B79" s="816" t="s">
        <v>910</v>
      </c>
      <c r="C79" s="771"/>
      <c r="D79" s="818" t="s">
        <v>685</v>
      </c>
      <c r="E79" s="816"/>
      <c r="F79" s="820" t="s">
        <v>651</v>
      </c>
      <c r="G79" s="816" t="s">
        <v>425</v>
      </c>
      <c r="H79" s="820" t="s">
        <v>1145</v>
      </c>
    </row>
    <row r="80" spans="1:8">
      <c r="A80" s="817" t="s">
        <v>704</v>
      </c>
      <c r="B80" s="817" t="s">
        <v>705</v>
      </c>
      <c r="C80" s="771"/>
      <c r="D80" s="818" t="s">
        <v>685</v>
      </c>
      <c r="E80" s="817"/>
      <c r="F80" s="821" t="s">
        <v>645</v>
      </c>
      <c r="G80" s="817" t="s">
        <v>374</v>
      </c>
      <c r="H80" s="821" t="s">
        <v>1125</v>
      </c>
    </row>
    <row r="81" spans="1:8">
      <c r="A81" s="816" t="s">
        <v>770</v>
      </c>
      <c r="B81" s="816" t="s">
        <v>771</v>
      </c>
      <c r="C81" s="771"/>
      <c r="D81" s="818" t="s">
        <v>685</v>
      </c>
      <c r="E81" s="816"/>
      <c r="F81" s="820" t="s">
        <v>1337</v>
      </c>
      <c r="G81" s="816" t="s">
        <v>387</v>
      </c>
      <c r="H81" s="820" t="s">
        <v>1131</v>
      </c>
    </row>
    <row r="82" spans="1:8">
      <c r="A82" s="817" t="s">
        <v>696</v>
      </c>
      <c r="B82" s="817" t="s">
        <v>697</v>
      </c>
      <c r="C82" s="771"/>
      <c r="D82" s="818" t="s">
        <v>685</v>
      </c>
      <c r="E82" s="817"/>
      <c r="F82" s="821" t="s">
        <v>645</v>
      </c>
      <c r="G82" s="817" t="s">
        <v>366</v>
      </c>
      <c r="H82" s="821" t="s">
        <v>1124</v>
      </c>
    </row>
    <row r="83" spans="1:8">
      <c r="A83" s="816" t="s">
        <v>987</v>
      </c>
      <c r="B83" s="816" t="s">
        <v>988</v>
      </c>
      <c r="C83" s="771"/>
      <c r="D83" s="818" t="s">
        <v>685</v>
      </c>
      <c r="E83" s="816"/>
      <c r="F83" s="820" t="s">
        <v>1252</v>
      </c>
      <c r="G83" s="816" t="s">
        <v>407</v>
      </c>
      <c r="H83" s="820" t="s">
        <v>1150</v>
      </c>
    </row>
    <row r="84" spans="1:8">
      <c r="A84" s="816" t="s">
        <v>772</v>
      </c>
      <c r="B84" s="816" t="s">
        <v>773</v>
      </c>
      <c r="C84" s="771"/>
      <c r="D84" s="818" t="s">
        <v>685</v>
      </c>
      <c r="E84" s="816"/>
      <c r="F84" s="820" t="s">
        <v>1337</v>
      </c>
      <c r="G84" s="816" t="s">
        <v>385</v>
      </c>
      <c r="H84" s="820" t="s">
        <v>1130</v>
      </c>
    </row>
    <row r="85" spans="1:8">
      <c r="A85" s="817" t="s">
        <v>1007</v>
      </c>
      <c r="B85" s="817" t="s">
        <v>1008</v>
      </c>
      <c r="C85" s="771"/>
      <c r="D85" s="818" t="s">
        <v>685</v>
      </c>
      <c r="E85" s="817"/>
      <c r="F85" s="821" t="s">
        <v>1252</v>
      </c>
      <c r="G85" s="817" t="s">
        <v>415</v>
      </c>
      <c r="H85" s="821" t="s">
        <v>1152</v>
      </c>
    </row>
    <row r="86" spans="1:8">
      <c r="A86" s="816" t="s">
        <v>1031</v>
      </c>
      <c r="B86" s="816" t="s">
        <v>1032</v>
      </c>
      <c r="C86" s="771"/>
      <c r="D86" s="818" t="s">
        <v>685</v>
      </c>
      <c r="E86" s="816"/>
      <c r="F86" s="820" t="s">
        <v>1252</v>
      </c>
      <c r="G86" s="816" t="s">
        <v>419</v>
      </c>
      <c r="H86" s="820" t="s">
        <v>1154</v>
      </c>
    </row>
    <row r="87" spans="1:8">
      <c r="A87" s="817" t="s">
        <v>1113</v>
      </c>
      <c r="B87" s="817" t="s">
        <v>1114</v>
      </c>
      <c r="C87" s="771"/>
      <c r="D87" s="818" t="s">
        <v>685</v>
      </c>
      <c r="E87" s="817"/>
      <c r="F87" s="821" t="s">
        <v>649</v>
      </c>
      <c r="G87" s="817" t="s">
        <v>480</v>
      </c>
      <c r="H87" s="821" t="s">
        <v>1162</v>
      </c>
    </row>
    <row r="88" spans="1:8">
      <c r="A88" s="816" t="s">
        <v>726</v>
      </c>
      <c r="B88" s="816" t="s">
        <v>727</v>
      </c>
      <c r="C88" s="771"/>
      <c r="D88" s="818" t="s">
        <v>685</v>
      </c>
      <c r="E88" s="816"/>
      <c r="F88" s="820" t="s">
        <v>645</v>
      </c>
      <c r="G88" s="816" t="s">
        <v>379</v>
      </c>
      <c r="H88" s="820" t="s">
        <v>1127</v>
      </c>
    </row>
    <row r="89" spans="1:8">
      <c r="A89" s="816" t="s">
        <v>969</v>
      </c>
      <c r="B89" s="816" t="s">
        <v>970</v>
      </c>
      <c r="C89" s="771"/>
      <c r="D89" s="818" t="s">
        <v>685</v>
      </c>
      <c r="E89" s="816"/>
      <c r="F89" s="820" t="s">
        <v>651</v>
      </c>
      <c r="G89" s="816" t="s">
        <v>438</v>
      </c>
      <c r="H89" s="820" t="s">
        <v>1148</v>
      </c>
    </row>
    <row r="90" spans="1:8">
      <c r="A90" s="817" t="s">
        <v>1217</v>
      </c>
      <c r="B90" s="817" t="s">
        <v>1216</v>
      </c>
      <c r="C90" s="771"/>
      <c r="D90" s="818" t="s">
        <v>685</v>
      </c>
      <c r="E90" s="817"/>
      <c r="F90" s="821" t="s">
        <v>649</v>
      </c>
      <c r="G90" s="817" t="s">
        <v>471</v>
      </c>
      <c r="H90" s="821" t="s">
        <v>692</v>
      </c>
    </row>
    <row r="91" spans="1:8">
      <c r="A91" s="816" t="s">
        <v>712</v>
      </c>
      <c r="B91" s="816" t="s">
        <v>713</v>
      </c>
      <c r="C91" s="771"/>
      <c r="D91" s="818" t="s">
        <v>685</v>
      </c>
      <c r="E91" s="816"/>
      <c r="F91" s="820" t="s">
        <v>645</v>
      </c>
      <c r="G91" s="816" t="s">
        <v>377</v>
      </c>
      <c r="H91" s="820" t="s">
        <v>1126</v>
      </c>
    </row>
    <row r="92" spans="1:8">
      <c r="A92" s="817" t="s">
        <v>1001</v>
      </c>
      <c r="B92" s="817" t="s">
        <v>1002</v>
      </c>
      <c r="C92" s="771"/>
      <c r="D92" s="818" t="s">
        <v>685</v>
      </c>
      <c r="E92" s="817"/>
      <c r="F92" s="821" t="s">
        <v>1252</v>
      </c>
      <c r="G92" s="817" t="s">
        <v>405</v>
      </c>
      <c r="H92" s="821" t="s">
        <v>1149</v>
      </c>
    </row>
    <row r="93" spans="1:8">
      <c r="A93" s="817" t="s">
        <v>732</v>
      </c>
      <c r="B93" s="817" t="s">
        <v>733</v>
      </c>
      <c r="C93" s="771"/>
      <c r="D93" s="818" t="s">
        <v>685</v>
      </c>
      <c r="E93" s="817"/>
      <c r="F93" s="821" t="s">
        <v>645</v>
      </c>
      <c r="G93" s="817" t="s">
        <v>370</v>
      </c>
      <c r="H93" s="821" t="s">
        <v>689</v>
      </c>
    </row>
    <row r="94" spans="1:8">
      <c r="A94" s="816" t="s">
        <v>1099</v>
      </c>
      <c r="B94" s="816" t="s">
        <v>1100</v>
      </c>
      <c r="C94" s="771"/>
      <c r="D94" s="818" t="s">
        <v>685</v>
      </c>
      <c r="E94" s="816"/>
      <c r="F94" s="820" t="s">
        <v>649</v>
      </c>
      <c r="G94" s="816" t="s">
        <v>473</v>
      </c>
      <c r="H94" s="820" t="s">
        <v>1160</v>
      </c>
    </row>
    <row r="95" spans="1:8">
      <c r="A95" s="816" t="s">
        <v>1079</v>
      </c>
      <c r="B95" s="816" t="s">
        <v>1080</v>
      </c>
      <c r="C95" s="771"/>
      <c r="D95" s="818" t="s">
        <v>685</v>
      </c>
      <c r="E95" s="816"/>
      <c r="F95" s="820" t="s">
        <v>650</v>
      </c>
      <c r="G95" s="816" t="s">
        <v>463</v>
      </c>
      <c r="H95" s="820" t="s">
        <v>690</v>
      </c>
    </row>
    <row r="96" spans="1:8">
      <c r="A96" s="816" t="s">
        <v>829</v>
      </c>
      <c r="B96" s="816" t="s">
        <v>830</v>
      </c>
      <c r="C96" s="771"/>
      <c r="D96" s="818" t="s">
        <v>685</v>
      </c>
      <c r="E96" s="816"/>
      <c r="F96" s="820" t="s">
        <v>1253</v>
      </c>
      <c r="G96" s="816" t="s">
        <v>403</v>
      </c>
      <c r="H96" s="820" t="s">
        <v>1137</v>
      </c>
    </row>
    <row r="97" spans="1:8">
      <c r="A97" s="817" t="s">
        <v>901</v>
      </c>
      <c r="B97" s="817" t="s">
        <v>902</v>
      </c>
      <c r="C97" s="771"/>
      <c r="D97" s="818" t="s">
        <v>685</v>
      </c>
      <c r="E97" s="817"/>
      <c r="F97" s="821" t="s">
        <v>652</v>
      </c>
      <c r="G97" s="817" t="s">
        <v>442</v>
      </c>
      <c r="H97" s="821" t="s">
        <v>1140</v>
      </c>
    </row>
    <row r="98" spans="1:8">
      <c r="A98" s="816" t="s">
        <v>794</v>
      </c>
      <c r="B98" s="816" t="s">
        <v>795</v>
      </c>
      <c r="C98" s="771"/>
      <c r="D98" s="818" t="s">
        <v>685</v>
      </c>
      <c r="E98" s="816"/>
      <c r="F98" s="820" t="s">
        <v>1253</v>
      </c>
      <c r="G98" s="816" t="s">
        <v>397</v>
      </c>
      <c r="H98" s="820" t="s">
        <v>1133</v>
      </c>
    </row>
    <row r="99" spans="1:8">
      <c r="A99" s="816" t="s">
        <v>999</v>
      </c>
      <c r="B99" s="816" t="s">
        <v>1000</v>
      </c>
      <c r="C99" s="771"/>
      <c r="D99" s="818" t="s">
        <v>685</v>
      </c>
      <c r="E99" s="816"/>
      <c r="F99" s="820" t="s">
        <v>1252</v>
      </c>
      <c r="G99" s="816" t="s">
        <v>413</v>
      </c>
      <c r="H99" s="820" t="s">
        <v>1151</v>
      </c>
    </row>
    <row r="100" spans="1:8">
      <c r="A100" s="817" t="s">
        <v>1103</v>
      </c>
      <c r="B100" s="817" t="s">
        <v>1104</v>
      </c>
      <c r="C100" s="771"/>
      <c r="D100" s="818" t="s">
        <v>685</v>
      </c>
      <c r="E100" s="817"/>
      <c r="F100" s="821" t="s">
        <v>649</v>
      </c>
      <c r="G100" s="817" t="s">
        <v>477</v>
      </c>
      <c r="H100" s="821" t="s">
        <v>1161</v>
      </c>
    </row>
    <row r="101" spans="1:8">
      <c r="A101" s="816" t="s">
        <v>786</v>
      </c>
      <c r="B101" s="816" t="s">
        <v>787</v>
      </c>
      <c r="C101" s="771"/>
      <c r="D101" s="818" t="s">
        <v>685</v>
      </c>
      <c r="E101" s="816"/>
      <c r="F101" s="820" t="s">
        <v>1253</v>
      </c>
      <c r="G101" s="816" t="s">
        <v>389</v>
      </c>
      <c r="H101" s="820" t="s">
        <v>1132</v>
      </c>
    </row>
    <row r="102" spans="1:8">
      <c r="A102" s="816" t="s">
        <v>818</v>
      </c>
      <c r="B102" s="816" t="s">
        <v>819</v>
      </c>
      <c r="C102" s="771"/>
      <c r="D102" s="818" t="s">
        <v>685</v>
      </c>
      <c r="E102" s="816"/>
      <c r="F102" s="820" t="s">
        <v>1253</v>
      </c>
      <c r="G102" s="816" t="s">
        <v>401</v>
      </c>
      <c r="H102" s="820" t="s">
        <v>1136</v>
      </c>
    </row>
    <row r="103" spans="1:8">
      <c r="A103" s="817" t="s">
        <v>955</v>
      </c>
      <c r="B103" s="817" t="s">
        <v>956</v>
      </c>
      <c r="C103" s="771"/>
      <c r="D103" s="818" t="s">
        <v>685</v>
      </c>
      <c r="E103" s="817"/>
      <c r="F103" s="821" t="s">
        <v>651</v>
      </c>
      <c r="G103" s="817" t="s">
        <v>435</v>
      </c>
      <c r="H103" s="821" t="s">
        <v>1147</v>
      </c>
    </row>
    <row r="104" spans="1:8">
      <c r="A104" s="816" t="s">
        <v>855</v>
      </c>
      <c r="B104" s="816" t="s">
        <v>856</v>
      </c>
      <c r="C104" s="771"/>
      <c r="D104" s="818" t="s">
        <v>685</v>
      </c>
      <c r="E104" s="816"/>
      <c r="F104" s="820" t="s">
        <v>652</v>
      </c>
      <c r="G104" s="816" t="s">
        <v>444</v>
      </c>
      <c r="H104" s="820" t="s">
        <v>1139</v>
      </c>
    </row>
    <row r="105" spans="1:8">
      <c r="A105" s="816" t="s">
        <v>931</v>
      </c>
      <c r="B105" s="816" t="s">
        <v>932</v>
      </c>
      <c r="C105" s="771"/>
      <c r="D105" s="818" t="s">
        <v>685</v>
      </c>
      <c r="E105" s="816"/>
      <c r="F105" s="820" t="s">
        <v>651</v>
      </c>
      <c r="G105" s="816" t="s">
        <v>421</v>
      </c>
      <c r="H105" s="820" t="s">
        <v>1143</v>
      </c>
    </row>
    <row r="106" spans="1:8">
      <c r="A106" s="817" t="s">
        <v>1059</v>
      </c>
      <c r="B106" s="817" t="s">
        <v>1060</v>
      </c>
      <c r="C106" s="771"/>
      <c r="D106" s="818" t="s">
        <v>685</v>
      </c>
      <c r="E106" s="817"/>
      <c r="F106" s="821" t="s">
        <v>650</v>
      </c>
      <c r="G106" s="817" t="s">
        <v>459</v>
      </c>
      <c r="H106" s="821" t="s">
        <v>1157</v>
      </c>
    </row>
    <row r="107" spans="1:8">
      <c r="A107" s="817" t="s">
        <v>869</v>
      </c>
      <c r="B107" s="817" t="s">
        <v>870</v>
      </c>
      <c r="C107" s="771"/>
      <c r="D107" s="818" t="s">
        <v>685</v>
      </c>
      <c r="E107" s="817"/>
      <c r="F107" s="821" t="s">
        <v>652</v>
      </c>
      <c r="G107" s="817" t="s">
        <v>450</v>
      </c>
      <c r="H107" s="821" t="s">
        <v>1142</v>
      </c>
    </row>
    <row r="108" spans="1:8">
      <c r="A108" s="817" t="s">
        <v>885</v>
      </c>
      <c r="B108" s="817" t="s">
        <v>886</v>
      </c>
      <c r="C108" s="771"/>
      <c r="D108" s="818" t="s">
        <v>685</v>
      </c>
      <c r="E108" s="817"/>
      <c r="F108" s="821" t="s">
        <v>652</v>
      </c>
      <c r="G108" s="817" t="s">
        <v>448</v>
      </c>
      <c r="H108" s="821" t="s">
        <v>1141</v>
      </c>
    </row>
    <row r="109" spans="1:8">
      <c r="A109" s="816" t="s">
        <v>1097</v>
      </c>
      <c r="B109" s="816" t="s">
        <v>1098</v>
      </c>
      <c r="C109" s="771"/>
      <c r="D109" s="818" t="s">
        <v>685</v>
      </c>
      <c r="E109" s="816"/>
      <c r="F109" s="820" t="s">
        <v>649</v>
      </c>
      <c r="G109" s="816" t="s">
        <v>467</v>
      </c>
      <c r="H109" s="820" t="s">
        <v>1159</v>
      </c>
    </row>
    <row r="110" spans="1:8">
      <c r="A110" s="817" t="s">
        <v>750</v>
      </c>
      <c r="B110" s="817" t="s">
        <v>751</v>
      </c>
      <c r="C110" s="771"/>
      <c r="D110" s="818" t="s">
        <v>685</v>
      </c>
      <c r="E110" s="817"/>
      <c r="F110" s="821" t="s">
        <v>645</v>
      </c>
      <c r="G110" s="817" t="s">
        <v>381</v>
      </c>
      <c r="H110" s="821" t="s">
        <v>1128</v>
      </c>
    </row>
    <row r="111" spans="1:8">
      <c r="A111" s="817" t="s">
        <v>843</v>
      </c>
      <c r="B111" s="817" t="s">
        <v>844</v>
      </c>
      <c r="C111" s="771"/>
      <c r="D111" s="818" t="s">
        <v>685</v>
      </c>
      <c r="E111" s="817"/>
      <c r="F111" s="821" t="s">
        <v>652</v>
      </c>
      <c r="G111" s="817" t="s">
        <v>440</v>
      </c>
      <c r="H111" s="821" t="s">
        <v>1138</v>
      </c>
    </row>
    <row r="112" spans="1:8">
      <c r="A112" s="816" t="s">
        <v>1041</v>
      </c>
      <c r="B112" s="816" t="s">
        <v>1042</v>
      </c>
      <c r="C112" s="771"/>
      <c r="D112" s="818" t="s">
        <v>685</v>
      </c>
      <c r="E112" s="816"/>
      <c r="F112" s="820" t="s">
        <v>650</v>
      </c>
      <c r="G112" s="816" t="s">
        <v>455</v>
      </c>
      <c r="H112" s="820" t="s">
        <v>1155</v>
      </c>
    </row>
    <row r="113" spans="1:8">
      <c r="A113" s="816" t="s">
        <v>1173</v>
      </c>
      <c r="B113" s="816" t="s">
        <v>1174</v>
      </c>
      <c r="C113" s="771"/>
      <c r="D113" s="818" t="s">
        <v>685</v>
      </c>
      <c r="E113" s="816"/>
      <c r="F113" s="820" t="s">
        <v>1337</v>
      </c>
      <c r="G113" s="816" t="s">
        <v>383</v>
      </c>
      <c r="H113" s="820" t="s">
        <v>1129</v>
      </c>
    </row>
    <row r="114" spans="1:8">
      <c r="A114" s="817" t="s">
        <v>1069</v>
      </c>
      <c r="B114" s="817" t="s">
        <v>1070</v>
      </c>
      <c r="C114" s="771"/>
      <c r="D114" s="818" t="s">
        <v>685</v>
      </c>
      <c r="E114" s="817"/>
      <c r="F114" s="821" t="s">
        <v>650</v>
      </c>
      <c r="G114" s="817" t="s">
        <v>461</v>
      </c>
      <c r="H114" s="821" t="s">
        <v>1158</v>
      </c>
    </row>
    <row r="115" spans="1:8">
      <c r="A115" s="816" t="s">
        <v>1051</v>
      </c>
      <c r="B115" s="816" t="s">
        <v>1052</v>
      </c>
      <c r="C115" s="771"/>
      <c r="D115" s="818" t="s">
        <v>685</v>
      </c>
      <c r="E115" s="816"/>
      <c r="F115" s="820" t="s">
        <v>650</v>
      </c>
      <c r="G115" s="816" t="s">
        <v>457</v>
      </c>
      <c r="H115" s="820" t="s">
        <v>1156</v>
      </c>
    </row>
    <row r="116" spans="1:8">
      <c r="A116" s="816" t="s">
        <v>810</v>
      </c>
      <c r="B116" s="816" t="s">
        <v>811</v>
      </c>
      <c r="C116" s="771"/>
      <c r="D116" s="818" t="s">
        <v>685</v>
      </c>
      <c r="E116" s="816"/>
      <c r="F116" s="820" t="s">
        <v>1253</v>
      </c>
      <c r="G116" s="816" t="s">
        <v>399</v>
      </c>
      <c r="H116" s="820" t="s">
        <v>1135</v>
      </c>
    </row>
    <row r="117" spans="1:8">
      <c r="A117" s="816" t="s">
        <v>800</v>
      </c>
      <c r="B117" s="816" t="s">
        <v>801</v>
      </c>
      <c r="C117" s="771"/>
      <c r="D117" s="818" t="s">
        <v>685</v>
      </c>
      <c r="E117" s="816"/>
      <c r="F117" s="820" t="s">
        <v>1253</v>
      </c>
      <c r="G117" s="816" t="s">
        <v>392</v>
      </c>
      <c r="H117" s="820" t="s">
        <v>1134</v>
      </c>
    </row>
    <row r="118" spans="1:8">
      <c r="A118" s="817" t="s">
        <v>1021</v>
      </c>
      <c r="B118" s="817" t="s">
        <v>1022</v>
      </c>
      <c r="C118" s="771"/>
      <c r="D118" s="818" t="s">
        <v>685</v>
      </c>
      <c r="E118" s="817"/>
      <c r="F118" s="821" t="s">
        <v>1252</v>
      </c>
      <c r="G118" s="817" t="s">
        <v>417</v>
      </c>
      <c r="H118" s="821" t="s">
        <v>1153</v>
      </c>
    </row>
    <row r="119" spans="1:8">
      <c r="A119" s="816" t="s">
        <v>943</v>
      </c>
      <c r="B119" s="816" t="s">
        <v>944</v>
      </c>
      <c r="C119" s="771"/>
      <c r="D119" s="818" t="s">
        <v>685</v>
      </c>
      <c r="E119" s="816"/>
      <c r="F119" s="820" t="s">
        <v>651</v>
      </c>
      <c r="G119" s="816" t="s">
        <v>429</v>
      </c>
      <c r="H119" s="820" t="s">
        <v>1146</v>
      </c>
    </row>
    <row r="120" spans="1:8">
      <c r="A120" s="817" t="s">
        <v>1205</v>
      </c>
      <c r="B120" s="817" t="s">
        <v>1206</v>
      </c>
      <c r="C120" s="771"/>
      <c r="D120" s="818" t="s">
        <v>686</v>
      </c>
      <c r="E120" s="817" t="s">
        <v>1279</v>
      </c>
      <c r="F120" s="821" t="s">
        <v>649</v>
      </c>
      <c r="G120" s="817" t="s">
        <v>473</v>
      </c>
      <c r="H120" s="821" t="s">
        <v>1160</v>
      </c>
    </row>
    <row r="121" spans="1:8">
      <c r="A121" s="816" t="s">
        <v>766</v>
      </c>
      <c r="B121" s="816" t="s">
        <v>767</v>
      </c>
      <c r="C121" s="771"/>
      <c r="D121" s="818" t="s">
        <v>686</v>
      </c>
      <c r="E121" s="816" t="s">
        <v>1279</v>
      </c>
      <c r="F121" s="820" t="s">
        <v>1337</v>
      </c>
      <c r="G121" s="816" t="s">
        <v>385</v>
      </c>
      <c r="H121" s="820" t="s">
        <v>1130</v>
      </c>
    </row>
    <row r="122" spans="1:8">
      <c r="A122" s="816" t="s">
        <v>778</v>
      </c>
      <c r="B122" s="816" t="s">
        <v>779</v>
      </c>
      <c r="C122" s="771"/>
      <c r="D122" s="818" t="s">
        <v>686</v>
      </c>
      <c r="E122" s="816" t="s">
        <v>1279</v>
      </c>
      <c r="F122" s="820" t="s">
        <v>1337</v>
      </c>
      <c r="G122" s="816" t="s">
        <v>387</v>
      </c>
      <c r="H122" s="820" t="s">
        <v>1131</v>
      </c>
    </row>
    <row r="123" spans="1:8">
      <c r="A123" s="817" t="s">
        <v>925</v>
      </c>
      <c r="B123" s="817" t="s">
        <v>926</v>
      </c>
      <c r="C123" s="771"/>
      <c r="D123" s="818" t="s">
        <v>686</v>
      </c>
      <c r="E123" s="817" t="s">
        <v>1279</v>
      </c>
      <c r="F123" s="821" t="s">
        <v>651</v>
      </c>
      <c r="G123" s="817" t="s">
        <v>425</v>
      </c>
      <c r="H123" s="821" t="s">
        <v>1145</v>
      </c>
    </row>
    <row r="124" spans="1:8">
      <c r="A124" s="816" t="s">
        <v>915</v>
      </c>
      <c r="B124" s="816" t="s">
        <v>916</v>
      </c>
      <c r="C124" s="771"/>
      <c r="D124" s="818" t="s">
        <v>686</v>
      </c>
      <c r="E124" s="816" t="s">
        <v>1279</v>
      </c>
      <c r="F124" s="820" t="s">
        <v>651</v>
      </c>
      <c r="G124" s="816" t="s">
        <v>421</v>
      </c>
      <c r="H124" s="820" t="s">
        <v>1143</v>
      </c>
    </row>
    <row r="125" spans="1:8">
      <c r="A125" s="816" t="s">
        <v>875</v>
      </c>
      <c r="B125" s="816" t="s">
        <v>876</v>
      </c>
      <c r="C125" s="771"/>
      <c r="D125" s="818" t="s">
        <v>686</v>
      </c>
      <c r="E125" s="816" t="s">
        <v>1279</v>
      </c>
      <c r="F125" s="820" t="s">
        <v>652</v>
      </c>
      <c r="G125" s="816" t="s">
        <v>442</v>
      </c>
      <c r="H125" s="820" t="s">
        <v>1140</v>
      </c>
    </row>
    <row r="126" spans="1:8">
      <c r="A126" s="817" t="s">
        <v>1033</v>
      </c>
      <c r="B126" s="817" t="s">
        <v>1034</v>
      </c>
      <c r="C126" s="771"/>
      <c r="D126" s="818" t="s">
        <v>686</v>
      </c>
      <c r="E126" s="817" t="s">
        <v>1279</v>
      </c>
      <c r="F126" s="821" t="s">
        <v>1252</v>
      </c>
      <c r="G126" s="817" t="s">
        <v>419</v>
      </c>
      <c r="H126" s="821" t="s">
        <v>1154</v>
      </c>
    </row>
    <row r="127" spans="1:8">
      <c r="A127" s="816" t="s">
        <v>802</v>
      </c>
      <c r="B127" s="816" t="s">
        <v>803</v>
      </c>
      <c r="C127" s="771"/>
      <c r="D127" s="818" t="s">
        <v>686</v>
      </c>
      <c r="E127" s="816" t="s">
        <v>1279</v>
      </c>
      <c r="F127" s="820" t="s">
        <v>1253</v>
      </c>
      <c r="G127" s="816" t="s">
        <v>392</v>
      </c>
      <c r="H127" s="820" t="s">
        <v>1134</v>
      </c>
    </row>
    <row r="128" spans="1:8">
      <c r="A128" s="817" t="s">
        <v>1203</v>
      </c>
      <c r="B128" s="817" t="s">
        <v>1204</v>
      </c>
      <c r="C128" s="771"/>
      <c r="D128" s="818" t="s">
        <v>686</v>
      </c>
      <c r="E128" s="817" t="s">
        <v>1279</v>
      </c>
      <c r="F128" s="821" t="s">
        <v>645</v>
      </c>
      <c r="G128" s="817" t="s">
        <v>366</v>
      </c>
      <c r="H128" s="821" t="s">
        <v>1124</v>
      </c>
    </row>
    <row r="129" spans="1:8">
      <c r="A129" s="816" t="s">
        <v>1084</v>
      </c>
      <c r="B129" s="816" t="s">
        <v>1085</v>
      </c>
      <c r="C129" s="771"/>
      <c r="D129" s="818" t="s">
        <v>686</v>
      </c>
      <c r="E129" s="816" t="s">
        <v>1279</v>
      </c>
      <c r="F129" s="820" t="s">
        <v>650</v>
      </c>
      <c r="G129" s="816" t="s">
        <v>463</v>
      </c>
      <c r="H129" s="820" t="s">
        <v>690</v>
      </c>
    </row>
    <row r="130" spans="1:8">
      <c r="A130" s="817" t="s">
        <v>989</v>
      </c>
      <c r="B130" s="817" t="s">
        <v>990</v>
      </c>
      <c r="C130" s="771"/>
      <c r="D130" s="818" t="s">
        <v>686</v>
      </c>
      <c r="E130" s="817" t="s">
        <v>1279</v>
      </c>
      <c r="F130" s="821" t="s">
        <v>1252</v>
      </c>
      <c r="G130" s="817" t="s">
        <v>407</v>
      </c>
      <c r="H130" s="821" t="s">
        <v>1150</v>
      </c>
    </row>
    <row r="131" spans="1:8">
      <c r="A131" s="817" t="s">
        <v>1043</v>
      </c>
      <c r="B131" s="817" t="s">
        <v>1044</v>
      </c>
      <c r="C131" s="771"/>
      <c r="D131" s="818" t="s">
        <v>686</v>
      </c>
      <c r="E131" s="817" t="s">
        <v>1279</v>
      </c>
      <c r="F131" s="821" t="s">
        <v>650</v>
      </c>
      <c r="G131" s="817" t="s">
        <v>455</v>
      </c>
      <c r="H131" s="821" t="s">
        <v>1155</v>
      </c>
    </row>
    <row r="132" spans="1:8">
      <c r="A132" s="817" t="s">
        <v>1009</v>
      </c>
      <c r="B132" s="817" t="s">
        <v>1010</v>
      </c>
      <c r="C132" s="771"/>
      <c r="D132" s="818" t="s">
        <v>686</v>
      </c>
      <c r="E132" s="817" t="s">
        <v>1279</v>
      </c>
      <c r="F132" s="821" t="s">
        <v>1252</v>
      </c>
      <c r="G132" s="817" t="s">
        <v>415</v>
      </c>
      <c r="H132" s="821" t="s">
        <v>1152</v>
      </c>
    </row>
    <row r="133" spans="1:8">
      <c r="A133" s="817" t="s">
        <v>706</v>
      </c>
      <c r="B133" s="817" t="s">
        <v>707</v>
      </c>
      <c r="C133" s="771"/>
      <c r="D133" s="818" t="s">
        <v>686</v>
      </c>
      <c r="E133" s="817" t="s">
        <v>1279</v>
      </c>
      <c r="F133" s="821" t="s">
        <v>645</v>
      </c>
      <c r="G133" s="817" t="s">
        <v>374</v>
      </c>
      <c r="H133" s="821" t="s">
        <v>1125</v>
      </c>
    </row>
    <row r="134" spans="1:8">
      <c r="A134" s="817" t="s">
        <v>1061</v>
      </c>
      <c r="B134" s="817" t="s">
        <v>1062</v>
      </c>
      <c r="C134" s="771"/>
      <c r="D134" s="818" t="s">
        <v>686</v>
      </c>
      <c r="E134" s="817" t="s">
        <v>1279</v>
      </c>
      <c r="F134" s="821" t="s">
        <v>650</v>
      </c>
      <c r="G134" s="817" t="s">
        <v>459</v>
      </c>
      <c r="H134" s="821" t="s">
        <v>1157</v>
      </c>
    </row>
    <row r="135" spans="1:8">
      <c r="A135" s="816" t="s">
        <v>1088</v>
      </c>
      <c r="B135" s="816" t="s">
        <v>1089</v>
      </c>
      <c r="C135" s="771"/>
      <c r="D135" s="818" t="s">
        <v>686</v>
      </c>
      <c r="E135" s="816" t="s">
        <v>1279</v>
      </c>
      <c r="F135" s="820" t="s">
        <v>649</v>
      </c>
      <c r="G135" s="816" t="s">
        <v>471</v>
      </c>
      <c r="H135" s="820" t="s">
        <v>692</v>
      </c>
    </row>
    <row r="136" spans="1:8">
      <c r="A136" s="817" t="s">
        <v>833</v>
      </c>
      <c r="B136" s="817" t="s">
        <v>834</v>
      </c>
      <c r="C136" s="771"/>
      <c r="D136" s="818" t="s">
        <v>686</v>
      </c>
      <c r="E136" s="817" t="s">
        <v>1279</v>
      </c>
      <c r="F136" s="821" t="s">
        <v>1253</v>
      </c>
      <c r="G136" s="817" t="s">
        <v>399</v>
      </c>
      <c r="H136" s="821" t="s">
        <v>1135</v>
      </c>
    </row>
    <row r="137" spans="1:8">
      <c r="A137" s="816" t="s">
        <v>1115</v>
      </c>
      <c r="B137" s="816" t="s">
        <v>1116</v>
      </c>
      <c r="C137" s="771"/>
      <c r="D137" s="818" t="s">
        <v>686</v>
      </c>
      <c r="E137" s="816" t="s">
        <v>1279</v>
      </c>
      <c r="F137" s="820" t="s">
        <v>649</v>
      </c>
      <c r="G137" s="816" t="s">
        <v>480</v>
      </c>
      <c r="H137" s="820" t="s">
        <v>1162</v>
      </c>
    </row>
    <row r="138" spans="1:8">
      <c r="A138" s="817" t="s">
        <v>1105</v>
      </c>
      <c r="B138" s="817" t="s">
        <v>1106</v>
      </c>
      <c r="C138" s="771"/>
      <c r="D138" s="818" t="s">
        <v>686</v>
      </c>
      <c r="E138" s="817" t="s">
        <v>1279</v>
      </c>
      <c r="F138" s="821" t="s">
        <v>649</v>
      </c>
      <c r="G138" s="817" t="s">
        <v>467</v>
      </c>
      <c r="H138" s="821" t="s">
        <v>1159</v>
      </c>
    </row>
    <row r="139" spans="1:8">
      <c r="A139" s="816" t="s">
        <v>1071</v>
      </c>
      <c r="B139" s="816" t="s">
        <v>1072</v>
      </c>
      <c r="C139" s="771"/>
      <c r="D139" s="818" t="s">
        <v>686</v>
      </c>
      <c r="E139" s="816" t="s">
        <v>1279</v>
      </c>
      <c r="F139" s="820" t="s">
        <v>650</v>
      </c>
      <c r="G139" s="816" t="s">
        <v>461</v>
      </c>
      <c r="H139" s="820" t="s">
        <v>1158</v>
      </c>
    </row>
    <row r="140" spans="1:8">
      <c r="A140" s="817" t="s">
        <v>762</v>
      </c>
      <c r="B140" s="817" t="s">
        <v>763</v>
      </c>
      <c r="C140" s="771"/>
      <c r="D140" s="818" t="s">
        <v>686</v>
      </c>
      <c r="E140" s="817" t="s">
        <v>1279</v>
      </c>
      <c r="F140" s="821" t="s">
        <v>1337</v>
      </c>
      <c r="G140" s="817" t="s">
        <v>383</v>
      </c>
      <c r="H140" s="821" t="s">
        <v>1129</v>
      </c>
    </row>
    <row r="141" spans="1:8">
      <c r="A141" s="817" t="s">
        <v>923</v>
      </c>
      <c r="B141" s="817" t="s">
        <v>924</v>
      </c>
      <c r="C141" s="771"/>
      <c r="D141" s="818" t="s">
        <v>686</v>
      </c>
      <c r="E141" s="817" t="s">
        <v>1279</v>
      </c>
      <c r="F141" s="821" t="s">
        <v>651</v>
      </c>
      <c r="G141" s="817" t="s">
        <v>423</v>
      </c>
      <c r="H141" s="821" t="s">
        <v>1144</v>
      </c>
    </row>
    <row r="142" spans="1:8">
      <c r="A142" s="816" t="s">
        <v>820</v>
      </c>
      <c r="B142" s="816" t="s">
        <v>821</v>
      </c>
      <c r="C142" s="771"/>
      <c r="D142" s="818" t="s">
        <v>686</v>
      </c>
      <c r="E142" s="816" t="s">
        <v>1279</v>
      </c>
      <c r="F142" s="820" t="s">
        <v>1253</v>
      </c>
      <c r="G142" s="816" t="s">
        <v>401</v>
      </c>
      <c r="H142" s="820" t="s">
        <v>1136</v>
      </c>
    </row>
    <row r="143" spans="1:8">
      <c r="A143" s="817" t="s">
        <v>857</v>
      </c>
      <c r="B143" s="817" t="s">
        <v>858</v>
      </c>
      <c r="C143" s="771"/>
      <c r="D143" s="818" t="s">
        <v>686</v>
      </c>
      <c r="E143" s="817" t="s">
        <v>1279</v>
      </c>
      <c r="F143" s="821" t="s">
        <v>652</v>
      </c>
      <c r="G143" s="817" t="s">
        <v>444</v>
      </c>
      <c r="H143" s="821" t="s">
        <v>1139</v>
      </c>
    </row>
    <row r="144" spans="1:8">
      <c r="A144" s="816" t="s">
        <v>1053</v>
      </c>
      <c r="B144" s="816" t="s">
        <v>1054</v>
      </c>
      <c r="C144" s="771"/>
      <c r="D144" s="818" t="s">
        <v>686</v>
      </c>
      <c r="E144" s="816" t="s">
        <v>1279</v>
      </c>
      <c r="F144" s="820" t="s">
        <v>650</v>
      </c>
      <c r="G144" s="816" t="s">
        <v>457</v>
      </c>
      <c r="H144" s="820" t="s">
        <v>1156</v>
      </c>
    </row>
    <row r="145" spans="1:8">
      <c r="A145" s="816" t="s">
        <v>796</v>
      </c>
      <c r="B145" s="816" t="s">
        <v>797</v>
      </c>
      <c r="C145" s="771"/>
      <c r="D145" s="818" t="s">
        <v>686</v>
      </c>
      <c r="E145" s="816" t="s">
        <v>1279</v>
      </c>
      <c r="F145" s="820" t="s">
        <v>1253</v>
      </c>
      <c r="G145" s="816" t="s">
        <v>397</v>
      </c>
      <c r="H145" s="820" t="s">
        <v>1133</v>
      </c>
    </row>
    <row r="146" spans="1:8">
      <c r="A146" s="816" t="s">
        <v>1201</v>
      </c>
      <c r="B146" s="816" t="s">
        <v>1202</v>
      </c>
      <c r="C146" s="771"/>
      <c r="D146" s="818" t="s">
        <v>686</v>
      </c>
      <c r="E146" s="816" t="s">
        <v>1279</v>
      </c>
      <c r="F146" s="820" t="s">
        <v>645</v>
      </c>
      <c r="G146" s="816" t="s">
        <v>379</v>
      </c>
      <c r="H146" s="820" t="s">
        <v>1127</v>
      </c>
    </row>
    <row r="147" spans="1:8">
      <c r="A147" s="817" t="s">
        <v>1023</v>
      </c>
      <c r="B147" s="817" t="s">
        <v>1024</v>
      </c>
      <c r="C147" s="771"/>
      <c r="D147" s="818" t="s">
        <v>686</v>
      </c>
      <c r="E147" s="817" t="s">
        <v>1279</v>
      </c>
      <c r="F147" s="821" t="s">
        <v>1252</v>
      </c>
      <c r="G147" s="817" t="s">
        <v>417</v>
      </c>
      <c r="H147" s="821" t="s">
        <v>1153</v>
      </c>
    </row>
    <row r="148" spans="1:8">
      <c r="A148" s="816" t="s">
        <v>714</v>
      </c>
      <c r="B148" s="816" t="s">
        <v>715</v>
      </c>
      <c r="C148" s="771"/>
      <c r="D148" s="818" t="s">
        <v>686</v>
      </c>
      <c r="E148" s="816" t="s">
        <v>1279</v>
      </c>
      <c r="F148" s="820" t="s">
        <v>645</v>
      </c>
      <c r="G148" s="816" t="s">
        <v>377</v>
      </c>
      <c r="H148" s="820" t="s">
        <v>1126</v>
      </c>
    </row>
    <row r="149" spans="1:8">
      <c r="A149" s="816" t="s">
        <v>1082</v>
      </c>
      <c r="B149" s="816" t="s">
        <v>1083</v>
      </c>
      <c r="C149" s="771"/>
      <c r="D149" s="818" t="s">
        <v>686</v>
      </c>
      <c r="E149" s="816" t="s">
        <v>1279</v>
      </c>
      <c r="F149" s="820" t="s">
        <v>650</v>
      </c>
      <c r="G149" s="816" t="s">
        <v>463</v>
      </c>
      <c r="H149" s="820" t="s">
        <v>690</v>
      </c>
    </row>
    <row r="150" spans="1:8">
      <c r="A150" s="817" t="s">
        <v>734</v>
      </c>
      <c r="B150" s="817" t="s">
        <v>735</v>
      </c>
      <c r="C150" s="771"/>
      <c r="D150" s="818" t="s">
        <v>686</v>
      </c>
      <c r="E150" s="817" t="s">
        <v>1279</v>
      </c>
      <c r="F150" s="821" t="s">
        <v>645</v>
      </c>
      <c r="G150" s="817" t="s">
        <v>370</v>
      </c>
      <c r="H150" s="821" t="s">
        <v>689</v>
      </c>
    </row>
    <row r="151" spans="1:8">
      <c r="A151" s="817" t="s">
        <v>788</v>
      </c>
      <c r="B151" s="817" t="s">
        <v>789</v>
      </c>
      <c r="C151" s="771"/>
      <c r="D151" s="818" t="s">
        <v>686</v>
      </c>
      <c r="E151" s="817" t="s">
        <v>1279</v>
      </c>
      <c r="F151" s="821" t="s">
        <v>1253</v>
      </c>
      <c r="G151" s="817" t="s">
        <v>389</v>
      </c>
      <c r="H151" s="821" t="s">
        <v>1132</v>
      </c>
    </row>
    <row r="152" spans="1:8">
      <c r="A152" s="817" t="s">
        <v>971</v>
      </c>
      <c r="B152" s="817" t="s">
        <v>972</v>
      </c>
      <c r="C152" s="771"/>
      <c r="D152" s="818" t="s">
        <v>686</v>
      </c>
      <c r="E152" s="817" t="s">
        <v>1279</v>
      </c>
      <c r="F152" s="821" t="s">
        <v>651</v>
      </c>
      <c r="G152" s="817" t="s">
        <v>438</v>
      </c>
      <c r="H152" s="821" t="s">
        <v>1148</v>
      </c>
    </row>
    <row r="153" spans="1:8">
      <c r="A153" s="817" t="s">
        <v>997</v>
      </c>
      <c r="B153" s="817" t="s">
        <v>998</v>
      </c>
      <c r="C153" s="771"/>
      <c r="D153" s="818" t="s">
        <v>686</v>
      </c>
      <c r="E153" s="817" t="s">
        <v>1279</v>
      </c>
      <c r="F153" s="821" t="s">
        <v>1252</v>
      </c>
      <c r="G153" s="817" t="s">
        <v>413</v>
      </c>
      <c r="H153" s="821" t="s">
        <v>1151</v>
      </c>
    </row>
    <row r="154" spans="1:8">
      <c r="A154" s="817" t="s">
        <v>752</v>
      </c>
      <c r="B154" s="817" t="s">
        <v>753</v>
      </c>
      <c r="C154" s="771"/>
      <c r="D154" s="818" t="s">
        <v>686</v>
      </c>
      <c r="E154" s="817" t="s">
        <v>1279</v>
      </c>
      <c r="F154" s="821" t="s">
        <v>645</v>
      </c>
      <c r="G154" s="817" t="s">
        <v>381</v>
      </c>
      <c r="H154" s="821" t="s">
        <v>1128</v>
      </c>
    </row>
    <row r="155" spans="1:8">
      <c r="A155" s="816" t="s">
        <v>831</v>
      </c>
      <c r="B155" s="816" t="s">
        <v>832</v>
      </c>
      <c r="C155" s="771"/>
      <c r="D155" s="818" t="s">
        <v>686</v>
      </c>
      <c r="E155" s="816" t="s">
        <v>1279</v>
      </c>
      <c r="F155" s="820" t="s">
        <v>1253</v>
      </c>
      <c r="G155" s="816" t="s">
        <v>403</v>
      </c>
      <c r="H155" s="820" t="s">
        <v>1137</v>
      </c>
    </row>
    <row r="156" spans="1:8">
      <c r="A156" s="817" t="s">
        <v>957</v>
      </c>
      <c r="B156" s="817" t="s">
        <v>958</v>
      </c>
      <c r="C156" s="771"/>
      <c r="D156" s="818" t="s">
        <v>686</v>
      </c>
      <c r="E156" s="817" t="s">
        <v>1279</v>
      </c>
      <c r="F156" s="821" t="s">
        <v>651</v>
      </c>
      <c r="G156" s="817" t="s">
        <v>435</v>
      </c>
      <c r="H156" s="821" t="s">
        <v>1147</v>
      </c>
    </row>
    <row r="157" spans="1:8">
      <c r="A157" s="816" t="s">
        <v>871</v>
      </c>
      <c r="B157" s="816" t="s">
        <v>872</v>
      </c>
      <c r="C157" s="771"/>
      <c r="D157" s="818" t="s">
        <v>686</v>
      </c>
      <c r="E157" s="816" t="s">
        <v>1279</v>
      </c>
      <c r="F157" s="820" t="s">
        <v>652</v>
      </c>
      <c r="G157" s="816" t="s">
        <v>442</v>
      </c>
      <c r="H157" s="820" t="s">
        <v>1140</v>
      </c>
    </row>
    <row r="158" spans="1:8">
      <c r="A158" s="816" t="s">
        <v>887</v>
      </c>
      <c r="B158" s="816" t="s">
        <v>888</v>
      </c>
      <c r="C158" s="771"/>
      <c r="D158" s="818" t="s">
        <v>686</v>
      </c>
      <c r="E158" s="816" t="s">
        <v>1279</v>
      </c>
      <c r="F158" s="820" t="s">
        <v>652</v>
      </c>
      <c r="G158" s="816" t="s">
        <v>448</v>
      </c>
      <c r="H158" s="820" t="s">
        <v>1141</v>
      </c>
    </row>
    <row r="159" spans="1:8">
      <c r="A159" s="816" t="s">
        <v>1101</v>
      </c>
      <c r="B159" s="816" t="s">
        <v>1102</v>
      </c>
      <c r="C159" s="771"/>
      <c r="D159" s="818" t="s">
        <v>686</v>
      </c>
      <c r="E159" s="816" t="s">
        <v>1279</v>
      </c>
      <c r="F159" s="820" t="s">
        <v>649</v>
      </c>
      <c r="G159" s="816" t="s">
        <v>477</v>
      </c>
      <c r="H159" s="820" t="s">
        <v>1161</v>
      </c>
    </row>
    <row r="160" spans="1:8">
      <c r="A160" s="817" t="s">
        <v>847</v>
      </c>
      <c r="B160" s="817" t="s">
        <v>848</v>
      </c>
      <c r="C160" s="771"/>
      <c r="D160" s="818" t="s">
        <v>686</v>
      </c>
      <c r="E160" s="817" t="s">
        <v>1279</v>
      </c>
      <c r="F160" s="821" t="s">
        <v>652</v>
      </c>
      <c r="G160" s="817" t="s">
        <v>440</v>
      </c>
      <c r="H160" s="821" t="s">
        <v>1138</v>
      </c>
    </row>
    <row r="161" spans="1:8">
      <c r="A161" s="817" t="s">
        <v>945</v>
      </c>
      <c r="B161" s="817" t="s">
        <v>946</v>
      </c>
      <c r="C161" s="771"/>
      <c r="D161" s="818" t="s">
        <v>686</v>
      </c>
      <c r="E161" s="817" t="s">
        <v>1279</v>
      </c>
      <c r="F161" s="821" t="s">
        <v>651</v>
      </c>
      <c r="G161" s="817" t="s">
        <v>429</v>
      </c>
      <c r="H161" s="821" t="s">
        <v>1146</v>
      </c>
    </row>
    <row r="162" spans="1:8">
      <c r="A162" s="817" t="s">
        <v>1304</v>
      </c>
      <c r="B162" s="817" t="s">
        <v>1305</v>
      </c>
      <c r="C162" s="771"/>
      <c r="D162" s="819" t="s">
        <v>684</v>
      </c>
      <c r="E162" s="817" t="s">
        <v>1274</v>
      </c>
      <c r="F162" s="821" t="s">
        <v>1253</v>
      </c>
      <c r="G162" s="817" t="s">
        <v>392</v>
      </c>
      <c r="H162" s="821" t="s">
        <v>1134</v>
      </c>
    </row>
    <row r="163" spans="1:8">
      <c r="A163" s="816" t="s">
        <v>1277</v>
      </c>
      <c r="B163" s="816" t="s">
        <v>1278</v>
      </c>
      <c r="C163" s="771"/>
      <c r="D163" s="819" t="s">
        <v>684</v>
      </c>
      <c r="E163" s="816" t="s">
        <v>1274</v>
      </c>
      <c r="F163" s="820" t="s">
        <v>650</v>
      </c>
      <c r="G163" s="816" t="s">
        <v>457</v>
      </c>
      <c r="H163" s="820" t="s">
        <v>1156</v>
      </c>
    </row>
    <row r="164" spans="1:8">
      <c r="A164" s="816" t="s">
        <v>1244</v>
      </c>
      <c r="B164" s="816" t="s">
        <v>1245</v>
      </c>
      <c r="C164" s="771"/>
      <c r="D164" s="819" t="s">
        <v>684</v>
      </c>
      <c r="E164" s="816" t="s">
        <v>1274</v>
      </c>
      <c r="F164" s="820" t="s">
        <v>650</v>
      </c>
      <c r="G164" s="816" t="s">
        <v>463</v>
      </c>
      <c r="H164" s="820" t="s">
        <v>690</v>
      </c>
    </row>
    <row r="165" spans="1:8">
      <c r="A165" s="816" t="s">
        <v>1188</v>
      </c>
      <c r="B165" s="816" t="s">
        <v>1189</v>
      </c>
      <c r="C165" s="771"/>
      <c r="D165" s="819" t="s">
        <v>684</v>
      </c>
      <c r="E165" s="816" t="s">
        <v>1274</v>
      </c>
      <c r="F165" s="820" t="s">
        <v>1252</v>
      </c>
      <c r="G165" s="816" t="s">
        <v>419</v>
      </c>
      <c r="H165" s="820" t="s">
        <v>1154</v>
      </c>
    </row>
    <row r="166" spans="1:8">
      <c r="A166" s="817" t="s">
        <v>764</v>
      </c>
      <c r="B166" s="817" t="s">
        <v>765</v>
      </c>
      <c r="C166" s="771"/>
      <c r="D166" s="819" t="s">
        <v>684</v>
      </c>
      <c r="E166" s="817" t="s">
        <v>1274</v>
      </c>
      <c r="F166" s="821" t="s">
        <v>1337</v>
      </c>
      <c r="G166" s="817" t="s">
        <v>383</v>
      </c>
      <c r="H166" s="821" t="s">
        <v>1129</v>
      </c>
    </row>
    <row r="167" spans="1:8">
      <c r="A167" s="816" t="s">
        <v>826</v>
      </c>
      <c r="B167" s="816" t="s">
        <v>827</v>
      </c>
      <c r="C167" s="771"/>
      <c r="D167" s="819" t="s">
        <v>684</v>
      </c>
      <c r="E167" s="816" t="s">
        <v>1274</v>
      </c>
      <c r="F167" s="820" t="s">
        <v>1253</v>
      </c>
      <c r="G167" s="816" t="s">
        <v>401</v>
      </c>
      <c r="H167" s="820" t="s">
        <v>1136</v>
      </c>
    </row>
    <row r="168" spans="1:8">
      <c r="A168" s="817" t="s">
        <v>951</v>
      </c>
      <c r="B168" s="817" t="s">
        <v>952</v>
      </c>
      <c r="C168" s="771"/>
      <c r="D168" s="819" t="s">
        <v>684</v>
      </c>
      <c r="E168" s="817" t="s">
        <v>1274</v>
      </c>
      <c r="F168" s="821" t="s">
        <v>651</v>
      </c>
      <c r="G168" s="817" t="s">
        <v>429</v>
      </c>
      <c r="H168" s="821" t="s">
        <v>1146</v>
      </c>
    </row>
    <row r="169" spans="1:8">
      <c r="A169" s="816" t="s">
        <v>1372</v>
      </c>
      <c r="B169" s="816" t="s">
        <v>1373</v>
      </c>
      <c r="C169" s="771"/>
      <c r="D169" s="819" t="s">
        <v>684</v>
      </c>
      <c r="E169" s="816" t="s">
        <v>1274</v>
      </c>
      <c r="F169" s="820" t="s">
        <v>650</v>
      </c>
      <c r="G169" s="816" t="s">
        <v>457</v>
      </c>
      <c r="H169" s="820" t="s">
        <v>1156</v>
      </c>
    </row>
    <row r="170" spans="1:8">
      <c r="A170" s="817" t="s">
        <v>768</v>
      </c>
      <c r="B170" s="817" t="s">
        <v>769</v>
      </c>
      <c r="C170" s="771"/>
      <c r="D170" s="819" t="s">
        <v>684</v>
      </c>
      <c r="E170" s="817" t="s">
        <v>1274</v>
      </c>
      <c r="F170" s="821" t="s">
        <v>1337</v>
      </c>
      <c r="G170" s="817" t="s">
        <v>385</v>
      </c>
      <c r="H170" s="821" t="s">
        <v>1130</v>
      </c>
    </row>
    <row r="171" spans="1:8">
      <c r="A171" s="817" t="s">
        <v>975</v>
      </c>
      <c r="B171" s="817" t="s">
        <v>976</v>
      </c>
      <c r="C171" s="771"/>
      <c r="D171" s="819" t="s">
        <v>684</v>
      </c>
      <c r="E171" s="817" t="s">
        <v>1274</v>
      </c>
      <c r="F171" s="821" t="s">
        <v>651</v>
      </c>
      <c r="G171" s="817" t="s">
        <v>438</v>
      </c>
      <c r="H171" s="821" t="s">
        <v>1148</v>
      </c>
    </row>
    <row r="172" spans="1:8">
      <c r="A172" s="817" t="s">
        <v>1248</v>
      </c>
      <c r="B172" s="817" t="s">
        <v>1249</v>
      </c>
      <c r="C172" s="771"/>
      <c r="D172" s="819" t="s">
        <v>684</v>
      </c>
      <c r="E172" s="817" t="s">
        <v>1274</v>
      </c>
      <c r="F172" s="821" t="s">
        <v>652</v>
      </c>
      <c r="G172" s="817" t="s">
        <v>440</v>
      </c>
      <c r="H172" s="821" t="s">
        <v>1138</v>
      </c>
    </row>
    <row r="173" spans="1:8">
      <c r="A173" s="817" t="s">
        <v>1077</v>
      </c>
      <c r="B173" s="817" t="s">
        <v>1078</v>
      </c>
      <c r="C173" s="771"/>
      <c r="D173" s="819" t="s">
        <v>684</v>
      </c>
      <c r="E173" s="817" t="s">
        <v>1274</v>
      </c>
      <c r="F173" s="821" t="s">
        <v>650</v>
      </c>
      <c r="G173" s="817" t="s">
        <v>461</v>
      </c>
      <c r="H173" s="821" t="s">
        <v>1158</v>
      </c>
    </row>
    <row r="174" spans="1:8">
      <c r="A174" s="816" t="s">
        <v>1075</v>
      </c>
      <c r="B174" s="816" t="s">
        <v>1076</v>
      </c>
      <c r="C174" s="771"/>
      <c r="D174" s="819" t="s">
        <v>684</v>
      </c>
      <c r="E174" s="816" t="s">
        <v>1274</v>
      </c>
      <c r="F174" s="820" t="s">
        <v>650</v>
      </c>
      <c r="G174" s="816" t="s">
        <v>461</v>
      </c>
      <c r="H174" s="820" t="s">
        <v>1158</v>
      </c>
    </row>
    <row r="175" spans="1:8">
      <c r="A175" s="816" t="s">
        <v>1035</v>
      </c>
      <c r="B175" s="816" t="s">
        <v>1036</v>
      </c>
      <c r="C175" s="771"/>
      <c r="D175" s="819" t="s">
        <v>684</v>
      </c>
      <c r="E175" s="816" t="s">
        <v>1274</v>
      </c>
      <c r="F175" s="820" t="s">
        <v>1252</v>
      </c>
      <c r="G175" s="816" t="s">
        <v>413</v>
      </c>
      <c r="H175" s="820" t="s">
        <v>1151</v>
      </c>
    </row>
    <row r="176" spans="1:8">
      <c r="A176" s="816" t="s">
        <v>720</v>
      </c>
      <c r="B176" s="816" t="s">
        <v>721</v>
      </c>
      <c r="C176" s="771"/>
      <c r="D176" s="819" t="s">
        <v>684</v>
      </c>
      <c r="E176" s="816" t="s">
        <v>1274</v>
      </c>
      <c r="F176" s="820" t="s">
        <v>645</v>
      </c>
      <c r="G176" s="816" t="s">
        <v>377</v>
      </c>
      <c r="H176" s="820" t="s">
        <v>1126</v>
      </c>
    </row>
    <row r="177" spans="1:8">
      <c r="A177" s="816" t="s">
        <v>700</v>
      </c>
      <c r="B177" s="816" t="s">
        <v>701</v>
      </c>
      <c r="C177" s="771"/>
      <c r="D177" s="819" t="s">
        <v>684</v>
      </c>
      <c r="E177" s="816" t="s">
        <v>1274</v>
      </c>
      <c r="F177" s="820" t="s">
        <v>645</v>
      </c>
      <c r="G177" s="816" t="s">
        <v>366</v>
      </c>
      <c r="H177" s="820" t="s">
        <v>1124</v>
      </c>
    </row>
    <row r="178" spans="1:8">
      <c r="A178" s="816" t="s">
        <v>710</v>
      </c>
      <c r="B178" s="816" t="s">
        <v>711</v>
      </c>
      <c r="C178" s="771"/>
      <c r="D178" s="819" t="s">
        <v>684</v>
      </c>
      <c r="E178" s="816" t="s">
        <v>1274</v>
      </c>
      <c r="F178" s="820" t="s">
        <v>645</v>
      </c>
      <c r="G178" s="816" t="s">
        <v>374</v>
      </c>
      <c r="H178" s="820" t="s">
        <v>1125</v>
      </c>
    </row>
    <row r="179" spans="1:8">
      <c r="A179" s="817" t="s">
        <v>949</v>
      </c>
      <c r="B179" s="817" t="s">
        <v>950</v>
      </c>
      <c r="C179" s="771"/>
      <c r="D179" s="819" t="s">
        <v>684</v>
      </c>
      <c r="E179" s="817" t="s">
        <v>1274</v>
      </c>
      <c r="F179" s="821" t="s">
        <v>651</v>
      </c>
      <c r="G179" s="817" t="s">
        <v>429</v>
      </c>
      <c r="H179" s="821" t="s">
        <v>1146</v>
      </c>
    </row>
    <row r="180" spans="1:8">
      <c r="A180" s="816" t="s">
        <v>1081</v>
      </c>
      <c r="B180" s="816" t="s">
        <v>1066</v>
      </c>
      <c r="C180" s="771"/>
      <c r="D180" s="819" t="s">
        <v>684</v>
      </c>
      <c r="E180" s="816" t="s">
        <v>1274</v>
      </c>
      <c r="F180" s="820" t="s">
        <v>650</v>
      </c>
      <c r="G180" s="816" t="s">
        <v>463</v>
      </c>
      <c r="H180" s="820" t="s">
        <v>690</v>
      </c>
    </row>
    <row r="181" spans="1:8">
      <c r="A181" s="817" t="s">
        <v>1340</v>
      </c>
      <c r="B181" s="817" t="s">
        <v>1341</v>
      </c>
      <c r="C181" s="771"/>
      <c r="D181" s="819" t="s">
        <v>684</v>
      </c>
      <c r="E181" s="817" t="s">
        <v>1274</v>
      </c>
      <c r="F181" s="821" t="s">
        <v>651</v>
      </c>
      <c r="G181" s="817" t="s">
        <v>421</v>
      </c>
      <c r="H181" s="821" t="s">
        <v>1143</v>
      </c>
    </row>
    <row r="182" spans="1:8">
      <c r="A182" s="817" t="s">
        <v>1238</v>
      </c>
      <c r="B182" s="817" t="s">
        <v>1239</v>
      </c>
      <c r="C182" s="771"/>
      <c r="D182" s="819" t="s">
        <v>684</v>
      </c>
      <c r="E182" s="817" t="s">
        <v>1274</v>
      </c>
      <c r="F182" s="821" t="s">
        <v>1252</v>
      </c>
      <c r="G182" s="817" t="s">
        <v>413</v>
      </c>
      <c r="H182" s="821" t="s">
        <v>1151</v>
      </c>
    </row>
    <row r="183" spans="1:8">
      <c r="A183" s="817" t="s">
        <v>897</v>
      </c>
      <c r="B183" s="817" t="s">
        <v>898</v>
      </c>
      <c r="C183" s="771"/>
      <c r="D183" s="819" t="s">
        <v>684</v>
      </c>
      <c r="E183" s="817" t="s">
        <v>1274</v>
      </c>
      <c r="F183" s="821" t="s">
        <v>652</v>
      </c>
      <c r="G183" s="817" t="s">
        <v>448</v>
      </c>
      <c r="H183" s="821" t="s">
        <v>1141</v>
      </c>
    </row>
    <row r="184" spans="1:8">
      <c r="A184" s="817" t="s">
        <v>708</v>
      </c>
      <c r="B184" s="817" t="s">
        <v>709</v>
      </c>
      <c r="C184" s="771"/>
      <c r="D184" s="819" t="s">
        <v>684</v>
      </c>
      <c r="E184" s="817" t="s">
        <v>1274</v>
      </c>
      <c r="F184" s="821" t="s">
        <v>645</v>
      </c>
      <c r="G184" s="817" t="s">
        <v>374</v>
      </c>
      <c r="H184" s="821" t="s">
        <v>1125</v>
      </c>
    </row>
    <row r="185" spans="1:8">
      <c r="A185" s="816" t="s">
        <v>1094</v>
      </c>
      <c r="B185" s="816" t="s">
        <v>1095</v>
      </c>
      <c r="C185" s="771"/>
      <c r="D185" s="819" t="s">
        <v>684</v>
      </c>
      <c r="E185" s="816" t="s">
        <v>1274</v>
      </c>
      <c r="F185" s="820" t="s">
        <v>649</v>
      </c>
      <c r="G185" s="816" t="s">
        <v>471</v>
      </c>
      <c r="H185" s="820" t="s">
        <v>692</v>
      </c>
    </row>
    <row r="186" spans="1:8">
      <c r="A186" s="817" t="s">
        <v>742</v>
      </c>
      <c r="B186" s="817" t="s">
        <v>743</v>
      </c>
      <c r="C186" s="771"/>
      <c r="D186" s="819" t="s">
        <v>684</v>
      </c>
      <c r="E186" s="817" t="s">
        <v>1274</v>
      </c>
      <c r="F186" s="821" t="s">
        <v>645</v>
      </c>
      <c r="G186" s="817" t="s">
        <v>366</v>
      </c>
      <c r="H186" s="821" t="s">
        <v>1124</v>
      </c>
    </row>
    <row r="187" spans="1:8">
      <c r="A187" s="816" t="s">
        <v>808</v>
      </c>
      <c r="B187" s="816" t="s">
        <v>809</v>
      </c>
      <c r="C187" s="771"/>
      <c r="D187" s="819" t="s">
        <v>684</v>
      </c>
      <c r="E187" s="816" t="s">
        <v>1274</v>
      </c>
      <c r="F187" s="820" t="s">
        <v>1253</v>
      </c>
      <c r="G187" s="816" t="s">
        <v>399</v>
      </c>
      <c r="H187" s="820" t="s">
        <v>1135</v>
      </c>
    </row>
    <row r="188" spans="1:8">
      <c r="A188" s="817" t="s">
        <v>758</v>
      </c>
      <c r="B188" s="817" t="s">
        <v>759</v>
      </c>
      <c r="C188" s="771"/>
      <c r="D188" s="819" t="s">
        <v>684</v>
      </c>
      <c r="E188" s="817" t="s">
        <v>1274</v>
      </c>
      <c r="F188" s="821" t="s">
        <v>645</v>
      </c>
      <c r="G188" s="817" t="s">
        <v>381</v>
      </c>
      <c r="H188" s="821" t="s">
        <v>1128</v>
      </c>
    </row>
    <row r="189" spans="1:8">
      <c r="A189" s="816" t="s">
        <v>979</v>
      </c>
      <c r="B189" s="816" t="s">
        <v>980</v>
      </c>
      <c r="C189" s="771"/>
      <c r="D189" s="819" t="s">
        <v>684</v>
      </c>
      <c r="E189" s="816" t="s">
        <v>1274</v>
      </c>
      <c r="F189" s="820" t="s">
        <v>651</v>
      </c>
      <c r="G189" s="816" t="s">
        <v>438</v>
      </c>
      <c r="H189" s="820" t="s">
        <v>1148</v>
      </c>
    </row>
    <row r="190" spans="1:8">
      <c r="A190" s="817" t="s">
        <v>760</v>
      </c>
      <c r="B190" s="817" t="s">
        <v>761</v>
      </c>
      <c r="C190" s="771"/>
      <c r="D190" s="819" t="s">
        <v>684</v>
      </c>
      <c r="E190" s="817" t="s">
        <v>1274</v>
      </c>
      <c r="F190" s="821" t="s">
        <v>645</v>
      </c>
      <c r="G190" s="817" t="s">
        <v>381</v>
      </c>
      <c r="H190" s="821" t="s">
        <v>1128</v>
      </c>
    </row>
    <row r="191" spans="1:8">
      <c r="A191" s="817" t="s">
        <v>1175</v>
      </c>
      <c r="B191" s="817" t="s">
        <v>1176</v>
      </c>
      <c r="C191" s="771"/>
      <c r="D191" s="819" t="s">
        <v>684</v>
      </c>
      <c r="E191" s="817" t="s">
        <v>1274</v>
      </c>
      <c r="F191" s="821" t="s">
        <v>651</v>
      </c>
      <c r="G191" s="817" t="s">
        <v>423</v>
      </c>
      <c r="H191" s="821" t="s">
        <v>1144</v>
      </c>
    </row>
    <row r="192" spans="1:8">
      <c r="A192" s="817" t="s">
        <v>740</v>
      </c>
      <c r="B192" s="817" t="s">
        <v>741</v>
      </c>
      <c r="C192" s="771"/>
      <c r="D192" s="819" t="s">
        <v>684</v>
      </c>
      <c r="E192" s="817" t="s">
        <v>1274</v>
      </c>
      <c r="F192" s="821" t="s">
        <v>645</v>
      </c>
      <c r="G192" s="817" t="s">
        <v>370</v>
      </c>
      <c r="H192" s="821" t="s">
        <v>689</v>
      </c>
    </row>
    <row r="193" spans="1:8">
      <c r="A193" s="816" t="s">
        <v>839</v>
      </c>
      <c r="B193" s="816" t="s">
        <v>840</v>
      </c>
      <c r="C193" s="771"/>
      <c r="D193" s="819" t="s">
        <v>684</v>
      </c>
      <c r="E193" s="816" t="s">
        <v>1274</v>
      </c>
      <c r="F193" s="820" t="s">
        <v>1253</v>
      </c>
      <c r="G193" s="816" t="s">
        <v>403</v>
      </c>
      <c r="H193" s="820" t="s">
        <v>1137</v>
      </c>
    </row>
    <row r="194" spans="1:8">
      <c r="A194" s="816" t="s">
        <v>981</v>
      </c>
      <c r="B194" s="816" t="s">
        <v>982</v>
      </c>
      <c r="C194" s="771"/>
      <c r="D194" s="819" t="s">
        <v>684</v>
      </c>
      <c r="E194" s="816" t="s">
        <v>1274</v>
      </c>
      <c r="F194" s="820" t="s">
        <v>651</v>
      </c>
      <c r="G194" s="816" t="s">
        <v>438</v>
      </c>
      <c r="H194" s="820" t="s">
        <v>1148</v>
      </c>
    </row>
    <row r="195" spans="1:8">
      <c r="A195" s="816" t="s">
        <v>877</v>
      </c>
      <c r="B195" s="816" t="s">
        <v>878</v>
      </c>
      <c r="C195" s="771"/>
      <c r="D195" s="819" t="s">
        <v>684</v>
      </c>
      <c r="E195" s="816" t="s">
        <v>1274</v>
      </c>
      <c r="F195" s="820" t="s">
        <v>652</v>
      </c>
      <c r="G195" s="816" t="s">
        <v>442</v>
      </c>
      <c r="H195" s="820" t="s">
        <v>1140</v>
      </c>
    </row>
    <row r="196" spans="1:8">
      <c r="A196" s="816" t="s">
        <v>792</v>
      </c>
      <c r="B196" s="816" t="s">
        <v>793</v>
      </c>
      <c r="C196" s="771"/>
      <c r="D196" s="819" t="s">
        <v>684</v>
      </c>
      <c r="E196" s="816" t="s">
        <v>1274</v>
      </c>
      <c r="F196" s="820" t="s">
        <v>1253</v>
      </c>
      <c r="G196" s="816" t="s">
        <v>389</v>
      </c>
      <c r="H196" s="820" t="s">
        <v>1132</v>
      </c>
    </row>
    <row r="197" spans="1:8">
      <c r="A197" s="816" t="s">
        <v>1063</v>
      </c>
      <c r="B197" s="816" t="s">
        <v>1064</v>
      </c>
      <c r="C197" s="771"/>
      <c r="D197" s="819" t="s">
        <v>684</v>
      </c>
      <c r="E197" s="816" t="s">
        <v>1274</v>
      </c>
      <c r="F197" s="820" t="s">
        <v>650</v>
      </c>
      <c r="G197" s="816" t="s">
        <v>459</v>
      </c>
      <c r="H197" s="820" t="s">
        <v>1157</v>
      </c>
    </row>
    <row r="198" spans="1:8">
      <c r="A198" s="817" t="s">
        <v>1358</v>
      </c>
      <c r="B198" s="817" t="s">
        <v>1359</v>
      </c>
      <c r="C198" s="771"/>
      <c r="D198" s="819" t="s">
        <v>687</v>
      </c>
      <c r="E198" s="817" t="s">
        <v>1279</v>
      </c>
      <c r="F198" s="821" t="s">
        <v>1252</v>
      </c>
      <c r="G198" s="817" t="s">
        <v>417</v>
      </c>
      <c r="H198" s="821" t="s">
        <v>1153</v>
      </c>
    </row>
    <row r="199" spans="1:8">
      <c r="A199" s="816" t="s">
        <v>1360</v>
      </c>
      <c r="B199" s="816" t="s">
        <v>1361</v>
      </c>
      <c r="C199" s="771"/>
      <c r="D199" s="819" t="s">
        <v>687</v>
      </c>
      <c r="E199" s="816" t="s">
        <v>1279</v>
      </c>
      <c r="F199" s="820" t="s">
        <v>1252</v>
      </c>
      <c r="G199" s="816" t="s">
        <v>419</v>
      </c>
      <c r="H199" s="820" t="s">
        <v>1154</v>
      </c>
    </row>
    <row r="200" spans="1:8">
      <c r="A200" s="817" t="s">
        <v>1356</v>
      </c>
      <c r="B200" s="817" t="s">
        <v>1357</v>
      </c>
      <c r="C200" s="771"/>
      <c r="D200" s="819" t="s">
        <v>687</v>
      </c>
      <c r="E200" s="817" t="s">
        <v>1279</v>
      </c>
      <c r="F200" s="821" t="s">
        <v>650</v>
      </c>
      <c r="G200" s="817" t="s">
        <v>459</v>
      </c>
      <c r="H200" s="821" t="s">
        <v>1157</v>
      </c>
    </row>
    <row r="201" spans="1:8">
      <c r="A201" s="816" t="s">
        <v>1329</v>
      </c>
      <c r="B201" s="816" t="s">
        <v>1330</v>
      </c>
      <c r="C201" s="771"/>
      <c r="D201" s="819" t="s">
        <v>687</v>
      </c>
      <c r="E201" s="816" t="s">
        <v>1279</v>
      </c>
      <c r="F201" s="820" t="s">
        <v>649</v>
      </c>
      <c r="G201" s="816" t="s">
        <v>467</v>
      </c>
      <c r="H201" s="820" t="s">
        <v>1159</v>
      </c>
    </row>
    <row r="202" spans="1:8">
      <c r="A202" s="816" t="s">
        <v>1232</v>
      </c>
      <c r="B202" s="816" t="s">
        <v>1233</v>
      </c>
      <c r="C202" s="771"/>
      <c r="D202" s="819" t="s">
        <v>687</v>
      </c>
      <c r="E202" s="816" t="s">
        <v>1279</v>
      </c>
      <c r="F202" s="820" t="s">
        <v>645</v>
      </c>
      <c r="G202" s="816" t="s">
        <v>374</v>
      </c>
      <c r="H202" s="820" t="s">
        <v>1125</v>
      </c>
    </row>
    <row r="203" spans="1:8">
      <c r="A203" s="817" t="s">
        <v>746</v>
      </c>
      <c r="B203" s="817" t="s">
        <v>747</v>
      </c>
      <c r="C203" s="771"/>
      <c r="D203" s="819" t="s">
        <v>687</v>
      </c>
      <c r="E203" s="817" t="s">
        <v>1279</v>
      </c>
      <c r="F203" s="821" t="s">
        <v>645</v>
      </c>
      <c r="G203" s="817" t="s">
        <v>381</v>
      </c>
      <c r="H203" s="821" t="s">
        <v>1128</v>
      </c>
    </row>
    <row r="204" spans="1:8">
      <c r="A204" s="817" t="s">
        <v>973</v>
      </c>
      <c r="B204" s="817" t="s">
        <v>974</v>
      </c>
      <c r="C204" s="771"/>
      <c r="D204" s="819" t="s">
        <v>687</v>
      </c>
      <c r="E204" s="817" t="s">
        <v>1279</v>
      </c>
      <c r="F204" s="821" t="s">
        <v>651</v>
      </c>
      <c r="G204" s="817" t="s">
        <v>438</v>
      </c>
      <c r="H204" s="821" t="s">
        <v>1148</v>
      </c>
    </row>
    <row r="205" spans="1:8">
      <c r="A205" s="817" t="s">
        <v>935</v>
      </c>
      <c r="B205" s="817" t="s">
        <v>936</v>
      </c>
      <c r="C205" s="771"/>
      <c r="D205" s="819" t="s">
        <v>687</v>
      </c>
      <c r="E205" s="817" t="s">
        <v>1279</v>
      </c>
      <c r="F205" s="821" t="s">
        <v>651</v>
      </c>
      <c r="G205" s="817" t="s">
        <v>423</v>
      </c>
      <c r="H205" s="821" t="s">
        <v>1144</v>
      </c>
    </row>
    <row r="206" spans="1:8">
      <c r="A206" s="816" t="s">
        <v>1011</v>
      </c>
      <c r="B206" s="816" t="s">
        <v>1012</v>
      </c>
      <c r="C206" s="771"/>
      <c r="D206" s="819" t="s">
        <v>687</v>
      </c>
      <c r="E206" s="816" t="s">
        <v>1279</v>
      </c>
      <c r="F206" s="820" t="s">
        <v>1252</v>
      </c>
      <c r="G206" s="816" t="s">
        <v>415</v>
      </c>
      <c r="H206" s="820" t="s">
        <v>1152</v>
      </c>
    </row>
    <row r="207" spans="1:8">
      <c r="A207" s="816" t="s">
        <v>804</v>
      </c>
      <c r="B207" s="816" t="s">
        <v>805</v>
      </c>
      <c r="C207" s="771"/>
      <c r="D207" s="819" t="s">
        <v>687</v>
      </c>
      <c r="E207" s="816" t="s">
        <v>1279</v>
      </c>
      <c r="F207" s="820" t="s">
        <v>1253</v>
      </c>
      <c r="G207" s="816" t="s">
        <v>392</v>
      </c>
      <c r="H207" s="820" t="s">
        <v>1134</v>
      </c>
    </row>
    <row r="208" spans="1:8">
      <c r="A208" s="817" t="s">
        <v>859</v>
      </c>
      <c r="B208" s="817" t="s">
        <v>860</v>
      </c>
      <c r="C208" s="771"/>
      <c r="D208" s="819" t="s">
        <v>687</v>
      </c>
      <c r="E208" s="817" t="s">
        <v>1279</v>
      </c>
      <c r="F208" s="821" t="s">
        <v>652</v>
      </c>
      <c r="G208" s="817" t="s">
        <v>444</v>
      </c>
      <c r="H208" s="821" t="s">
        <v>1139</v>
      </c>
    </row>
    <row r="209" spans="1:8">
      <c r="A209" s="816" t="s">
        <v>718</v>
      </c>
      <c r="B209" s="816" t="s">
        <v>719</v>
      </c>
      <c r="C209" s="771"/>
      <c r="D209" s="819" t="s">
        <v>687</v>
      </c>
      <c r="E209" s="816" t="s">
        <v>1279</v>
      </c>
      <c r="F209" s="820" t="s">
        <v>645</v>
      </c>
      <c r="G209" s="816" t="s">
        <v>377</v>
      </c>
      <c r="H209" s="820" t="s">
        <v>1126</v>
      </c>
    </row>
    <row r="210" spans="1:8">
      <c r="A210" s="816" t="s">
        <v>754</v>
      </c>
      <c r="B210" s="816" t="s">
        <v>755</v>
      </c>
      <c r="C210" s="771"/>
      <c r="D210" s="819" t="s">
        <v>687</v>
      </c>
      <c r="E210" s="816" t="s">
        <v>1279</v>
      </c>
      <c r="F210" s="820" t="s">
        <v>645</v>
      </c>
      <c r="G210" s="816" t="s">
        <v>381</v>
      </c>
      <c r="H210" s="820" t="s">
        <v>1128</v>
      </c>
    </row>
    <row r="211" spans="1:8">
      <c r="A211" s="816" t="s">
        <v>1073</v>
      </c>
      <c r="B211" s="816" t="s">
        <v>1074</v>
      </c>
      <c r="C211" s="771"/>
      <c r="D211" s="819" t="s">
        <v>687</v>
      </c>
      <c r="E211" s="816" t="s">
        <v>1279</v>
      </c>
      <c r="F211" s="820" t="s">
        <v>650</v>
      </c>
      <c r="G211" s="816" t="s">
        <v>461</v>
      </c>
      <c r="H211" s="820" t="s">
        <v>1158</v>
      </c>
    </row>
    <row r="212" spans="1:8">
      <c r="A212" s="817" t="s">
        <v>1117</v>
      </c>
      <c r="B212" s="817" t="s">
        <v>1118</v>
      </c>
      <c r="C212" s="771"/>
      <c r="D212" s="819" t="s">
        <v>687</v>
      </c>
      <c r="E212" s="817" t="s">
        <v>1279</v>
      </c>
      <c r="F212" s="821" t="s">
        <v>649</v>
      </c>
      <c r="G212" s="817" t="s">
        <v>477</v>
      </c>
      <c r="H212" s="821" t="s">
        <v>1161</v>
      </c>
    </row>
    <row r="213" spans="1:8">
      <c r="A213" s="816" t="s">
        <v>845</v>
      </c>
      <c r="B213" s="816" t="s">
        <v>846</v>
      </c>
      <c r="C213" s="771"/>
      <c r="D213" s="819" t="s">
        <v>687</v>
      </c>
      <c r="E213" s="816" t="s">
        <v>1279</v>
      </c>
      <c r="F213" s="820" t="s">
        <v>652</v>
      </c>
      <c r="G213" s="816" t="s">
        <v>440</v>
      </c>
      <c r="H213" s="820" t="s">
        <v>1138</v>
      </c>
    </row>
    <row r="214" spans="1:8">
      <c r="A214" s="816" t="s">
        <v>822</v>
      </c>
      <c r="B214" s="816" t="s">
        <v>823</v>
      </c>
      <c r="C214" s="771"/>
      <c r="D214" s="819" t="s">
        <v>687</v>
      </c>
      <c r="E214" s="816" t="s">
        <v>1279</v>
      </c>
      <c r="F214" s="820" t="s">
        <v>1253</v>
      </c>
      <c r="G214" s="816" t="s">
        <v>399</v>
      </c>
      <c r="H214" s="820" t="s">
        <v>1135</v>
      </c>
    </row>
    <row r="215" spans="1:8">
      <c r="A215" s="817" t="s">
        <v>1057</v>
      </c>
      <c r="B215" s="817" t="s">
        <v>1058</v>
      </c>
      <c r="C215" s="771"/>
      <c r="D215" s="819" t="s">
        <v>687</v>
      </c>
      <c r="E215" s="817" t="s">
        <v>1279</v>
      </c>
      <c r="F215" s="821" t="s">
        <v>650</v>
      </c>
      <c r="G215" s="817" t="s">
        <v>459</v>
      </c>
      <c r="H215" s="821" t="s">
        <v>1157</v>
      </c>
    </row>
    <row r="216" spans="1:8">
      <c r="A216" s="816" t="s">
        <v>861</v>
      </c>
      <c r="B216" s="816" t="s">
        <v>862</v>
      </c>
      <c r="C216" s="771"/>
      <c r="D216" s="819" t="s">
        <v>687</v>
      </c>
      <c r="E216" s="816" t="s">
        <v>1279</v>
      </c>
      <c r="F216" s="820" t="s">
        <v>652</v>
      </c>
      <c r="G216" s="816" t="s">
        <v>444</v>
      </c>
      <c r="H216" s="820" t="s">
        <v>1139</v>
      </c>
    </row>
    <row r="217" spans="1:8">
      <c r="A217" s="817" t="s">
        <v>736</v>
      </c>
      <c r="B217" s="817" t="s">
        <v>737</v>
      </c>
      <c r="C217" s="771"/>
      <c r="D217" s="819" t="s">
        <v>687</v>
      </c>
      <c r="E217" s="817" t="s">
        <v>1279</v>
      </c>
      <c r="F217" s="821" t="s">
        <v>645</v>
      </c>
      <c r="G217" s="817" t="s">
        <v>370</v>
      </c>
      <c r="H217" s="821" t="s">
        <v>689</v>
      </c>
    </row>
    <row r="218" spans="1:8">
      <c r="A218" s="817" t="s">
        <v>1320</v>
      </c>
      <c r="B218" s="817" t="s">
        <v>1321</v>
      </c>
      <c r="C218" s="771"/>
      <c r="D218" s="819" t="s">
        <v>687</v>
      </c>
      <c r="E218" s="817" t="s">
        <v>1279</v>
      </c>
      <c r="F218" s="821" t="s">
        <v>645</v>
      </c>
      <c r="G218" s="817" t="s">
        <v>374</v>
      </c>
      <c r="H218" s="821" t="s">
        <v>1125</v>
      </c>
    </row>
    <row r="219" spans="1:8">
      <c r="A219" s="816" t="s">
        <v>959</v>
      </c>
      <c r="B219" s="816" t="s">
        <v>960</v>
      </c>
      <c r="C219" s="771"/>
      <c r="D219" s="819" t="s">
        <v>687</v>
      </c>
      <c r="E219" s="816" t="s">
        <v>1279</v>
      </c>
      <c r="F219" s="820" t="s">
        <v>651</v>
      </c>
      <c r="G219" s="816" t="s">
        <v>435</v>
      </c>
      <c r="H219" s="820" t="s">
        <v>1147</v>
      </c>
    </row>
    <row r="220" spans="1:8">
      <c r="A220" s="816" t="s">
        <v>1055</v>
      </c>
      <c r="B220" s="816" t="s">
        <v>1056</v>
      </c>
      <c r="C220" s="771"/>
      <c r="D220" s="819" t="s">
        <v>687</v>
      </c>
      <c r="E220" s="816" t="s">
        <v>1279</v>
      </c>
      <c r="F220" s="820" t="s">
        <v>650</v>
      </c>
      <c r="G220" s="816" t="s">
        <v>457</v>
      </c>
      <c r="H220" s="820" t="s">
        <v>1156</v>
      </c>
    </row>
    <row r="221" spans="1:8">
      <c r="A221" s="816" t="s">
        <v>851</v>
      </c>
      <c r="B221" s="816" t="s">
        <v>852</v>
      </c>
      <c r="C221" s="771"/>
      <c r="D221" s="819" t="s">
        <v>687</v>
      </c>
      <c r="E221" s="816" t="s">
        <v>1279</v>
      </c>
      <c r="F221" s="820" t="s">
        <v>652</v>
      </c>
      <c r="G221" s="816" t="s">
        <v>440</v>
      </c>
      <c r="H221" s="820" t="s">
        <v>1138</v>
      </c>
    </row>
    <row r="222" spans="1:8">
      <c r="A222" s="817" t="s">
        <v>961</v>
      </c>
      <c r="B222" s="817" t="s">
        <v>962</v>
      </c>
      <c r="C222" s="771"/>
      <c r="D222" s="819" t="s">
        <v>687</v>
      </c>
      <c r="E222" s="817" t="s">
        <v>1279</v>
      </c>
      <c r="F222" s="821" t="s">
        <v>651</v>
      </c>
      <c r="G222" s="817" t="s">
        <v>435</v>
      </c>
      <c r="H222" s="821" t="s">
        <v>1147</v>
      </c>
    </row>
    <row r="223" spans="1:8">
      <c r="A223" s="817" t="s">
        <v>1250</v>
      </c>
      <c r="B223" s="817" t="s">
        <v>1251</v>
      </c>
      <c r="C223" s="771"/>
      <c r="D223" s="819" t="s">
        <v>687</v>
      </c>
      <c r="E223" s="817" t="s">
        <v>1279</v>
      </c>
      <c r="F223" s="821" t="s">
        <v>645</v>
      </c>
      <c r="G223" s="817" t="s">
        <v>366</v>
      </c>
      <c r="H223" s="821" t="s">
        <v>1124</v>
      </c>
    </row>
    <row r="224" spans="1:8">
      <c r="A224" s="816" t="s">
        <v>985</v>
      </c>
      <c r="B224" s="816" t="s">
        <v>986</v>
      </c>
      <c r="C224" s="771"/>
      <c r="D224" s="819" t="s">
        <v>687</v>
      </c>
      <c r="E224" s="816" t="s">
        <v>1279</v>
      </c>
      <c r="F224" s="820" t="s">
        <v>1252</v>
      </c>
      <c r="G224" s="816" t="s">
        <v>413</v>
      </c>
      <c r="H224" s="820" t="s">
        <v>1151</v>
      </c>
    </row>
    <row r="225" spans="1:8">
      <c r="A225" s="816" t="s">
        <v>927</v>
      </c>
      <c r="B225" s="816" t="s">
        <v>928</v>
      </c>
      <c r="C225" s="771"/>
      <c r="D225" s="819" t="s">
        <v>687</v>
      </c>
      <c r="E225" s="816" t="s">
        <v>1279</v>
      </c>
      <c r="F225" s="820" t="s">
        <v>651</v>
      </c>
      <c r="G225" s="816" t="s">
        <v>423</v>
      </c>
      <c r="H225" s="820" t="s">
        <v>1144</v>
      </c>
    </row>
    <row r="226" spans="1:8">
      <c r="A226" s="816" t="s">
        <v>1107</v>
      </c>
      <c r="B226" s="816" t="s">
        <v>1108</v>
      </c>
      <c r="C226" s="771"/>
      <c r="D226" s="819" t="s">
        <v>687</v>
      </c>
      <c r="E226" s="816" t="s">
        <v>1279</v>
      </c>
      <c r="F226" s="820" t="s">
        <v>649</v>
      </c>
      <c r="G226" s="816" t="s">
        <v>477</v>
      </c>
      <c r="H226" s="820" t="s">
        <v>1161</v>
      </c>
    </row>
    <row r="227" spans="1:8">
      <c r="A227" s="816" t="s">
        <v>913</v>
      </c>
      <c r="B227" s="816" t="s">
        <v>914</v>
      </c>
      <c r="C227" s="771"/>
      <c r="D227" s="819" t="s">
        <v>687</v>
      </c>
      <c r="E227" s="816" t="s">
        <v>1279</v>
      </c>
      <c r="F227" s="820" t="s">
        <v>651</v>
      </c>
      <c r="G227" s="816" t="s">
        <v>421</v>
      </c>
      <c r="H227" s="820" t="s">
        <v>1143</v>
      </c>
    </row>
    <row r="228" spans="1:8">
      <c r="A228" s="816" t="s">
        <v>1318</v>
      </c>
      <c r="B228" s="816" t="s">
        <v>1319</v>
      </c>
      <c r="C228" s="771"/>
      <c r="D228" s="819" t="s">
        <v>687</v>
      </c>
      <c r="E228" s="816" t="s">
        <v>1279</v>
      </c>
      <c r="F228" s="820" t="s">
        <v>651</v>
      </c>
      <c r="G228" s="816" t="s">
        <v>425</v>
      </c>
      <c r="H228" s="820" t="s">
        <v>1145</v>
      </c>
    </row>
    <row r="229" spans="1:8">
      <c r="A229" s="817" t="s">
        <v>1429</v>
      </c>
      <c r="B229" s="817" t="s">
        <v>1430</v>
      </c>
      <c r="C229" s="771"/>
      <c r="D229" s="819" t="s">
        <v>687</v>
      </c>
      <c r="E229" s="817" t="s">
        <v>1279</v>
      </c>
      <c r="F229" s="821" t="s">
        <v>650</v>
      </c>
      <c r="G229" s="817" t="s">
        <v>457</v>
      </c>
      <c r="H229" s="821" t="s">
        <v>1156</v>
      </c>
    </row>
    <row r="230" spans="1:8">
      <c r="A230" s="816" t="s">
        <v>716</v>
      </c>
      <c r="B230" s="816" t="s">
        <v>717</v>
      </c>
      <c r="C230" s="771"/>
      <c r="D230" s="819" t="s">
        <v>687</v>
      </c>
      <c r="E230" s="816" t="s">
        <v>1279</v>
      </c>
      <c r="F230" s="820" t="s">
        <v>645</v>
      </c>
      <c r="G230" s="816" t="s">
        <v>377</v>
      </c>
      <c r="H230" s="820" t="s">
        <v>1126</v>
      </c>
    </row>
    <row r="231" spans="1:8">
      <c r="A231" s="816" t="s">
        <v>993</v>
      </c>
      <c r="B231" s="816" t="s">
        <v>994</v>
      </c>
      <c r="C231" s="771"/>
      <c r="D231" s="819" t="s">
        <v>687</v>
      </c>
      <c r="E231" s="816" t="s">
        <v>1279</v>
      </c>
      <c r="F231" s="820" t="s">
        <v>1252</v>
      </c>
      <c r="G231" s="816" t="s">
        <v>407</v>
      </c>
      <c r="H231" s="820" t="s">
        <v>1150</v>
      </c>
    </row>
    <row r="232" spans="1:8">
      <c r="A232" s="816" t="s">
        <v>889</v>
      </c>
      <c r="B232" s="816" t="s">
        <v>890</v>
      </c>
      <c r="C232" s="771"/>
      <c r="D232" s="819" t="s">
        <v>687</v>
      </c>
      <c r="E232" s="816" t="s">
        <v>1279</v>
      </c>
      <c r="F232" s="820" t="s">
        <v>652</v>
      </c>
      <c r="G232" s="816" t="s">
        <v>448</v>
      </c>
      <c r="H232" s="820" t="s">
        <v>1141</v>
      </c>
    </row>
    <row r="233" spans="1:8">
      <c r="A233" s="816" t="s">
        <v>891</v>
      </c>
      <c r="B233" s="816" t="s">
        <v>892</v>
      </c>
      <c r="C233" s="771"/>
      <c r="D233" s="819" t="s">
        <v>687</v>
      </c>
      <c r="E233" s="816" t="s">
        <v>1279</v>
      </c>
      <c r="F233" s="820" t="s">
        <v>652</v>
      </c>
      <c r="G233" s="816" t="s">
        <v>448</v>
      </c>
      <c r="H233" s="820" t="s">
        <v>1141</v>
      </c>
    </row>
    <row r="234" spans="1:8">
      <c r="A234" s="817" t="s">
        <v>698</v>
      </c>
      <c r="B234" s="817" t="s">
        <v>699</v>
      </c>
      <c r="C234" s="771"/>
      <c r="D234" s="819" t="s">
        <v>687</v>
      </c>
      <c r="E234" s="817" t="s">
        <v>1279</v>
      </c>
      <c r="F234" s="821" t="s">
        <v>645</v>
      </c>
      <c r="G234" s="817" t="s">
        <v>366</v>
      </c>
      <c r="H234" s="821" t="s">
        <v>1124</v>
      </c>
    </row>
    <row r="235" spans="1:8">
      <c r="A235" s="817" t="s">
        <v>1323</v>
      </c>
      <c r="B235" s="817" t="s">
        <v>1324</v>
      </c>
      <c r="C235" s="771"/>
      <c r="D235" s="819" t="s">
        <v>687</v>
      </c>
      <c r="E235" s="817" t="s">
        <v>1279</v>
      </c>
      <c r="F235" s="821" t="s">
        <v>650</v>
      </c>
      <c r="G235" s="817" t="s">
        <v>463</v>
      </c>
      <c r="H235" s="821" t="s">
        <v>690</v>
      </c>
    </row>
    <row r="236" spans="1:8">
      <c r="A236" s="817" t="s">
        <v>849</v>
      </c>
      <c r="B236" s="817" t="s">
        <v>850</v>
      </c>
      <c r="C236" s="771"/>
      <c r="D236" s="819" t="s">
        <v>687</v>
      </c>
      <c r="E236" s="817" t="s">
        <v>1279</v>
      </c>
      <c r="F236" s="821" t="s">
        <v>652</v>
      </c>
      <c r="G236" s="817" t="s">
        <v>440</v>
      </c>
      <c r="H236" s="821" t="s">
        <v>1138</v>
      </c>
    </row>
    <row r="237" spans="1:8">
      <c r="A237" s="817" t="s">
        <v>1344</v>
      </c>
      <c r="B237" s="817" t="s">
        <v>1345</v>
      </c>
      <c r="C237" s="771"/>
      <c r="D237" s="819" t="s">
        <v>684</v>
      </c>
      <c r="E237" s="817" t="s">
        <v>1274</v>
      </c>
      <c r="F237" s="821" t="s">
        <v>652</v>
      </c>
      <c r="G237" s="817" t="s">
        <v>440</v>
      </c>
      <c r="H237" s="821" t="s">
        <v>1138</v>
      </c>
    </row>
    <row r="238" spans="1:8">
      <c r="A238" s="816" t="s">
        <v>1342</v>
      </c>
      <c r="B238" s="816" t="s">
        <v>1343</v>
      </c>
      <c r="C238" s="771"/>
      <c r="D238" s="819" t="s">
        <v>684</v>
      </c>
      <c r="E238" s="816" t="s">
        <v>1274</v>
      </c>
      <c r="F238" s="820" t="s">
        <v>650</v>
      </c>
      <c r="G238" s="816" t="s">
        <v>459</v>
      </c>
      <c r="H238" s="820" t="s">
        <v>1157</v>
      </c>
    </row>
    <row r="239" spans="1:8">
      <c r="A239" s="817" t="s">
        <v>1331</v>
      </c>
      <c r="B239" s="817" t="s">
        <v>1332</v>
      </c>
      <c r="C239" s="771"/>
      <c r="D239" s="819" t="s">
        <v>684</v>
      </c>
      <c r="E239" s="817" t="s">
        <v>1274</v>
      </c>
      <c r="F239" s="821" t="s">
        <v>1337</v>
      </c>
      <c r="G239" s="817" t="s">
        <v>383</v>
      </c>
      <c r="H239" s="821" t="s">
        <v>1129</v>
      </c>
    </row>
    <row r="240" spans="1:8">
      <c r="A240" s="816" t="s">
        <v>1308</v>
      </c>
      <c r="B240" s="816" t="s">
        <v>1309</v>
      </c>
      <c r="C240" s="771"/>
      <c r="D240" s="819" t="s">
        <v>684</v>
      </c>
      <c r="E240" s="816" t="s">
        <v>1274</v>
      </c>
      <c r="F240" s="820" t="s">
        <v>1253</v>
      </c>
      <c r="G240" s="816" t="s">
        <v>403</v>
      </c>
      <c r="H240" s="820" t="s">
        <v>1137</v>
      </c>
    </row>
    <row r="241" spans="1:8">
      <c r="A241" s="817" t="s">
        <v>1306</v>
      </c>
      <c r="B241" s="817" t="s">
        <v>1307</v>
      </c>
      <c r="C241" s="771"/>
      <c r="D241" s="819" t="s">
        <v>684</v>
      </c>
      <c r="E241" s="817" t="s">
        <v>1274</v>
      </c>
      <c r="F241" s="821" t="s">
        <v>1253</v>
      </c>
      <c r="G241" s="817" t="s">
        <v>399</v>
      </c>
      <c r="H241" s="821" t="s">
        <v>1135</v>
      </c>
    </row>
    <row r="242" spans="1:8">
      <c r="A242" s="817" t="s">
        <v>1310</v>
      </c>
      <c r="B242" s="817" t="s">
        <v>1311</v>
      </c>
      <c r="C242" s="771"/>
      <c r="D242" s="819" t="s">
        <v>684</v>
      </c>
      <c r="E242" s="817" t="s">
        <v>1274</v>
      </c>
      <c r="F242" s="821" t="s">
        <v>652</v>
      </c>
      <c r="G242" s="817" t="s">
        <v>444</v>
      </c>
      <c r="H242" s="821" t="s">
        <v>1139</v>
      </c>
    </row>
    <row r="243" spans="1:8">
      <c r="A243" s="817" t="s">
        <v>1302</v>
      </c>
      <c r="B243" s="817" t="s">
        <v>1303</v>
      </c>
      <c r="C243" s="771"/>
      <c r="D243" s="819" t="s">
        <v>684</v>
      </c>
      <c r="E243" s="817" t="s">
        <v>1274</v>
      </c>
      <c r="F243" s="821" t="s">
        <v>1253</v>
      </c>
      <c r="G243" s="817" t="s">
        <v>389</v>
      </c>
      <c r="H243" s="821" t="s">
        <v>1132</v>
      </c>
    </row>
    <row r="244" spans="1:8">
      <c r="A244" s="816" t="s">
        <v>1312</v>
      </c>
      <c r="B244" s="816" t="s">
        <v>1313</v>
      </c>
      <c r="C244" s="771"/>
      <c r="D244" s="819" t="s">
        <v>684</v>
      </c>
      <c r="E244" s="816" t="s">
        <v>1274</v>
      </c>
      <c r="F244" s="820" t="s">
        <v>651</v>
      </c>
      <c r="G244" s="816" t="s">
        <v>425</v>
      </c>
      <c r="H244" s="820" t="s">
        <v>1145</v>
      </c>
    </row>
    <row r="245" spans="1:8">
      <c r="A245" s="817" t="s">
        <v>1288</v>
      </c>
      <c r="B245" s="817" t="s">
        <v>1289</v>
      </c>
      <c r="C245" s="771"/>
      <c r="D245" s="819" t="s">
        <v>684</v>
      </c>
      <c r="E245" s="817" t="s">
        <v>1274</v>
      </c>
      <c r="F245" s="821" t="s">
        <v>651</v>
      </c>
      <c r="G245" s="817" t="s">
        <v>429</v>
      </c>
      <c r="H245" s="821" t="s">
        <v>1146</v>
      </c>
    </row>
    <row r="246" spans="1:8">
      <c r="A246" s="817" t="s">
        <v>1284</v>
      </c>
      <c r="B246" s="817" t="s">
        <v>1285</v>
      </c>
      <c r="C246" s="771"/>
      <c r="D246" s="819" t="s">
        <v>684</v>
      </c>
      <c r="E246" s="817" t="s">
        <v>1274</v>
      </c>
      <c r="F246" s="821" t="s">
        <v>1253</v>
      </c>
      <c r="G246" s="817" t="s">
        <v>397</v>
      </c>
      <c r="H246" s="821" t="s">
        <v>1133</v>
      </c>
    </row>
    <row r="247" spans="1:8">
      <c r="A247" s="816" t="s">
        <v>1275</v>
      </c>
      <c r="B247" s="816" t="s">
        <v>1276</v>
      </c>
      <c r="C247" s="771"/>
      <c r="D247" s="819" t="s">
        <v>684</v>
      </c>
      <c r="E247" s="816" t="s">
        <v>1274</v>
      </c>
      <c r="F247" s="820" t="s">
        <v>650</v>
      </c>
      <c r="G247" s="816" t="s">
        <v>457</v>
      </c>
      <c r="H247" s="820" t="s">
        <v>1156</v>
      </c>
    </row>
    <row r="248" spans="1:8">
      <c r="A248" s="816" t="s">
        <v>1272</v>
      </c>
      <c r="B248" s="816" t="s">
        <v>1273</v>
      </c>
      <c r="C248" s="771"/>
      <c r="D248" s="819" t="s">
        <v>684</v>
      </c>
      <c r="E248" s="816" t="s">
        <v>1274</v>
      </c>
      <c r="F248" s="820" t="s">
        <v>1253</v>
      </c>
      <c r="G248" s="816" t="s">
        <v>397</v>
      </c>
      <c r="H248" s="820" t="s">
        <v>1133</v>
      </c>
    </row>
    <row r="249" spans="1:8">
      <c r="A249" s="817" t="s">
        <v>1222</v>
      </c>
      <c r="B249" s="817" t="s">
        <v>1223</v>
      </c>
      <c r="C249" s="771"/>
      <c r="D249" s="819" t="s">
        <v>684</v>
      </c>
      <c r="E249" s="817" t="s">
        <v>1274</v>
      </c>
      <c r="F249" s="821" t="s">
        <v>649</v>
      </c>
      <c r="G249" s="817" t="s">
        <v>473</v>
      </c>
      <c r="H249" s="821" t="s">
        <v>1160</v>
      </c>
    </row>
    <row r="250" spans="1:8">
      <c r="A250" s="817" t="s">
        <v>1453</v>
      </c>
      <c r="B250" s="817" t="s">
        <v>1454</v>
      </c>
      <c r="C250" s="771"/>
      <c r="D250" s="819" t="s">
        <v>1458</v>
      </c>
      <c r="E250" s="817" t="s">
        <v>1274</v>
      </c>
      <c r="F250" s="821" t="s">
        <v>649</v>
      </c>
      <c r="G250" s="817" t="s">
        <v>467</v>
      </c>
      <c r="H250" s="821" t="s">
        <v>1159</v>
      </c>
    </row>
    <row r="251" spans="1:8">
      <c r="A251" s="816" t="s">
        <v>1322</v>
      </c>
      <c r="B251" s="816" t="s">
        <v>1455</v>
      </c>
      <c r="C251" s="771"/>
      <c r="D251" s="819" t="s">
        <v>684</v>
      </c>
      <c r="E251" s="816" t="s">
        <v>1274</v>
      </c>
      <c r="F251" s="820" t="s">
        <v>1252</v>
      </c>
      <c r="G251" s="816" t="s">
        <v>405</v>
      </c>
      <c r="H251" s="820" t="s">
        <v>1149</v>
      </c>
    </row>
    <row r="252" spans="1:8">
      <c r="A252" s="816" t="s">
        <v>983</v>
      </c>
      <c r="B252" s="816" t="s">
        <v>984</v>
      </c>
      <c r="C252" s="771"/>
      <c r="D252" s="819" t="s">
        <v>684</v>
      </c>
      <c r="E252" s="816" t="s">
        <v>1274</v>
      </c>
      <c r="F252" s="820" t="s">
        <v>1252</v>
      </c>
      <c r="G252" s="816" t="s">
        <v>405</v>
      </c>
      <c r="H252" s="820" t="s">
        <v>1149</v>
      </c>
    </row>
    <row r="253" spans="1:8">
      <c r="A253" s="817" t="s">
        <v>1456</v>
      </c>
      <c r="B253" s="817" t="s">
        <v>1457</v>
      </c>
      <c r="C253" s="771"/>
      <c r="D253" s="819" t="s">
        <v>684</v>
      </c>
      <c r="E253" s="817" t="s">
        <v>1274</v>
      </c>
      <c r="F253" s="821" t="s">
        <v>649</v>
      </c>
      <c r="G253" s="817" t="s">
        <v>473</v>
      </c>
      <c r="H253" s="821" t="s">
        <v>1160</v>
      </c>
    </row>
    <row r="254" spans="1:8">
      <c r="A254" s="817" t="s">
        <v>1017</v>
      </c>
      <c r="B254" s="817" t="s">
        <v>1018</v>
      </c>
      <c r="C254" s="771"/>
      <c r="D254" s="819" t="s">
        <v>684</v>
      </c>
      <c r="E254" s="817" t="s">
        <v>1274</v>
      </c>
      <c r="F254" s="821" t="s">
        <v>1252</v>
      </c>
      <c r="G254" s="817" t="s">
        <v>417</v>
      </c>
      <c r="H254" s="821" t="s">
        <v>1153</v>
      </c>
    </row>
    <row r="255" spans="1:8">
      <c r="A255" s="817" t="s">
        <v>937</v>
      </c>
      <c r="B255" s="817" t="s">
        <v>938</v>
      </c>
      <c r="C255" s="771"/>
      <c r="D255" s="819" t="s">
        <v>684</v>
      </c>
      <c r="E255" s="817" t="s">
        <v>1274</v>
      </c>
      <c r="F255" s="821" t="s">
        <v>651</v>
      </c>
      <c r="G255" s="817" t="s">
        <v>425</v>
      </c>
      <c r="H255" s="821" t="s">
        <v>1145</v>
      </c>
    </row>
    <row r="256" spans="1:8">
      <c r="A256" s="816" t="s">
        <v>995</v>
      </c>
      <c r="B256" s="816" t="s">
        <v>996</v>
      </c>
      <c r="C256" s="771"/>
      <c r="D256" s="819" t="s">
        <v>684</v>
      </c>
      <c r="E256" s="816" t="s">
        <v>1274</v>
      </c>
      <c r="F256" s="820" t="s">
        <v>1252</v>
      </c>
      <c r="G256" s="816" t="s">
        <v>407</v>
      </c>
      <c r="H256" s="820" t="s">
        <v>1150</v>
      </c>
    </row>
    <row r="257" spans="1:8">
      <c r="A257" s="816" t="s">
        <v>1096</v>
      </c>
      <c r="B257" s="816" t="s">
        <v>870</v>
      </c>
      <c r="C257" s="771"/>
      <c r="D257" s="819" t="s">
        <v>684</v>
      </c>
      <c r="E257" s="816" t="s">
        <v>1274</v>
      </c>
      <c r="F257" s="820" t="s">
        <v>649</v>
      </c>
      <c r="G257" s="816" t="s">
        <v>471</v>
      </c>
      <c r="H257" s="820" t="s">
        <v>692</v>
      </c>
    </row>
    <row r="258" spans="1:8">
      <c r="A258" s="817" t="s">
        <v>895</v>
      </c>
      <c r="B258" s="817" t="s">
        <v>896</v>
      </c>
      <c r="C258" s="771"/>
      <c r="D258" s="819" t="s">
        <v>684</v>
      </c>
      <c r="E258" s="817" t="s">
        <v>1274</v>
      </c>
      <c r="F258" s="821" t="s">
        <v>652</v>
      </c>
      <c r="G258" s="817" t="s">
        <v>448</v>
      </c>
      <c r="H258" s="821" t="s">
        <v>1141</v>
      </c>
    </row>
    <row r="259" spans="1:8">
      <c r="A259" s="816" t="s">
        <v>1003</v>
      </c>
      <c r="B259" s="816" t="s">
        <v>1004</v>
      </c>
      <c r="C259" s="771"/>
      <c r="D259" s="819" t="s">
        <v>684</v>
      </c>
      <c r="E259" s="816" t="s">
        <v>1274</v>
      </c>
      <c r="F259" s="820" t="s">
        <v>1252</v>
      </c>
      <c r="G259" s="816" t="s">
        <v>407</v>
      </c>
      <c r="H259" s="820" t="s">
        <v>1150</v>
      </c>
    </row>
    <row r="260" spans="1:8">
      <c r="A260" s="816" t="s">
        <v>965</v>
      </c>
      <c r="B260" s="816" t="s">
        <v>966</v>
      </c>
      <c r="C260" s="771"/>
      <c r="D260" s="819" t="s">
        <v>684</v>
      </c>
      <c r="E260" s="816" t="s">
        <v>1274</v>
      </c>
      <c r="F260" s="820" t="s">
        <v>651</v>
      </c>
      <c r="G260" s="816" t="s">
        <v>435</v>
      </c>
      <c r="H260" s="820" t="s">
        <v>1147</v>
      </c>
    </row>
    <row r="261" spans="1:8">
      <c r="A261" s="816" t="s">
        <v>730</v>
      </c>
      <c r="B261" s="816" t="s">
        <v>731</v>
      </c>
      <c r="C261" s="771"/>
      <c r="D261" s="819" t="s">
        <v>684</v>
      </c>
      <c r="E261" s="816" t="s">
        <v>1274</v>
      </c>
      <c r="F261" s="820" t="s">
        <v>645</v>
      </c>
      <c r="G261" s="816" t="s">
        <v>379</v>
      </c>
      <c r="H261" s="820" t="s">
        <v>1127</v>
      </c>
    </row>
    <row r="262" spans="1:8">
      <c r="A262" s="817" t="s">
        <v>1047</v>
      </c>
      <c r="B262" s="817" t="s">
        <v>1048</v>
      </c>
      <c r="C262" s="771"/>
      <c r="D262" s="819" t="s">
        <v>684</v>
      </c>
      <c r="E262" s="817" t="s">
        <v>1274</v>
      </c>
      <c r="F262" s="821" t="s">
        <v>650</v>
      </c>
      <c r="G262" s="817" t="s">
        <v>455</v>
      </c>
      <c r="H262" s="821" t="s">
        <v>1155</v>
      </c>
    </row>
    <row r="263" spans="1:8">
      <c r="A263" s="817" t="s">
        <v>963</v>
      </c>
      <c r="B263" s="817" t="s">
        <v>964</v>
      </c>
      <c r="C263" s="771"/>
      <c r="D263" s="819" t="s">
        <v>684</v>
      </c>
      <c r="E263" s="817" t="s">
        <v>1274</v>
      </c>
      <c r="F263" s="821" t="s">
        <v>651</v>
      </c>
      <c r="G263" s="817" t="s">
        <v>435</v>
      </c>
      <c r="H263" s="821" t="s">
        <v>1147</v>
      </c>
    </row>
    <row r="264" spans="1:8">
      <c r="A264" s="816" t="s">
        <v>1065</v>
      </c>
      <c r="B264" s="816" t="s">
        <v>1066</v>
      </c>
      <c r="C264" s="771"/>
      <c r="D264" s="819" t="s">
        <v>684</v>
      </c>
      <c r="E264" s="816" t="s">
        <v>1274</v>
      </c>
      <c r="F264" s="820" t="s">
        <v>650</v>
      </c>
      <c r="G264" s="816" t="s">
        <v>459</v>
      </c>
      <c r="H264" s="820" t="s">
        <v>1157</v>
      </c>
    </row>
    <row r="265" spans="1:8">
      <c r="A265" s="817" t="s">
        <v>919</v>
      </c>
      <c r="B265" s="817" t="s">
        <v>920</v>
      </c>
      <c r="C265" s="771"/>
      <c r="D265" s="819" t="s">
        <v>684</v>
      </c>
      <c r="E265" s="817" t="s">
        <v>1274</v>
      </c>
      <c r="F265" s="821" t="s">
        <v>651</v>
      </c>
      <c r="G265" s="817" t="s">
        <v>421</v>
      </c>
      <c r="H265" s="821" t="s">
        <v>1143</v>
      </c>
    </row>
    <row r="266" spans="1:8">
      <c r="A266" s="816" t="s">
        <v>903</v>
      </c>
      <c r="B266" s="816" t="s">
        <v>904</v>
      </c>
      <c r="C266" s="771"/>
      <c r="D266" s="819" t="s">
        <v>684</v>
      </c>
      <c r="E266" s="816" t="s">
        <v>1274</v>
      </c>
      <c r="F266" s="820" t="s">
        <v>652</v>
      </c>
      <c r="G266" s="816" t="s">
        <v>450</v>
      </c>
      <c r="H266" s="820" t="s">
        <v>1142</v>
      </c>
    </row>
    <row r="267" spans="1:8">
      <c r="A267" s="816" t="s">
        <v>865</v>
      </c>
      <c r="B267" s="816" t="s">
        <v>866</v>
      </c>
      <c r="C267" s="771"/>
      <c r="D267" s="819" t="s">
        <v>684</v>
      </c>
      <c r="E267" s="816" t="s">
        <v>1274</v>
      </c>
      <c r="F267" s="820" t="s">
        <v>652</v>
      </c>
      <c r="G267" s="816" t="s">
        <v>444</v>
      </c>
      <c r="H267" s="820" t="s">
        <v>1139</v>
      </c>
    </row>
    <row r="268" spans="1:8">
      <c r="A268" s="817" t="s">
        <v>790</v>
      </c>
      <c r="B268" s="817" t="s">
        <v>791</v>
      </c>
      <c r="C268" s="771"/>
      <c r="D268" s="819" t="s">
        <v>684</v>
      </c>
      <c r="E268" s="817" t="s">
        <v>1274</v>
      </c>
      <c r="F268" s="821" t="s">
        <v>1253</v>
      </c>
      <c r="G268" s="817" t="s">
        <v>397</v>
      </c>
      <c r="H268" s="821" t="s">
        <v>1133</v>
      </c>
    </row>
    <row r="269" spans="1:8">
      <c r="A269" s="816" t="s">
        <v>1013</v>
      </c>
      <c r="B269" s="816" t="s">
        <v>1014</v>
      </c>
      <c r="C269" s="771"/>
      <c r="D269" s="819" t="s">
        <v>684</v>
      </c>
      <c r="E269" s="816" t="s">
        <v>1274</v>
      </c>
      <c r="F269" s="820" t="s">
        <v>1252</v>
      </c>
      <c r="G269" s="816" t="s">
        <v>415</v>
      </c>
      <c r="H269" s="820" t="s">
        <v>1152</v>
      </c>
    </row>
    <row r="270" spans="1:8">
      <c r="A270" s="817" t="s">
        <v>728</v>
      </c>
      <c r="B270" s="817" t="s">
        <v>729</v>
      </c>
      <c r="C270" s="771"/>
      <c r="D270" s="819" t="s">
        <v>684</v>
      </c>
      <c r="E270" s="817" t="s">
        <v>1274</v>
      </c>
      <c r="F270" s="821" t="s">
        <v>645</v>
      </c>
      <c r="G270" s="817" t="s">
        <v>379</v>
      </c>
      <c r="H270" s="821" t="s">
        <v>1127</v>
      </c>
    </row>
    <row r="271" spans="1:8">
      <c r="A271" s="817" t="s">
        <v>917</v>
      </c>
      <c r="B271" s="817" t="s">
        <v>918</v>
      </c>
      <c r="C271" s="771"/>
      <c r="D271" s="819" t="s">
        <v>684</v>
      </c>
      <c r="E271" s="817" t="s">
        <v>1274</v>
      </c>
      <c r="F271" s="821" t="s">
        <v>651</v>
      </c>
      <c r="G271" s="817" t="s">
        <v>421</v>
      </c>
      <c r="H271" s="821" t="s">
        <v>1143</v>
      </c>
    </row>
    <row r="272" spans="1:8">
      <c r="A272" s="817" t="s">
        <v>863</v>
      </c>
      <c r="B272" s="817" t="s">
        <v>864</v>
      </c>
      <c r="C272" s="771"/>
      <c r="D272" s="819" t="s">
        <v>684</v>
      </c>
      <c r="E272" s="817" t="s">
        <v>1274</v>
      </c>
      <c r="F272" s="821" t="s">
        <v>652</v>
      </c>
      <c r="G272" s="817" t="s">
        <v>444</v>
      </c>
      <c r="H272" s="821" t="s">
        <v>1139</v>
      </c>
    </row>
    <row r="273" spans="1:8">
      <c r="A273" s="816" t="s">
        <v>782</v>
      </c>
      <c r="B273" s="816" t="s">
        <v>783</v>
      </c>
      <c r="C273" s="771"/>
      <c r="D273" s="819" t="s">
        <v>684</v>
      </c>
      <c r="E273" s="816" t="s">
        <v>1274</v>
      </c>
      <c r="F273" s="820" t="s">
        <v>1337</v>
      </c>
      <c r="G273" s="816" t="s">
        <v>387</v>
      </c>
      <c r="H273" s="820" t="s">
        <v>1131</v>
      </c>
    </row>
    <row r="274" spans="1:8">
      <c r="A274" s="817" t="s">
        <v>1218</v>
      </c>
      <c r="B274" s="817" t="s">
        <v>1219</v>
      </c>
      <c r="C274" s="771"/>
      <c r="D274" s="819" t="s">
        <v>684</v>
      </c>
      <c r="E274" s="817" t="s">
        <v>1274</v>
      </c>
      <c r="F274" s="821" t="s">
        <v>1337</v>
      </c>
      <c r="G274" s="817" t="s">
        <v>387</v>
      </c>
      <c r="H274" s="821" t="s">
        <v>1131</v>
      </c>
    </row>
    <row r="275" spans="1:8">
      <c r="A275" s="817" t="s">
        <v>1015</v>
      </c>
      <c r="B275" s="817" t="s">
        <v>1016</v>
      </c>
      <c r="C275" s="771"/>
      <c r="D275" s="819" t="s">
        <v>684</v>
      </c>
      <c r="E275" s="817" t="s">
        <v>1274</v>
      </c>
      <c r="F275" s="821" t="s">
        <v>1252</v>
      </c>
      <c r="G275" s="817" t="s">
        <v>415</v>
      </c>
      <c r="H275" s="821" t="s">
        <v>1152</v>
      </c>
    </row>
    <row r="276" spans="1:8">
      <c r="A276" s="816" t="s">
        <v>1119</v>
      </c>
      <c r="B276" s="816" t="s">
        <v>1120</v>
      </c>
      <c r="C276" s="771"/>
      <c r="D276" s="819" t="s">
        <v>684</v>
      </c>
      <c r="E276" s="816" t="s">
        <v>1274</v>
      </c>
      <c r="F276" s="820" t="s">
        <v>649</v>
      </c>
      <c r="G276" s="816" t="s">
        <v>480</v>
      </c>
      <c r="H276" s="820" t="s">
        <v>1162</v>
      </c>
    </row>
    <row r="277" spans="1:8">
      <c r="A277" s="816" t="s">
        <v>905</v>
      </c>
      <c r="B277" s="816" t="s">
        <v>906</v>
      </c>
      <c r="C277" s="771"/>
      <c r="D277" s="819" t="s">
        <v>684</v>
      </c>
      <c r="E277" s="816" t="s">
        <v>1274</v>
      </c>
      <c r="F277" s="820" t="s">
        <v>652</v>
      </c>
      <c r="G277" s="816" t="s">
        <v>450</v>
      </c>
      <c r="H277" s="820" t="s">
        <v>1142</v>
      </c>
    </row>
    <row r="278" spans="1:8">
      <c r="A278" s="817" t="s">
        <v>929</v>
      </c>
      <c r="B278" s="817" t="s">
        <v>930</v>
      </c>
      <c r="C278" s="771"/>
      <c r="D278" s="819" t="s">
        <v>684</v>
      </c>
      <c r="E278" s="817" t="s">
        <v>1274</v>
      </c>
      <c r="F278" s="821" t="s">
        <v>651</v>
      </c>
      <c r="G278" s="817" t="s">
        <v>423</v>
      </c>
      <c r="H278" s="821" t="s">
        <v>1144</v>
      </c>
    </row>
    <row r="279" spans="1:8">
      <c r="A279" s="817" t="s">
        <v>1121</v>
      </c>
      <c r="B279" s="817" t="s">
        <v>1122</v>
      </c>
      <c r="C279" s="771"/>
      <c r="D279" s="819" t="s">
        <v>684</v>
      </c>
      <c r="E279" s="817" t="s">
        <v>1274</v>
      </c>
      <c r="F279" s="821" t="s">
        <v>649</v>
      </c>
      <c r="G279" s="817" t="s">
        <v>480</v>
      </c>
      <c r="H279" s="821" t="s">
        <v>1162</v>
      </c>
    </row>
    <row r="280" spans="1:8">
      <c r="A280" s="817" t="s">
        <v>1092</v>
      </c>
      <c r="B280" s="817" t="s">
        <v>1093</v>
      </c>
      <c r="C280" s="771"/>
      <c r="D280" s="819" t="s">
        <v>684</v>
      </c>
      <c r="E280" s="817" t="s">
        <v>1274</v>
      </c>
      <c r="F280" s="821" t="s">
        <v>649</v>
      </c>
      <c r="G280" s="817" t="s">
        <v>467</v>
      </c>
      <c r="H280" s="821" t="s">
        <v>1159</v>
      </c>
    </row>
    <row r="281" spans="1:8">
      <c r="A281" s="817" t="s">
        <v>893</v>
      </c>
      <c r="B281" s="817" t="s">
        <v>894</v>
      </c>
      <c r="C281" s="771"/>
      <c r="D281" s="819" t="s">
        <v>684</v>
      </c>
      <c r="E281" s="817" t="s">
        <v>1274</v>
      </c>
      <c r="F281" s="821" t="s">
        <v>652</v>
      </c>
      <c r="G281" s="817" t="s">
        <v>448</v>
      </c>
      <c r="H281" s="821" t="s">
        <v>1141</v>
      </c>
    </row>
    <row r="282" spans="1:8">
      <c r="A282" s="816" t="s">
        <v>824</v>
      </c>
      <c r="B282" s="816" t="s">
        <v>825</v>
      </c>
      <c r="C282" s="771"/>
      <c r="D282" s="819" t="s">
        <v>684</v>
      </c>
      <c r="E282" s="816" t="s">
        <v>1274</v>
      </c>
      <c r="F282" s="820" t="s">
        <v>1253</v>
      </c>
      <c r="G282" s="816" t="s">
        <v>401</v>
      </c>
      <c r="H282" s="820" t="s">
        <v>1136</v>
      </c>
    </row>
    <row r="283" spans="1:8">
      <c r="A283" s="817" t="s">
        <v>806</v>
      </c>
      <c r="B283" s="817" t="s">
        <v>807</v>
      </c>
      <c r="C283" s="771"/>
      <c r="D283" s="819" t="s">
        <v>684</v>
      </c>
      <c r="E283" s="817" t="s">
        <v>1274</v>
      </c>
      <c r="F283" s="821" t="s">
        <v>1253</v>
      </c>
      <c r="G283" s="817" t="s">
        <v>392</v>
      </c>
      <c r="H283" s="821" t="s">
        <v>1134</v>
      </c>
    </row>
    <row r="284" spans="1:8">
      <c r="A284" s="816" t="s">
        <v>879</v>
      </c>
      <c r="B284" s="816" t="s">
        <v>880</v>
      </c>
      <c r="C284" s="771"/>
      <c r="D284" s="819" t="s">
        <v>684</v>
      </c>
      <c r="E284" s="816" t="s">
        <v>1274</v>
      </c>
      <c r="F284" s="820" t="s">
        <v>652</v>
      </c>
      <c r="G284" s="816" t="s">
        <v>442</v>
      </c>
      <c r="H284" s="820" t="s">
        <v>1140</v>
      </c>
    </row>
    <row r="285" spans="1:8">
      <c r="A285" s="817" t="s">
        <v>881</v>
      </c>
      <c r="B285" s="817" t="s">
        <v>882</v>
      </c>
      <c r="C285" s="771"/>
      <c r="D285" s="819" t="s">
        <v>684</v>
      </c>
      <c r="E285" s="817" t="s">
        <v>1274</v>
      </c>
      <c r="F285" s="821" t="s">
        <v>652</v>
      </c>
      <c r="G285" s="817" t="s">
        <v>442</v>
      </c>
      <c r="H285" s="821" t="s">
        <v>1140</v>
      </c>
    </row>
    <row r="286" spans="1:8">
      <c r="A286" s="816" t="s">
        <v>835</v>
      </c>
      <c r="B286" s="816" t="s">
        <v>836</v>
      </c>
      <c r="C286" s="771"/>
      <c r="D286" s="819" t="s">
        <v>684</v>
      </c>
      <c r="E286" s="816" t="s">
        <v>1274</v>
      </c>
      <c r="F286" s="820" t="s">
        <v>650</v>
      </c>
      <c r="G286" s="816" t="s">
        <v>461</v>
      </c>
      <c r="H286" s="820" t="s">
        <v>1158</v>
      </c>
    </row>
    <row r="287" spans="1:8">
      <c r="A287" s="816" t="s">
        <v>1192</v>
      </c>
      <c r="B287" s="816" t="s">
        <v>828</v>
      </c>
      <c r="C287" s="771"/>
      <c r="D287" s="819" t="s">
        <v>684</v>
      </c>
      <c r="E287" s="816" t="s">
        <v>1274</v>
      </c>
      <c r="F287" s="820" t="s">
        <v>651</v>
      </c>
      <c r="G287" s="816" t="s">
        <v>435</v>
      </c>
      <c r="H287" s="820" t="s">
        <v>1147</v>
      </c>
    </row>
    <row r="288" spans="1:8">
      <c r="A288" s="816" t="s">
        <v>977</v>
      </c>
      <c r="B288" s="816" t="s">
        <v>978</v>
      </c>
      <c r="C288" s="771"/>
      <c r="D288" s="819" t="s">
        <v>684</v>
      </c>
      <c r="E288" s="816" t="s">
        <v>1274</v>
      </c>
      <c r="F288" s="820" t="s">
        <v>651</v>
      </c>
      <c r="G288" s="816" t="s">
        <v>438</v>
      </c>
      <c r="H288" s="820" t="s">
        <v>1148</v>
      </c>
    </row>
    <row r="289" spans="1:8">
      <c r="A289" s="816" t="s">
        <v>1037</v>
      </c>
      <c r="B289" s="816" t="s">
        <v>1038</v>
      </c>
      <c r="C289" s="771"/>
      <c r="D289" s="819" t="s">
        <v>684</v>
      </c>
      <c r="E289" s="816" t="s">
        <v>1274</v>
      </c>
      <c r="F289" s="820" t="s">
        <v>1252</v>
      </c>
      <c r="G289" s="816" t="s">
        <v>419</v>
      </c>
      <c r="H289" s="820" t="s">
        <v>1154</v>
      </c>
    </row>
    <row r="290" spans="1:8">
      <c r="A290" s="817" t="s">
        <v>1190</v>
      </c>
      <c r="B290" s="817" t="s">
        <v>1191</v>
      </c>
      <c r="C290" s="771"/>
      <c r="D290" s="819" t="s">
        <v>684</v>
      </c>
      <c r="E290" s="817" t="s">
        <v>1274</v>
      </c>
      <c r="F290" s="821" t="s">
        <v>651</v>
      </c>
      <c r="G290" s="817" t="s">
        <v>435</v>
      </c>
      <c r="H290" s="821" t="s">
        <v>1147</v>
      </c>
    </row>
    <row r="291" spans="1:8">
      <c r="A291" s="817" t="s">
        <v>1364</v>
      </c>
      <c r="B291" s="817" t="s">
        <v>1365</v>
      </c>
      <c r="C291" s="771"/>
      <c r="D291" s="819" t="s">
        <v>687</v>
      </c>
      <c r="E291" s="817" t="s">
        <v>1279</v>
      </c>
      <c r="F291" s="821" t="s">
        <v>651</v>
      </c>
      <c r="G291" s="817" t="s">
        <v>425</v>
      </c>
      <c r="H291" s="821" t="s">
        <v>1145</v>
      </c>
    </row>
    <row r="292" spans="1:8">
      <c r="A292" s="817" t="s">
        <v>1354</v>
      </c>
      <c r="B292" s="817" t="s">
        <v>1355</v>
      </c>
      <c r="C292" s="771"/>
      <c r="D292" s="819" t="s">
        <v>687</v>
      </c>
      <c r="E292" s="817" t="s">
        <v>1279</v>
      </c>
      <c r="F292" s="821" t="s">
        <v>649</v>
      </c>
      <c r="G292" s="817" t="s">
        <v>467</v>
      </c>
      <c r="H292" s="821" t="s">
        <v>1159</v>
      </c>
    </row>
    <row r="293" spans="1:8">
      <c r="A293" s="816" t="s">
        <v>1362</v>
      </c>
      <c r="B293" s="816" t="s">
        <v>1363</v>
      </c>
      <c r="C293" s="771"/>
      <c r="D293" s="819" t="s">
        <v>687</v>
      </c>
      <c r="E293" s="816" t="s">
        <v>1279</v>
      </c>
      <c r="F293" s="820" t="s">
        <v>1252</v>
      </c>
      <c r="G293" s="816" t="s">
        <v>413</v>
      </c>
      <c r="H293" s="820" t="s">
        <v>1151</v>
      </c>
    </row>
    <row r="294" spans="1:8">
      <c r="A294" s="817" t="s">
        <v>1352</v>
      </c>
      <c r="B294" s="817" t="s">
        <v>1353</v>
      </c>
      <c r="C294" s="771"/>
      <c r="D294" s="819" t="s">
        <v>687</v>
      </c>
      <c r="E294" s="817" t="s">
        <v>1279</v>
      </c>
      <c r="F294" s="821" t="s">
        <v>1252</v>
      </c>
      <c r="G294" s="817" t="s">
        <v>405</v>
      </c>
      <c r="H294" s="821" t="s">
        <v>1149</v>
      </c>
    </row>
    <row r="295" spans="1:8">
      <c r="A295" s="817" t="s">
        <v>1350</v>
      </c>
      <c r="B295" s="817" t="s">
        <v>1351</v>
      </c>
      <c r="C295" s="771"/>
      <c r="D295" s="819" t="s">
        <v>687</v>
      </c>
      <c r="E295" s="817" t="s">
        <v>1279</v>
      </c>
      <c r="F295" s="821" t="s">
        <v>649</v>
      </c>
      <c r="G295" s="817" t="s">
        <v>473</v>
      </c>
      <c r="H295" s="821" t="s">
        <v>1160</v>
      </c>
    </row>
    <row r="296" spans="1:8">
      <c r="A296" s="816" t="s">
        <v>1346</v>
      </c>
      <c r="B296" s="816" t="s">
        <v>1347</v>
      </c>
      <c r="C296" s="771"/>
      <c r="D296" s="819" t="s">
        <v>687</v>
      </c>
      <c r="E296" s="816" t="s">
        <v>1279</v>
      </c>
      <c r="F296" s="820" t="s">
        <v>650</v>
      </c>
      <c r="G296" s="816" t="s">
        <v>461</v>
      </c>
      <c r="H296" s="820" t="s">
        <v>1158</v>
      </c>
    </row>
    <row r="297" spans="1:8">
      <c r="A297" s="816" t="s">
        <v>1348</v>
      </c>
      <c r="B297" s="816" t="s">
        <v>1349</v>
      </c>
      <c r="C297" s="771"/>
      <c r="D297" s="819" t="s">
        <v>687</v>
      </c>
      <c r="E297" s="816" t="s">
        <v>1279</v>
      </c>
      <c r="F297" s="820" t="s">
        <v>649</v>
      </c>
      <c r="G297" s="816" t="s">
        <v>480</v>
      </c>
      <c r="H297" s="820" t="s">
        <v>1162</v>
      </c>
    </row>
    <row r="298" spans="1:8">
      <c r="A298" s="816" t="s">
        <v>1327</v>
      </c>
      <c r="B298" s="816" t="s">
        <v>1328</v>
      </c>
      <c r="C298" s="771"/>
      <c r="D298" s="819" t="s">
        <v>687</v>
      </c>
      <c r="E298" s="816" t="s">
        <v>1279</v>
      </c>
      <c r="F298" s="820" t="s">
        <v>651</v>
      </c>
      <c r="G298" s="816" t="s">
        <v>429</v>
      </c>
      <c r="H298" s="820" t="s">
        <v>1146</v>
      </c>
    </row>
    <row r="299" spans="1:8">
      <c r="A299" s="817" t="s">
        <v>1325</v>
      </c>
      <c r="B299" s="817" t="s">
        <v>1326</v>
      </c>
      <c r="C299" s="771"/>
      <c r="D299" s="819" t="s">
        <v>687</v>
      </c>
      <c r="E299" s="817" t="s">
        <v>1279</v>
      </c>
      <c r="F299" s="821" t="s">
        <v>650</v>
      </c>
      <c r="G299" s="817" t="s">
        <v>463</v>
      </c>
      <c r="H299" s="821" t="s">
        <v>690</v>
      </c>
    </row>
    <row r="300" spans="1:8">
      <c r="A300" s="816" t="s">
        <v>1316</v>
      </c>
      <c r="B300" s="816" t="s">
        <v>1317</v>
      </c>
      <c r="C300" s="771"/>
      <c r="D300" s="819" t="s">
        <v>687</v>
      </c>
      <c r="E300" s="816" t="s">
        <v>1279</v>
      </c>
      <c r="F300" s="820" t="s">
        <v>650</v>
      </c>
      <c r="G300" s="816" t="s">
        <v>455</v>
      </c>
      <c r="H300" s="820" t="s">
        <v>1155</v>
      </c>
    </row>
    <row r="301" spans="1:8">
      <c r="A301" s="816" t="s">
        <v>1314</v>
      </c>
      <c r="B301" s="816" t="s">
        <v>1315</v>
      </c>
      <c r="C301" s="771"/>
      <c r="D301" s="819" t="s">
        <v>687</v>
      </c>
      <c r="E301" s="816" t="s">
        <v>1279</v>
      </c>
      <c r="F301" s="820" t="s">
        <v>1253</v>
      </c>
      <c r="G301" s="816" t="s">
        <v>397</v>
      </c>
      <c r="H301" s="820" t="s">
        <v>1133</v>
      </c>
    </row>
    <row r="302" spans="1:8">
      <c r="A302" s="817" t="s">
        <v>1294</v>
      </c>
      <c r="B302" s="817" t="s">
        <v>1295</v>
      </c>
      <c r="C302" s="771"/>
      <c r="D302" s="819" t="s">
        <v>687</v>
      </c>
      <c r="E302" s="817" t="s">
        <v>1279</v>
      </c>
      <c r="F302" s="821" t="s">
        <v>652</v>
      </c>
      <c r="G302" s="817" t="s">
        <v>442</v>
      </c>
      <c r="H302" s="821" t="s">
        <v>1140</v>
      </c>
    </row>
    <row r="303" spans="1:8">
      <c r="A303" s="816" t="s">
        <v>1296</v>
      </c>
      <c r="B303" s="816" t="s">
        <v>1297</v>
      </c>
      <c r="C303" s="771"/>
      <c r="D303" s="819" t="s">
        <v>687</v>
      </c>
      <c r="E303" s="816" t="s">
        <v>1279</v>
      </c>
      <c r="F303" s="820" t="s">
        <v>652</v>
      </c>
      <c r="G303" s="816" t="s">
        <v>450</v>
      </c>
      <c r="H303" s="820" t="s">
        <v>1142</v>
      </c>
    </row>
    <row r="304" spans="1:8">
      <c r="A304" s="817" t="s">
        <v>1298</v>
      </c>
      <c r="B304" s="817" t="s">
        <v>1299</v>
      </c>
      <c r="C304" s="771"/>
      <c r="D304" s="819" t="s">
        <v>687</v>
      </c>
      <c r="E304" s="817" t="s">
        <v>1279</v>
      </c>
      <c r="F304" s="821" t="s">
        <v>652</v>
      </c>
      <c r="G304" s="817" t="s">
        <v>444</v>
      </c>
      <c r="H304" s="821" t="s">
        <v>1139</v>
      </c>
    </row>
    <row r="305" spans="1:8">
      <c r="A305" s="816" t="s">
        <v>1292</v>
      </c>
      <c r="B305" s="816" t="s">
        <v>1293</v>
      </c>
      <c r="C305" s="771"/>
      <c r="D305" s="819" t="s">
        <v>687</v>
      </c>
      <c r="E305" s="816" t="s">
        <v>1279</v>
      </c>
      <c r="F305" s="820" t="s">
        <v>1253</v>
      </c>
      <c r="G305" s="816" t="s">
        <v>403</v>
      </c>
      <c r="H305" s="820" t="s">
        <v>1137</v>
      </c>
    </row>
    <row r="306" spans="1:8">
      <c r="A306" s="817" t="s">
        <v>1290</v>
      </c>
      <c r="B306" s="817" t="s">
        <v>1291</v>
      </c>
      <c r="C306" s="771"/>
      <c r="D306" s="819" t="s">
        <v>687</v>
      </c>
      <c r="E306" s="817" t="s">
        <v>1279</v>
      </c>
      <c r="F306" s="821" t="s">
        <v>649</v>
      </c>
      <c r="G306" s="817" t="s">
        <v>480</v>
      </c>
      <c r="H306" s="821" t="s">
        <v>1162</v>
      </c>
    </row>
    <row r="307" spans="1:8">
      <c r="A307" s="817" t="s">
        <v>1282</v>
      </c>
      <c r="B307" s="817" t="s">
        <v>1283</v>
      </c>
      <c r="C307" s="771"/>
      <c r="D307" s="819" t="s">
        <v>687</v>
      </c>
      <c r="E307" s="817" t="s">
        <v>1279</v>
      </c>
      <c r="F307" s="821" t="s">
        <v>645</v>
      </c>
      <c r="G307" s="817" t="s">
        <v>379</v>
      </c>
      <c r="H307" s="821" t="s">
        <v>1127</v>
      </c>
    </row>
    <row r="308" spans="1:8">
      <c r="A308" s="816" t="s">
        <v>1280</v>
      </c>
      <c r="B308" s="816" t="s">
        <v>1281</v>
      </c>
      <c r="C308" s="771"/>
      <c r="D308" s="819" t="s">
        <v>687</v>
      </c>
      <c r="E308" s="816" t="s">
        <v>1279</v>
      </c>
      <c r="F308" s="820" t="s">
        <v>649</v>
      </c>
      <c r="G308" s="816" t="s">
        <v>471</v>
      </c>
      <c r="H308" s="820" t="s">
        <v>692</v>
      </c>
    </row>
    <row r="309" spans="1:8">
      <c r="A309" s="816" t="s">
        <v>1268</v>
      </c>
      <c r="B309" s="816" t="s">
        <v>1269</v>
      </c>
      <c r="C309" s="771"/>
      <c r="D309" s="819" t="s">
        <v>687</v>
      </c>
      <c r="E309" s="816" t="s">
        <v>1279</v>
      </c>
      <c r="F309" s="820" t="s">
        <v>1337</v>
      </c>
      <c r="G309" s="816" t="s">
        <v>383</v>
      </c>
      <c r="H309" s="820" t="s">
        <v>1129</v>
      </c>
    </row>
    <row r="310" spans="1:8">
      <c r="A310" s="816" t="s">
        <v>1270</v>
      </c>
      <c r="B310" s="816" t="s">
        <v>1271</v>
      </c>
      <c r="C310" s="771"/>
      <c r="D310" s="819" t="s">
        <v>687</v>
      </c>
      <c r="E310" s="816" t="s">
        <v>1279</v>
      </c>
      <c r="F310" s="820" t="s">
        <v>651</v>
      </c>
      <c r="G310" s="816" t="s">
        <v>435</v>
      </c>
      <c r="H310" s="820" t="s">
        <v>1147</v>
      </c>
    </row>
    <row r="311" spans="1:8">
      <c r="A311" s="816" t="s">
        <v>1246</v>
      </c>
      <c r="B311" s="816" t="s">
        <v>1247</v>
      </c>
      <c r="C311" s="771"/>
      <c r="D311" s="819" t="s">
        <v>687</v>
      </c>
      <c r="E311" s="816" t="s">
        <v>1279</v>
      </c>
      <c r="F311" s="820" t="s">
        <v>1253</v>
      </c>
      <c r="G311" s="816" t="s">
        <v>399</v>
      </c>
      <c r="H311" s="820" t="s">
        <v>1135</v>
      </c>
    </row>
    <row r="312" spans="1:8">
      <c r="A312" s="817" t="s">
        <v>1286</v>
      </c>
      <c r="B312" s="817" t="s">
        <v>1287</v>
      </c>
      <c r="C312" s="771"/>
      <c r="D312" s="819" t="s">
        <v>687</v>
      </c>
      <c r="E312" s="817" t="s">
        <v>1279</v>
      </c>
      <c r="F312" s="821" t="s">
        <v>650</v>
      </c>
      <c r="G312" s="817" t="s">
        <v>457</v>
      </c>
      <c r="H312" s="821" t="s">
        <v>1156</v>
      </c>
    </row>
    <row r="313" spans="1:8">
      <c r="A313" s="817" t="s">
        <v>1236</v>
      </c>
      <c r="B313" s="817" t="s">
        <v>1237</v>
      </c>
      <c r="C313" s="771"/>
      <c r="D313" s="819" t="s">
        <v>687</v>
      </c>
      <c r="E313" s="817" t="s">
        <v>1279</v>
      </c>
      <c r="F313" s="821" t="s">
        <v>1252</v>
      </c>
      <c r="G313" s="817" t="s">
        <v>413</v>
      </c>
      <c r="H313" s="821" t="s">
        <v>1151</v>
      </c>
    </row>
    <row r="314" spans="1:8">
      <c r="A314" s="817" t="s">
        <v>1234</v>
      </c>
      <c r="B314" s="817" t="s">
        <v>1235</v>
      </c>
      <c r="C314" s="771"/>
      <c r="D314" s="819" t="s">
        <v>687</v>
      </c>
      <c r="E314" s="817" t="s">
        <v>1279</v>
      </c>
      <c r="F314" s="821" t="s">
        <v>1253</v>
      </c>
      <c r="G314" s="817" t="s">
        <v>392</v>
      </c>
      <c r="H314" s="821" t="s">
        <v>1134</v>
      </c>
    </row>
    <row r="315" spans="1:8">
      <c r="A315" s="817" t="s">
        <v>1224</v>
      </c>
      <c r="B315" s="817" t="s">
        <v>1225</v>
      </c>
      <c r="C315" s="771"/>
      <c r="D315" s="819" t="s">
        <v>687</v>
      </c>
      <c r="E315" s="817" t="s">
        <v>1279</v>
      </c>
      <c r="F315" s="821" t="s">
        <v>1252</v>
      </c>
      <c r="G315" s="817" t="s">
        <v>405</v>
      </c>
      <c r="H315" s="821" t="s">
        <v>1149</v>
      </c>
    </row>
    <row r="316" spans="1:8">
      <c r="A316" s="816" t="s">
        <v>1226</v>
      </c>
      <c r="B316" s="816" t="s">
        <v>1227</v>
      </c>
      <c r="C316" s="771"/>
      <c r="D316" s="819" t="s">
        <v>687</v>
      </c>
      <c r="E316" s="816" t="s">
        <v>1279</v>
      </c>
      <c r="F316" s="820" t="s">
        <v>652</v>
      </c>
      <c r="G316" s="816" t="s">
        <v>450</v>
      </c>
      <c r="H316" s="820" t="s">
        <v>1142</v>
      </c>
    </row>
    <row r="317" spans="1:8">
      <c r="A317" s="816" t="s">
        <v>1220</v>
      </c>
      <c r="B317" s="816" t="s">
        <v>1221</v>
      </c>
      <c r="C317" s="771"/>
      <c r="D317" s="819" t="s">
        <v>687</v>
      </c>
      <c r="E317" s="816" t="s">
        <v>1279</v>
      </c>
      <c r="F317" s="820" t="s">
        <v>649</v>
      </c>
      <c r="G317" s="816" t="s">
        <v>471</v>
      </c>
      <c r="H317" s="820" t="s">
        <v>692</v>
      </c>
    </row>
    <row r="318" spans="1:8">
      <c r="A318" s="816" t="s">
        <v>1335</v>
      </c>
      <c r="B318" s="816" t="s">
        <v>1336</v>
      </c>
      <c r="C318" s="771"/>
      <c r="D318" s="819" t="s">
        <v>687</v>
      </c>
      <c r="E318" s="816" t="s">
        <v>1279</v>
      </c>
      <c r="F318" s="820" t="s">
        <v>649</v>
      </c>
      <c r="G318" s="816" t="s">
        <v>471</v>
      </c>
      <c r="H318" s="820" t="s">
        <v>692</v>
      </c>
    </row>
    <row r="319" spans="1:8">
      <c r="A319" s="817" t="s">
        <v>1199</v>
      </c>
      <c r="B319" s="817" t="s">
        <v>1200</v>
      </c>
      <c r="C319" s="771"/>
      <c r="D319" s="819" t="s">
        <v>687</v>
      </c>
      <c r="E319" s="817" t="s">
        <v>1279</v>
      </c>
      <c r="F319" s="821" t="s">
        <v>1253</v>
      </c>
      <c r="G319" s="817" t="s">
        <v>389</v>
      </c>
      <c r="H319" s="821" t="s">
        <v>1132</v>
      </c>
    </row>
    <row r="320" spans="1:8">
      <c r="A320" s="817" t="s">
        <v>1195</v>
      </c>
      <c r="B320" s="817" t="s">
        <v>1196</v>
      </c>
      <c r="C320" s="771"/>
      <c r="D320" s="819" t="s">
        <v>687</v>
      </c>
      <c r="E320" s="817" t="s">
        <v>1279</v>
      </c>
      <c r="F320" s="821" t="s">
        <v>1252</v>
      </c>
      <c r="G320" s="817" t="s">
        <v>407</v>
      </c>
      <c r="H320" s="821" t="s">
        <v>1150</v>
      </c>
    </row>
    <row r="321" spans="1:8">
      <c r="A321" s="817" t="s">
        <v>1197</v>
      </c>
      <c r="B321" s="817" t="s">
        <v>1198</v>
      </c>
      <c r="C321" s="771"/>
      <c r="D321" s="819" t="s">
        <v>687</v>
      </c>
      <c r="E321" s="817" t="s">
        <v>1279</v>
      </c>
      <c r="F321" s="821" t="s">
        <v>651</v>
      </c>
      <c r="G321" s="817" t="s">
        <v>438</v>
      </c>
      <c r="H321" s="821" t="s">
        <v>1148</v>
      </c>
    </row>
    <row r="322" spans="1:8">
      <c r="A322" s="817" t="s">
        <v>1186</v>
      </c>
      <c r="B322" s="817" t="s">
        <v>1187</v>
      </c>
      <c r="C322" s="771"/>
      <c r="D322" s="819" t="s">
        <v>687</v>
      </c>
      <c r="E322" s="817" t="s">
        <v>1279</v>
      </c>
      <c r="F322" s="821" t="s">
        <v>1337</v>
      </c>
      <c r="G322" s="817" t="s">
        <v>383</v>
      </c>
      <c r="H322" s="821" t="s">
        <v>1129</v>
      </c>
    </row>
    <row r="323" spans="1:8">
      <c r="A323" s="817" t="s">
        <v>1193</v>
      </c>
      <c r="B323" s="817" t="s">
        <v>1194</v>
      </c>
      <c r="C323" s="771"/>
      <c r="D323" s="819" t="s">
        <v>687</v>
      </c>
      <c r="E323" s="817" t="s">
        <v>1279</v>
      </c>
      <c r="F323" s="821" t="s">
        <v>645</v>
      </c>
      <c r="G323" s="817" t="s">
        <v>379</v>
      </c>
      <c r="H323" s="821" t="s">
        <v>1127</v>
      </c>
    </row>
    <row r="324" spans="1:8">
      <c r="A324" s="816" t="s">
        <v>1184</v>
      </c>
      <c r="B324" s="816" t="s">
        <v>1185</v>
      </c>
      <c r="C324" s="771"/>
      <c r="D324" s="819" t="s">
        <v>687</v>
      </c>
      <c r="E324" s="816" t="s">
        <v>1279</v>
      </c>
      <c r="F324" s="820" t="s">
        <v>645</v>
      </c>
      <c r="G324" s="816" t="s">
        <v>377</v>
      </c>
      <c r="H324" s="820" t="s">
        <v>1126</v>
      </c>
    </row>
    <row r="325" spans="1:8">
      <c r="A325" s="816" t="s">
        <v>1177</v>
      </c>
      <c r="B325" s="816" t="s">
        <v>1178</v>
      </c>
      <c r="C325" s="771"/>
      <c r="D325" s="819" t="s">
        <v>687</v>
      </c>
      <c r="E325" s="816" t="s">
        <v>1279</v>
      </c>
      <c r="F325" s="820" t="s">
        <v>651</v>
      </c>
      <c r="G325" s="816" t="s">
        <v>423</v>
      </c>
      <c r="H325" s="820" t="s">
        <v>1144</v>
      </c>
    </row>
    <row r="326" spans="1:8">
      <c r="A326" s="816" t="s">
        <v>1400</v>
      </c>
      <c r="B326" s="816" t="s">
        <v>1401</v>
      </c>
      <c r="C326" s="771"/>
      <c r="D326" s="819" t="s">
        <v>687</v>
      </c>
      <c r="E326" s="816" t="s">
        <v>1279</v>
      </c>
      <c r="F326" s="820" t="s">
        <v>1253</v>
      </c>
      <c r="G326" s="816" t="s">
        <v>397</v>
      </c>
      <c r="H326" s="820" t="s">
        <v>1133</v>
      </c>
    </row>
    <row r="327" spans="1:8">
      <c r="A327" s="817" t="s">
        <v>814</v>
      </c>
      <c r="B327" s="817" t="s">
        <v>815</v>
      </c>
      <c r="C327" s="771"/>
      <c r="D327" s="819" t="s">
        <v>687</v>
      </c>
      <c r="E327" s="817" t="s">
        <v>1279</v>
      </c>
      <c r="F327" s="821" t="s">
        <v>1253</v>
      </c>
      <c r="G327" s="817" t="s">
        <v>401</v>
      </c>
      <c r="H327" s="821" t="s">
        <v>1136</v>
      </c>
    </row>
    <row r="328" spans="1:8">
      <c r="A328" s="816" t="s">
        <v>933</v>
      </c>
      <c r="B328" s="816" t="s">
        <v>934</v>
      </c>
      <c r="C328" s="771"/>
      <c r="D328" s="819" t="s">
        <v>686</v>
      </c>
      <c r="E328" s="816" t="s">
        <v>1279</v>
      </c>
      <c r="F328" s="820" t="s">
        <v>651</v>
      </c>
      <c r="G328" s="816" t="s">
        <v>421</v>
      </c>
      <c r="H328" s="820" t="s">
        <v>1143</v>
      </c>
    </row>
    <row r="329" spans="1:8">
      <c r="A329" s="816" t="s">
        <v>991</v>
      </c>
      <c r="B329" s="816" t="s">
        <v>992</v>
      </c>
      <c r="C329" s="771"/>
      <c r="D329" s="819" t="s">
        <v>687</v>
      </c>
      <c r="E329" s="816" t="s">
        <v>1279</v>
      </c>
      <c r="F329" s="820" t="s">
        <v>1252</v>
      </c>
      <c r="G329" s="816" t="s">
        <v>419</v>
      </c>
      <c r="H329" s="820" t="s">
        <v>1154</v>
      </c>
    </row>
    <row r="330" spans="1:8">
      <c r="A330" s="816" t="s">
        <v>1045</v>
      </c>
      <c r="B330" s="816" t="s">
        <v>1046</v>
      </c>
      <c r="C330" s="771"/>
      <c r="D330" s="819" t="s">
        <v>687</v>
      </c>
      <c r="E330" s="816" t="s">
        <v>1279</v>
      </c>
      <c r="F330" s="820" t="s">
        <v>650</v>
      </c>
      <c r="G330" s="816" t="s">
        <v>455</v>
      </c>
      <c r="H330" s="820" t="s">
        <v>1155</v>
      </c>
    </row>
    <row r="331" spans="1:8">
      <c r="A331" s="816" t="s">
        <v>911</v>
      </c>
      <c r="B331" s="816" t="s">
        <v>912</v>
      </c>
      <c r="C331" s="771"/>
      <c r="D331" s="819" t="s">
        <v>687</v>
      </c>
      <c r="E331" s="816" t="s">
        <v>1279</v>
      </c>
      <c r="F331" s="820" t="s">
        <v>651</v>
      </c>
      <c r="G331" s="816" t="s">
        <v>421</v>
      </c>
      <c r="H331" s="820" t="s">
        <v>1143</v>
      </c>
    </row>
    <row r="332" spans="1:8">
      <c r="A332" s="817" t="s">
        <v>873</v>
      </c>
      <c r="B332" s="817" t="s">
        <v>874</v>
      </c>
      <c r="C332" s="771"/>
      <c r="D332" s="819" t="s">
        <v>687</v>
      </c>
      <c r="E332" s="817" t="s">
        <v>1279</v>
      </c>
      <c r="F332" s="821" t="s">
        <v>652</v>
      </c>
      <c r="G332" s="817" t="s">
        <v>442</v>
      </c>
      <c r="H332" s="821" t="s">
        <v>1140</v>
      </c>
    </row>
    <row r="333" spans="1:8">
      <c r="A333" s="816" t="s">
        <v>1090</v>
      </c>
      <c r="B333" s="816" t="s">
        <v>1091</v>
      </c>
      <c r="C333" s="771"/>
      <c r="D333" s="819" t="s">
        <v>687</v>
      </c>
      <c r="E333" s="816" t="s">
        <v>1279</v>
      </c>
      <c r="F333" s="820" t="s">
        <v>649</v>
      </c>
      <c r="G333" s="816" t="s">
        <v>471</v>
      </c>
      <c r="H333" s="820" t="s">
        <v>692</v>
      </c>
    </row>
    <row r="334" spans="1:8">
      <c r="A334" s="816" t="s">
        <v>738</v>
      </c>
      <c r="B334" s="816" t="s">
        <v>739</v>
      </c>
      <c r="C334" s="771"/>
      <c r="D334" s="819" t="s">
        <v>687</v>
      </c>
      <c r="E334" s="816" t="s">
        <v>1279</v>
      </c>
      <c r="F334" s="820" t="s">
        <v>645</v>
      </c>
      <c r="G334" s="816" t="s">
        <v>370</v>
      </c>
      <c r="H334" s="820" t="s">
        <v>689</v>
      </c>
    </row>
    <row r="335" spans="1:8">
      <c r="A335" s="817" t="s">
        <v>780</v>
      </c>
      <c r="B335" s="817" t="s">
        <v>781</v>
      </c>
      <c r="C335" s="771"/>
      <c r="D335" s="819" t="s">
        <v>687</v>
      </c>
      <c r="E335" s="817" t="s">
        <v>1279</v>
      </c>
      <c r="F335" s="821" t="s">
        <v>1337</v>
      </c>
      <c r="G335" s="817" t="s">
        <v>387</v>
      </c>
      <c r="H335" s="821" t="s">
        <v>1131</v>
      </c>
    </row>
    <row r="336" spans="1:8">
      <c r="A336" s="816" t="s">
        <v>947</v>
      </c>
      <c r="B336" s="816" t="s">
        <v>948</v>
      </c>
      <c r="C336" s="771"/>
      <c r="D336" s="819" t="s">
        <v>687</v>
      </c>
      <c r="E336" s="816" t="s">
        <v>1279</v>
      </c>
      <c r="F336" s="820" t="s">
        <v>651</v>
      </c>
      <c r="G336" s="816" t="s">
        <v>429</v>
      </c>
      <c r="H336" s="820" t="s">
        <v>1146</v>
      </c>
    </row>
    <row r="337" spans="1:8">
      <c r="A337" s="817" t="s">
        <v>1025</v>
      </c>
      <c r="B337" s="817" t="s">
        <v>1026</v>
      </c>
      <c r="C337" s="771"/>
      <c r="D337" s="819" t="s">
        <v>687</v>
      </c>
      <c r="E337" s="817" t="s">
        <v>1279</v>
      </c>
      <c r="F337" s="821" t="s">
        <v>1252</v>
      </c>
      <c r="G337" s="817" t="s">
        <v>417</v>
      </c>
      <c r="H337" s="821" t="s">
        <v>1153</v>
      </c>
    </row>
    <row r="338" spans="1:8">
      <c r="A338" s="817" t="s">
        <v>756</v>
      </c>
      <c r="B338" s="817" t="s">
        <v>757</v>
      </c>
      <c r="C338" s="771"/>
      <c r="D338" s="819" t="s">
        <v>687</v>
      </c>
      <c r="E338" s="817" t="s">
        <v>1279</v>
      </c>
      <c r="F338" s="821" t="s">
        <v>645</v>
      </c>
      <c r="G338" s="817" t="s">
        <v>381</v>
      </c>
      <c r="H338" s="821" t="s">
        <v>1128</v>
      </c>
    </row>
    <row r="339" spans="1:8">
      <c r="A339" s="817" t="s">
        <v>1333</v>
      </c>
      <c r="B339" s="817" t="s">
        <v>1334</v>
      </c>
      <c r="D339" s="819" t="s">
        <v>687</v>
      </c>
      <c r="E339" s="817" t="s">
        <v>1279</v>
      </c>
      <c r="F339" s="821" t="s">
        <v>1337</v>
      </c>
      <c r="G339" s="817" t="s">
        <v>385</v>
      </c>
      <c r="H339" s="821" t="s">
        <v>1130</v>
      </c>
    </row>
    <row r="340" spans="1:8">
      <c r="A340" s="816" t="s">
        <v>1171</v>
      </c>
      <c r="B340" s="816" t="s">
        <v>1172</v>
      </c>
      <c r="D340" s="819" t="s">
        <v>687</v>
      </c>
      <c r="E340" s="816" t="s">
        <v>1279</v>
      </c>
      <c r="F340" s="820" t="s">
        <v>1337</v>
      </c>
      <c r="G340" s="816" t="s">
        <v>383</v>
      </c>
      <c r="H340" s="820" t="s">
        <v>1129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CED62-FA0F-4A8C-9DC7-F334BC51CB6A}">
  <sheetPr>
    <tabColor rgb="FFFFFF00"/>
  </sheetPr>
  <dimension ref="A1:V64"/>
  <sheetViews>
    <sheetView workbookViewId="0">
      <selection activeCell="F14" sqref="F14"/>
    </sheetView>
  </sheetViews>
  <sheetFormatPr defaultRowHeight="17"/>
  <cols>
    <col min="10" max="10" width="10.58203125" customWidth="1"/>
    <col min="11" max="12" width="9.75" customWidth="1"/>
    <col min="14" max="22" width="12.75" customWidth="1"/>
  </cols>
  <sheetData>
    <row r="1" spans="1:17" ht="25" thickBot="1">
      <c r="A1" s="833" t="s">
        <v>1462</v>
      </c>
      <c r="B1" s="834"/>
      <c r="N1" s="834" t="s">
        <v>1463</v>
      </c>
      <c r="P1" s="835">
        <v>0.6</v>
      </c>
      <c r="Q1" s="835">
        <v>0.4</v>
      </c>
    </row>
    <row r="2" spans="1:17" ht="39.75" customHeight="1">
      <c r="A2" s="969" t="s">
        <v>310</v>
      </c>
      <c r="B2" s="970"/>
      <c r="C2" s="836" t="s">
        <v>1464</v>
      </c>
      <c r="D2" s="837" t="s">
        <v>1465</v>
      </c>
      <c r="E2" s="837" t="s">
        <v>1466</v>
      </c>
      <c r="F2" s="837" t="s">
        <v>1467</v>
      </c>
      <c r="G2" s="837" t="s">
        <v>1468</v>
      </c>
      <c r="H2" s="837" t="s">
        <v>1469</v>
      </c>
      <c r="N2" s="838" t="s">
        <v>656</v>
      </c>
      <c r="O2" s="839" t="s">
        <v>1470</v>
      </c>
      <c r="P2" s="840" t="s">
        <v>1471</v>
      </c>
      <c r="Q2" s="840" t="s">
        <v>1472</v>
      </c>
    </row>
    <row r="3" spans="1:17">
      <c r="A3" s="949" t="s">
        <v>656</v>
      </c>
      <c r="B3" s="971"/>
      <c r="C3" s="841">
        <v>13500</v>
      </c>
      <c r="D3" s="841">
        <v>8000</v>
      </c>
      <c r="E3" s="841">
        <v>800</v>
      </c>
      <c r="F3" s="841">
        <v>500</v>
      </c>
      <c r="G3" s="841">
        <v>300</v>
      </c>
      <c r="H3" s="841">
        <v>200</v>
      </c>
      <c r="N3" s="832"/>
      <c r="O3" s="842">
        <v>1</v>
      </c>
      <c r="P3" s="843">
        <v>1</v>
      </c>
      <c r="Q3" s="843">
        <v>1</v>
      </c>
    </row>
    <row r="4" spans="1:17">
      <c r="A4" s="967" t="s">
        <v>331</v>
      </c>
      <c r="B4" s="968"/>
      <c r="C4" s="844">
        <v>2488</v>
      </c>
      <c r="D4" s="844">
        <v>1474</v>
      </c>
      <c r="E4" s="844">
        <v>147</v>
      </c>
      <c r="F4" s="844">
        <v>92</v>
      </c>
      <c r="G4" s="844">
        <v>55</v>
      </c>
      <c r="H4" s="844">
        <v>37</v>
      </c>
      <c r="N4" s="845" t="s">
        <v>331</v>
      </c>
      <c r="O4" s="846">
        <v>0.18427511432573884</v>
      </c>
      <c r="P4" s="831">
        <v>0.18882760341153076</v>
      </c>
      <c r="Q4" s="831">
        <v>0.17744638069705093</v>
      </c>
    </row>
    <row r="5" spans="1:17">
      <c r="A5" s="967" t="s">
        <v>332</v>
      </c>
      <c r="B5" s="968"/>
      <c r="C5" s="844">
        <v>1854</v>
      </c>
      <c r="D5" s="844">
        <v>1099</v>
      </c>
      <c r="E5" s="844">
        <v>110</v>
      </c>
      <c r="F5" s="844">
        <v>69</v>
      </c>
      <c r="G5" s="844">
        <v>41</v>
      </c>
      <c r="H5" s="844">
        <v>27</v>
      </c>
      <c r="N5" s="845" t="s">
        <v>332</v>
      </c>
      <c r="O5" s="846">
        <v>0.13732268638909023</v>
      </c>
      <c r="P5" s="831">
        <v>0.13135103674321116</v>
      </c>
      <c r="Q5" s="831">
        <v>0.14628016085790885</v>
      </c>
    </row>
    <row r="6" spans="1:17">
      <c r="A6" s="967" t="s">
        <v>1240</v>
      </c>
      <c r="B6" s="968"/>
      <c r="C6" s="844">
        <v>1769</v>
      </c>
      <c r="D6" s="844">
        <v>1048</v>
      </c>
      <c r="E6" s="844">
        <v>105</v>
      </c>
      <c r="F6" s="844">
        <v>66</v>
      </c>
      <c r="G6" s="844">
        <v>39</v>
      </c>
      <c r="H6" s="844">
        <v>26</v>
      </c>
      <c r="N6" s="845" t="s">
        <v>1240</v>
      </c>
      <c r="O6" s="846">
        <v>0.13102799070386195</v>
      </c>
      <c r="P6" s="831">
        <v>0.13219812570393435</v>
      </c>
      <c r="Q6" s="831">
        <v>0.12927278820375335</v>
      </c>
    </row>
    <row r="7" spans="1:17">
      <c r="A7" s="967" t="s">
        <v>351</v>
      </c>
      <c r="B7" s="968"/>
      <c r="C7" s="844">
        <v>2446</v>
      </c>
      <c r="D7" s="844">
        <v>1450</v>
      </c>
      <c r="E7" s="844">
        <v>145</v>
      </c>
      <c r="F7" s="844">
        <v>91</v>
      </c>
      <c r="G7" s="844">
        <v>54</v>
      </c>
      <c r="H7" s="844">
        <v>36</v>
      </c>
      <c r="N7" s="845" t="s">
        <v>351</v>
      </c>
      <c r="O7" s="846">
        <v>0.18119472507517648</v>
      </c>
      <c r="P7" s="831">
        <v>0.17296976073744783</v>
      </c>
      <c r="Q7" s="831">
        <v>0.19353217158176944</v>
      </c>
    </row>
    <row r="8" spans="1:17">
      <c r="A8" s="967" t="s">
        <v>352</v>
      </c>
      <c r="B8" s="968"/>
      <c r="C8" s="844">
        <v>1514</v>
      </c>
      <c r="D8" s="844">
        <v>897</v>
      </c>
      <c r="E8" s="844">
        <v>90</v>
      </c>
      <c r="F8" s="844">
        <v>56</v>
      </c>
      <c r="G8" s="844">
        <v>34</v>
      </c>
      <c r="H8" s="844">
        <v>22</v>
      </c>
      <c r="N8" s="845" t="s">
        <v>352</v>
      </c>
      <c r="O8" s="846">
        <v>0.11217940027893265</v>
      </c>
      <c r="P8" s="831">
        <v>0.11117254827543288</v>
      </c>
      <c r="Q8" s="831">
        <v>0.11368967828418231</v>
      </c>
    </row>
    <row r="9" spans="1:17">
      <c r="A9" s="967" t="s">
        <v>354</v>
      </c>
      <c r="B9" s="968"/>
      <c r="C9" s="844">
        <v>2095</v>
      </c>
      <c r="D9" s="844">
        <v>1242</v>
      </c>
      <c r="E9" s="844">
        <v>124</v>
      </c>
      <c r="F9" s="844">
        <v>78</v>
      </c>
      <c r="G9" s="844">
        <v>47</v>
      </c>
      <c r="H9" s="844">
        <v>31</v>
      </c>
      <c r="N9" s="845" t="s">
        <v>354</v>
      </c>
      <c r="O9" s="846">
        <v>0.15518891254417094</v>
      </c>
      <c r="P9" s="831">
        <v>0.15710663261383273</v>
      </c>
      <c r="Q9" s="831">
        <v>0.15231233243967829</v>
      </c>
    </row>
    <row r="10" spans="1:17" ht="17.5" thickBot="1">
      <c r="A10" s="967" t="s">
        <v>355</v>
      </c>
      <c r="B10" s="968"/>
      <c r="C10" s="844">
        <v>1334</v>
      </c>
      <c r="D10" s="844">
        <v>790</v>
      </c>
      <c r="E10" s="844">
        <v>79</v>
      </c>
      <c r="F10" s="844">
        <v>48</v>
      </c>
      <c r="G10" s="844">
        <v>30</v>
      </c>
      <c r="H10" s="844">
        <v>21</v>
      </c>
      <c r="N10" s="845" t="s">
        <v>355</v>
      </c>
      <c r="O10" s="847">
        <v>9.8811170683028901E-2</v>
      </c>
      <c r="P10" s="831">
        <v>0.10637429251461028</v>
      </c>
      <c r="Q10" s="831">
        <v>8.7466487935656839E-2</v>
      </c>
    </row>
    <row r="11" spans="1:17">
      <c r="A11" s="848"/>
      <c r="B11" s="848"/>
      <c r="N11" s="848"/>
      <c r="O11" s="848"/>
      <c r="P11" s="848"/>
      <c r="Q11" s="848"/>
    </row>
    <row r="12" spans="1:17">
      <c r="A12" s="967" t="s">
        <v>331</v>
      </c>
      <c r="B12" s="968"/>
      <c r="C12" s="849" t="b">
        <v>1</v>
      </c>
      <c r="D12" s="849" t="b">
        <v>1</v>
      </c>
      <c r="E12" s="849" t="b">
        <v>1</v>
      </c>
      <c r="F12" s="849" t="b">
        <v>1</v>
      </c>
      <c r="G12" s="849" t="b">
        <v>1</v>
      </c>
      <c r="H12" s="849" t="b">
        <v>1</v>
      </c>
      <c r="N12" s="848"/>
      <c r="O12" s="848"/>
      <c r="P12" s="848"/>
      <c r="Q12" s="848"/>
    </row>
    <row r="13" spans="1:17">
      <c r="A13" s="967" t="s">
        <v>332</v>
      </c>
      <c r="B13" s="968"/>
      <c r="C13" s="849" t="b">
        <v>1</v>
      </c>
      <c r="D13" s="849" t="b">
        <v>1</v>
      </c>
      <c r="E13" s="849" t="b">
        <v>1</v>
      </c>
      <c r="F13" s="849" t="b">
        <v>1</v>
      </c>
      <c r="G13" s="849" t="b">
        <v>1</v>
      </c>
      <c r="H13" s="849" t="b">
        <v>1</v>
      </c>
      <c r="N13" s="848"/>
      <c r="O13" s="848"/>
      <c r="P13" s="848"/>
      <c r="Q13" s="848"/>
    </row>
    <row r="14" spans="1:17">
      <c r="A14" s="967" t="s">
        <v>1240</v>
      </c>
      <c r="B14" s="968"/>
      <c r="C14" s="849" t="b">
        <v>1</v>
      </c>
      <c r="D14" s="849" t="b">
        <v>1</v>
      </c>
      <c r="E14" s="849" t="b">
        <v>1</v>
      </c>
      <c r="F14" s="849" t="b">
        <v>1</v>
      </c>
      <c r="G14" s="849" t="b">
        <v>1</v>
      </c>
      <c r="H14" s="849" t="b">
        <v>1</v>
      </c>
      <c r="N14" s="848"/>
      <c r="O14" s="848"/>
      <c r="P14" s="848"/>
      <c r="Q14" s="848"/>
    </row>
    <row r="15" spans="1:17">
      <c r="A15" s="967" t="s">
        <v>351</v>
      </c>
      <c r="B15" s="968"/>
      <c r="C15" s="849" t="b">
        <v>1</v>
      </c>
      <c r="D15" s="849" t="b">
        <v>1</v>
      </c>
      <c r="E15" s="849" t="b">
        <v>1</v>
      </c>
      <c r="F15" s="849" t="b">
        <v>1</v>
      </c>
      <c r="G15" s="849" t="b">
        <v>1</v>
      </c>
      <c r="H15" s="849" t="b">
        <v>1</v>
      </c>
      <c r="N15" s="848"/>
      <c r="O15" s="848"/>
      <c r="P15" s="848"/>
      <c r="Q15" s="848"/>
    </row>
    <row r="16" spans="1:17">
      <c r="A16" s="967" t="s">
        <v>352</v>
      </c>
      <c r="B16" s="968"/>
      <c r="C16" s="849" t="b">
        <v>1</v>
      </c>
      <c r="D16" s="849" t="b">
        <v>1</v>
      </c>
      <c r="E16" s="849" t="b">
        <v>1</v>
      </c>
      <c r="F16" s="849" t="b">
        <v>1</v>
      </c>
      <c r="G16" s="849" t="b">
        <v>1</v>
      </c>
      <c r="H16" s="849" t="b">
        <v>1</v>
      </c>
      <c r="N16" s="848"/>
      <c r="O16" s="848"/>
      <c r="P16" s="848"/>
      <c r="Q16" s="848"/>
    </row>
    <row r="17" spans="1:22">
      <c r="A17" s="967" t="s">
        <v>354</v>
      </c>
      <c r="B17" s="968"/>
      <c r="C17" s="849" t="b">
        <v>1</v>
      </c>
      <c r="D17" s="849" t="b">
        <v>1</v>
      </c>
      <c r="E17" s="849" t="b">
        <v>1</v>
      </c>
      <c r="F17" s="849" t="b">
        <v>1</v>
      </c>
      <c r="G17" s="849" t="b">
        <v>1</v>
      </c>
      <c r="H17" s="849" t="b">
        <v>1</v>
      </c>
      <c r="N17" s="848"/>
      <c r="O17" s="848"/>
      <c r="P17" s="848"/>
      <c r="Q17" s="848"/>
    </row>
    <row r="18" spans="1:22">
      <c r="A18" s="967" t="s">
        <v>355</v>
      </c>
      <c r="B18" s="968"/>
      <c r="C18" s="849" t="b">
        <v>1</v>
      </c>
      <c r="D18" s="849" t="b">
        <v>1</v>
      </c>
      <c r="E18" s="849" t="b">
        <v>1</v>
      </c>
      <c r="F18" s="849" t="b">
        <v>1</v>
      </c>
      <c r="G18" s="849" t="b">
        <v>1</v>
      </c>
      <c r="H18" s="849" t="b">
        <v>1</v>
      </c>
      <c r="N18" s="848"/>
      <c r="O18" s="848"/>
      <c r="P18" s="848"/>
      <c r="Q18" s="848"/>
    </row>
    <row r="19" spans="1:22">
      <c r="A19" s="848"/>
      <c r="B19" s="848"/>
      <c r="N19" s="848"/>
      <c r="O19" s="848"/>
      <c r="P19" s="848"/>
      <c r="Q19" s="848"/>
    </row>
    <row r="20" spans="1:22" ht="25" thickBot="1">
      <c r="A20" s="833" t="s">
        <v>1473</v>
      </c>
      <c r="K20" s="835">
        <v>0.6</v>
      </c>
      <c r="L20" s="835">
        <v>0.4</v>
      </c>
      <c r="N20" s="834" t="s">
        <v>1474</v>
      </c>
      <c r="O20" s="848"/>
      <c r="P20" s="848"/>
      <c r="Q20" s="848"/>
    </row>
    <row r="21" spans="1:22" ht="29.25" customHeight="1">
      <c r="A21" s="836" t="s">
        <v>516</v>
      </c>
      <c r="B21" s="836" t="s">
        <v>663</v>
      </c>
      <c r="C21" s="836" t="s">
        <v>1464</v>
      </c>
      <c r="D21" s="837" t="s">
        <v>1465</v>
      </c>
      <c r="E21" s="837" t="s">
        <v>1466</v>
      </c>
      <c r="F21" s="837" t="s">
        <v>1467</v>
      </c>
      <c r="G21" s="837" t="s">
        <v>1468</v>
      </c>
      <c r="H21" s="837" t="s">
        <v>1469</v>
      </c>
      <c r="J21" s="850" t="s">
        <v>1475</v>
      </c>
      <c r="K21" s="840" t="s">
        <v>1471</v>
      </c>
      <c r="L21" s="840" t="s">
        <v>1472</v>
      </c>
      <c r="N21" s="840" t="s">
        <v>516</v>
      </c>
      <c r="O21" s="840" t="s">
        <v>663</v>
      </c>
      <c r="P21" s="840" t="s">
        <v>656</v>
      </c>
      <c r="Q21" s="851" t="s">
        <v>1476</v>
      </c>
      <c r="R21" s="851" t="s">
        <v>1477</v>
      </c>
      <c r="S21" s="851" t="s">
        <v>1478</v>
      </c>
      <c r="T21" s="851" t="s">
        <v>1479</v>
      </c>
      <c r="U21" s="851" t="s">
        <v>1480</v>
      </c>
      <c r="V21" s="851" t="s">
        <v>1481</v>
      </c>
    </row>
    <row r="22" spans="1:22">
      <c r="A22" s="830" t="s">
        <v>346</v>
      </c>
      <c r="B22" s="830" t="s">
        <v>367</v>
      </c>
      <c r="C22" s="852">
        <v>337</v>
      </c>
      <c r="D22" s="852">
        <v>200</v>
      </c>
      <c r="E22" s="852">
        <v>19</v>
      </c>
      <c r="F22" s="852">
        <v>12</v>
      </c>
      <c r="G22" s="852">
        <v>8</v>
      </c>
      <c r="H22" s="852">
        <v>5</v>
      </c>
      <c r="J22" s="846">
        <v>0.13557173971440167</v>
      </c>
      <c r="K22" s="831">
        <v>0.1186189366659606</v>
      </c>
      <c r="L22" s="831">
        <v>0.16100094428706327</v>
      </c>
      <c r="N22" s="830" t="s">
        <v>346</v>
      </c>
      <c r="O22" s="830" t="s">
        <v>367</v>
      </c>
      <c r="P22" s="853">
        <v>341</v>
      </c>
      <c r="Q22" s="854">
        <v>26</v>
      </c>
      <c r="R22" s="854">
        <v>62</v>
      </c>
      <c r="S22" s="854">
        <v>25</v>
      </c>
      <c r="T22" s="854">
        <v>47</v>
      </c>
      <c r="U22" s="854">
        <v>29</v>
      </c>
      <c r="V22" s="854">
        <v>152</v>
      </c>
    </row>
    <row r="23" spans="1:22">
      <c r="A23" s="830" t="s">
        <v>346</v>
      </c>
      <c r="B23" s="830" t="s">
        <v>371</v>
      </c>
      <c r="C23" s="852">
        <v>282</v>
      </c>
      <c r="D23" s="852">
        <v>167</v>
      </c>
      <c r="E23" s="852">
        <v>17</v>
      </c>
      <c r="F23" s="852">
        <v>10</v>
      </c>
      <c r="G23" s="852">
        <v>6</v>
      </c>
      <c r="H23" s="852">
        <v>4</v>
      </c>
      <c r="J23" s="846">
        <v>0.11342913816653896</v>
      </c>
      <c r="K23" s="831">
        <v>0.11035797500529548</v>
      </c>
      <c r="L23" s="831">
        <v>0.11803588290840415</v>
      </c>
      <c r="N23" s="830" t="s">
        <v>346</v>
      </c>
      <c r="O23" s="830" t="s">
        <v>371</v>
      </c>
      <c r="P23" s="853">
        <v>250</v>
      </c>
      <c r="Q23" s="854">
        <v>24</v>
      </c>
      <c r="R23" s="854">
        <v>48</v>
      </c>
      <c r="S23" s="854">
        <v>12</v>
      </c>
      <c r="T23" s="854">
        <v>43</v>
      </c>
      <c r="U23" s="854">
        <v>12</v>
      </c>
      <c r="V23" s="854">
        <v>111</v>
      </c>
    </row>
    <row r="24" spans="1:22">
      <c r="A24" s="830" t="s">
        <v>346</v>
      </c>
      <c r="B24" s="830" t="s">
        <v>375</v>
      </c>
      <c r="C24" s="852">
        <v>221</v>
      </c>
      <c r="D24" s="852">
        <v>131</v>
      </c>
      <c r="E24" s="852">
        <v>13</v>
      </c>
      <c r="F24" s="852">
        <v>8</v>
      </c>
      <c r="G24" s="852">
        <v>5</v>
      </c>
      <c r="H24" s="852">
        <v>3</v>
      </c>
      <c r="J24" s="846">
        <v>8.8633091971079728E-2</v>
      </c>
      <c r="K24" s="831">
        <v>8.9176022029231097E-2</v>
      </c>
      <c r="L24" s="831">
        <v>8.7818696883852687E-2</v>
      </c>
      <c r="N24" s="830" t="s">
        <v>346</v>
      </c>
      <c r="O24" s="830" t="s">
        <v>375</v>
      </c>
      <c r="P24" s="853">
        <v>186</v>
      </c>
      <c r="Q24" s="854">
        <v>3</v>
      </c>
      <c r="R24" s="854">
        <v>33</v>
      </c>
      <c r="S24" s="854">
        <v>6</v>
      </c>
      <c r="T24" s="854">
        <v>38</v>
      </c>
      <c r="U24" s="854">
        <v>14</v>
      </c>
      <c r="V24" s="854">
        <v>92</v>
      </c>
    </row>
    <row r="25" spans="1:22">
      <c r="A25" s="830" t="s">
        <v>346</v>
      </c>
      <c r="B25" s="830" t="s">
        <v>378</v>
      </c>
      <c r="C25" s="852">
        <v>307</v>
      </c>
      <c r="D25" s="852">
        <v>182</v>
      </c>
      <c r="E25" s="852">
        <v>18</v>
      </c>
      <c r="F25" s="852">
        <v>11</v>
      </c>
      <c r="G25" s="852">
        <v>7</v>
      </c>
      <c r="H25" s="852">
        <v>5</v>
      </c>
      <c r="J25" s="846">
        <v>0.12328764712106456</v>
      </c>
      <c r="K25" s="831">
        <v>0.12836263503495021</v>
      </c>
      <c r="L25" s="831">
        <v>0.11567516525023608</v>
      </c>
      <c r="N25" s="830" t="s">
        <v>346</v>
      </c>
      <c r="O25" s="830" t="s">
        <v>378</v>
      </c>
      <c r="P25" s="853">
        <v>245</v>
      </c>
      <c r="Q25" s="854">
        <v>22</v>
      </c>
      <c r="R25" s="854">
        <v>32</v>
      </c>
      <c r="S25" s="854">
        <v>25</v>
      </c>
      <c r="T25" s="854">
        <v>52</v>
      </c>
      <c r="U25" s="854">
        <v>21</v>
      </c>
      <c r="V25" s="854">
        <v>93</v>
      </c>
    </row>
    <row r="26" spans="1:22">
      <c r="A26" s="830" t="s">
        <v>346</v>
      </c>
      <c r="B26" s="830" t="s">
        <v>380</v>
      </c>
      <c r="C26" s="852">
        <v>236</v>
      </c>
      <c r="D26" s="852">
        <v>140</v>
      </c>
      <c r="E26" s="852">
        <v>14</v>
      </c>
      <c r="F26" s="852">
        <v>9</v>
      </c>
      <c r="G26" s="852">
        <v>5</v>
      </c>
      <c r="H26" s="852">
        <v>4</v>
      </c>
      <c r="J26" s="846">
        <v>9.4703771687749599E-2</v>
      </c>
      <c r="K26" s="831">
        <v>0.10527430629104004</v>
      </c>
      <c r="L26" s="831">
        <v>7.884796978281397E-2</v>
      </c>
      <c r="N26" s="830" t="s">
        <v>346</v>
      </c>
      <c r="O26" s="830" t="s">
        <v>380</v>
      </c>
      <c r="P26" s="853">
        <v>167</v>
      </c>
      <c r="Q26" s="854">
        <v>10</v>
      </c>
      <c r="R26" s="854">
        <v>31</v>
      </c>
      <c r="S26" s="854">
        <v>13</v>
      </c>
      <c r="T26" s="854">
        <v>23</v>
      </c>
      <c r="U26" s="854">
        <v>18</v>
      </c>
      <c r="V26" s="854">
        <v>72</v>
      </c>
    </row>
    <row r="27" spans="1:22">
      <c r="A27" s="830" t="s">
        <v>346</v>
      </c>
      <c r="B27" s="830" t="s">
        <v>382</v>
      </c>
      <c r="C27" s="852">
        <v>367</v>
      </c>
      <c r="D27" s="852">
        <v>217</v>
      </c>
      <c r="E27" s="852">
        <v>22</v>
      </c>
      <c r="F27" s="852">
        <v>14</v>
      </c>
      <c r="G27" s="852">
        <v>8</v>
      </c>
      <c r="H27" s="852">
        <v>5</v>
      </c>
      <c r="J27" s="846">
        <v>0.14744823472724186</v>
      </c>
      <c r="K27" s="831">
        <v>0.1484854903622114</v>
      </c>
      <c r="L27" s="831">
        <v>0.14589235127478753</v>
      </c>
      <c r="N27" s="830" t="s">
        <v>346</v>
      </c>
      <c r="O27" s="830" t="s">
        <v>382</v>
      </c>
      <c r="P27" s="853">
        <v>309</v>
      </c>
      <c r="Q27" s="854">
        <v>26</v>
      </c>
      <c r="R27" s="854">
        <v>39</v>
      </c>
      <c r="S27" s="854">
        <v>24</v>
      </c>
      <c r="T27" s="854">
        <v>42</v>
      </c>
      <c r="U27" s="854">
        <v>35</v>
      </c>
      <c r="V27" s="854">
        <v>143</v>
      </c>
    </row>
    <row r="28" spans="1:22">
      <c r="A28" s="830" t="s">
        <v>346</v>
      </c>
      <c r="B28" s="830" t="s">
        <v>384</v>
      </c>
      <c r="C28" s="852">
        <v>270</v>
      </c>
      <c r="D28" s="852">
        <v>160</v>
      </c>
      <c r="E28" s="852">
        <v>16</v>
      </c>
      <c r="F28" s="852">
        <v>10</v>
      </c>
      <c r="G28" s="852">
        <v>6</v>
      </c>
      <c r="H28" s="852">
        <v>4</v>
      </c>
      <c r="J28" s="846">
        <v>0.10868278055236694</v>
      </c>
      <c r="K28" s="831">
        <v>0.10590976488032197</v>
      </c>
      <c r="L28" s="831">
        <v>0.11284230406043437</v>
      </c>
      <c r="N28" s="830" t="s">
        <v>346</v>
      </c>
      <c r="O28" s="830" t="s">
        <v>384</v>
      </c>
      <c r="P28" s="853">
        <v>239</v>
      </c>
      <c r="Q28" s="854">
        <v>26</v>
      </c>
      <c r="R28" s="854">
        <v>32</v>
      </c>
      <c r="S28" s="854">
        <v>20</v>
      </c>
      <c r="T28" s="854">
        <v>40</v>
      </c>
      <c r="U28" s="854">
        <v>23</v>
      </c>
      <c r="V28" s="854">
        <v>98</v>
      </c>
    </row>
    <row r="29" spans="1:22">
      <c r="A29" s="830" t="s">
        <v>346</v>
      </c>
      <c r="B29" s="830" t="s">
        <v>386</v>
      </c>
      <c r="C29" s="852">
        <v>232</v>
      </c>
      <c r="D29" s="852">
        <v>137</v>
      </c>
      <c r="E29" s="852">
        <v>14</v>
      </c>
      <c r="F29" s="852">
        <v>9</v>
      </c>
      <c r="G29" s="852">
        <v>5</v>
      </c>
      <c r="H29" s="852">
        <v>3</v>
      </c>
      <c r="J29" s="846">
        <v>9.32594785239199E-2</v>
      </c>
      <c r="K29" s="831">
        <v>9.4683329803007837E-2</v>
      </c>
      <c r="L29" s="831">
        <v>9.1123701605288002E-2</v>
      </c>
      <c r="N29" s="830" t="s">
        <v>346</v>
      </c>
      <c r="O29" s="830" t="s">
        <v>386</v>
      </c>
      <c r="P29" s="853">
        <v>193</v>
      </c>
      <c r="Q29" s="854">
        <v>24</v>
      </c>
      <c r="R29" s="854">
        <v>30</v>
      </c>
      <c r="S29" s="854">
        <v>7</v>
      </c>
      <c r="T29" s="854">
        <v>25</v>
      </c>
      <c r="U29" s="854">
        <v>20</v>
      </c>
      <c r="V29" s="854">
        <v>87</v>
      </c>
    </row>
    <row r="30" spans="1:22">
      <c r="A30" s="830" t="s">
        <v>346</v>
      </c>
      <c r="B30" s="830" t="s">
        <v>388</v>
      </c>
      <c r="C30" s="852">
        <v>236</v>
      </c>
      <c r="D30" s="852">
        <v>140</v>
      </c>
      <c r="E30" s="852">
        <v>14</v>
      </c>
      <c r="F30" s="852">
        <v>9</v>
      </c>
      <c r="G30" s="852">
        <v>5</v>
      </c>
      <c r="H30" s="852">
        <v>4</v>
      </c>
      <c r="J30" s="846">
        <v>9.4984117535636792E-2</v>
      </c>
      <c r="K30" s="831">
        <v>9.9131539927981363E-2</v>
      </c>
      <c r="L30" s="831">
        <v>8.8762983947119928E-2</v>
      </c>
      <c r="N30" s="830" t="s">
        <v>346</v>
      </c>
      <c r="O30" s="830" t="s">
        <v>388</v>
      </c>
      <c r="P30" s="853">
        <v>188</v>
      </c>
      <c r="Q30" s="854">
        <v>24</v>
      </c>
      <c r="R30" s="854">
        <v>32</v>
      </c>
      <c r="S30" s="854">
        <v>11</v>
      </c>
      <c r="T30" s="854">
        <v>36</v>
      </c>
      <c r="U30" s="854">
        <v>11</v>
      </c>
      <c r="V30" s="854">
        <v>74</v>
      </c>
    </row>
    <row r="31" spans="1:22">
      <c r="A31" s="830" t="s">
        <v>348</v>
      </c>
      <c r="B31" s="830" t="s">
        <v>348</v>
      </c>
      <c r="C31" s="852">
        <v>249</v>
      </c>
      <c r="D31" s="852">
        <v>147</v>
      </c>
      <c r="E31" s="852">
        <v>15</v>
      </c>
      <c r="F31" s="852">
        <v>9</v>
      </c>
      <c r="G31" s="852">
        <v>5</v>
      </c>
      <c r="H31" s="852">
        <v>4</v>
      </c>
      <c r="J31" s="846">
        <v>0.1265713313046839</v>
      </c>
      <c r="K31" s="831">
        <v>0.13611449451887941</v>
      </c>
      <c r="L31" s="831">
        <v>0.11225658648339061</v>
      </c>
      <c r="N31" s="830" t="s">
        <v>348</v>
      </c>
      <c r="O31" s="830" t="s">
        <v>348</v>
      </c>
      <c r="P31" s="853">
        <v>196</v>
      </c>
      <c r="Q31" s="854">
        <v>11</v>
      </c>
      <c r="R31" s="854">
        <v>40</v>
      </c>
      <c r="S31" s="854">
        <v>17</v>
      </c>
      <c r="T31" s="854">
        <v>40</v>
      </c>
      <c r="U31" s="854">
        <v>12</v>
      </c>
      <c r="V31" s="854">
        <v>76</v>
      </c>
    </row>
    <row r="32" spans="1:22">
      <c r="A32" s="830" t="s">
        <v>348</v>
      </c>
      <c r="B32" s="830" t="s">
        <v>393</v>
      </c>
      <c r="C32" s="852">
        <v>359</v>
      </c>
      <c r="D32" s="852">
        <v>213</v>
      </c>
      <c r="E32" s="852">
        <v>21</v>
      </c>
      <c r="F32" s="852">
        <v>14</v>
      </c>
      <c r="G32" s="852">
        <v>8</v>
      </c>
      <c r="H32" s="852">
        <v>5</v>
      </c>
      <c r="J32" s="846">
        <v>0.17961779351585594</v>
      </c>
      <c r="K32" s="831">
        <v>0.16686967113276491</v>
      </c>
      <c r="L32" s="831">
        <v>0.19873997709049254</v>
      </c>
      <c r="N32" s="830" t="s">
        <v>348</v>
      </c>
      <c r="O32" s="830" t="s">
        <v>393</v>
      </c>
      <c r="P32" s="853">
        <v>347</v>
      </c>
      <c r="Q32" s="854">
        <v>33</v>
      </c>
      <c r="R32" s="854">
        <v>53</v>
      </c>
      <c r="S32" s="854">
        <v>29</v>
      </c>
      <c r="T32" s="854">
        <v>75</v>
      </c>
      <c r="U32" s="854">
        <v>15</v>
      </c>
      <c r="V32" s="854">
        <v>142</v>
      </c>
    </row>
    <row r="33" spans="1:22">
      <c r="A33" s="830" t="s">
        <v>348</v>
      </c>
      <c r="B33" s="830" t="s">
        <v>671</v>
      </c>
      <c r="C33" s="852">
        <v>352</v>
      </c>
      <c r="D33" s="852">
        <v>209</v>
      </c>
      <c r="E33" s="852">
        <v>21</v>
      </c>
      <c r="F33" s="852">
        <v>13</v>
      </c>
      <c r="G33" s="852">
        <v>8</v>
      </c>
      <c r="H33" s="852">
        <v>5</v>
      </c>
      <c r="J33" s="846">
        <v>0.19053078342981278</v>
      </c>
      <c r="K33" s="831">
        <v>0.18696711327649207</v>
      </c>
      <c r="L33" s="831">
        <v>0.19587628865979381</v>
      </c>
      <c r="N33" s="830" t="s">
        <v>348</v>
      </c>
      <c r="O33" s="830" t="s">
        <v>671</v>
      </c>
      <c r="P33" s="853">
        <v>342</v>
      </c>
      <c r="Q33" s="854">
        <v>29</v>
      </c>
      <c r="R33" s="854">
        <v>58</v>
      </c>
      <c r="S33" s="854">
        <v>18</v>
      </c>
      <c r="T33" s="854">
        <v>65</v>
      </c>
      <c r="U33" s="854">
        <v>13</v>
      </c>
      <c r="V33" s="854">
        <v>159</v>
      </c>
    </row>
    <row r="34" spans="1:22">
      <c r="A34" s="830" t="s">
        <v>348</v>
      </c>
      <c r="B34" s="830" t="s">
        <v>400</v>
      </c>
      <c r="C34" s="852">
        <v>273</v>
      </c>
      <c r="D34" s="852">
        <v>162</v>
      </c>
      <c r="E34" s="852">
        <v>16</v>
      </c>
      <c r="F34" s="852">
        <v>10</v>
      </c>
      <c r="G34" s="852">
        <v>6</v>
      </c>
      <c r="H34" s="852">
        <v>4</v>
      </c>
      <c r="J34" s="846">
        <v>0.14281706018838256</v>
      </c>
      <c r="K34" s="831">
        <v>0.14677222898903775</v>
      </c>
      <c r="L34" s="831">
        <v>0.13688430698739978</v>
      </c>
      <c r="N34" s="830" t="s">
        <v>348</v>
      </c>
      <c r="O34" s="830" t="s">
        <v>400</v>
      </c>
      <c r="P34" s="853">
        <v>239</v>
      </c>
      <c r="Q34" s="854">
        <v>41</v>
      </c>
      <c r="R34" s="854">
        <v>42</v>
      </c>
      <c r="S34" s="854">
        <v>20</v>
      </c>
      <c r="T34" s="854">
        <v>32</v>
      </c>
      <c r="U34" s="854">
        <v>18</v>
      </c>
      <c r="V34" s="854">
        <v>86</v>
      </c>
    </row>
    <row r="35" spans="1:22">
      <c r="A35" s="830" t="s">
        <v>348</v>
      </c>
      <c r="B35" s="830" t="s">
        <v>402</v>
      </c>
      <c r="C35" s="852">
        <v>266</v>
      </c>
      <c r="D35" s="852">
        <v>158</v>
      </c>
      <c r="E35" s="852">
        <v>16</v>
      </c>
      <c r="F35" s="852">
        <v>10</v>
      </c>
      <c r="G35" s="852">
        <v>6</v>
      </c>
      <c r="H35" s="852">
        <v>4</v>
      </c>
      <c r="J35" s="846">
        <v>0.15933541500112317</v>
      </c>
      <c r="K35" s="831">
        <v>0.15864799025578563</v>
      </c>
      <c r="L35" s="831">
        <v>0.16036655211912945</v>
      </c>
      <c r="N35" s="830" t="s">
        <v>348</v>
      </c>
      <c r="O35" s="830" t="s">
        <v>402</v>
      </c>
      <c r="P35" s="853">
        <v>280</v>
      </c>
      <c r="Q35" s="854">
        <v>24</v>
      </c>
      <c r="R35" s="854">
        <v>52</v>
      </c>
      <c r="S35" s="854">
        <v>24</v>
      </c>
      <c r="T35" s="854">
        <v>32</v>
      </c>
      <c r="U35" s="854">
        <v>20</v>
      </c>
      <c r="V35" s="854">
        <v>128</v>
      </c>
    </row>
    <row r="36" spans="1:22">
      <c r="A36" s="830" t="s">
        <v>348</v>
      </c>
      <c r="B36" s="830" t="s">
        <v>404</v>
      </c>
      <c r="C36" s="852">
        <v>355</v>
      </c>
      <c r="D36" s="852">
        <v>210</v>
      </c>
      <c r="E36" s="852">
        <v>21</v>
      </c>
      <c r="F36" s="852">
        <v>13</v>
      </c>
      <c r="G36" s="852">
        <v>8</v>
      </c>
      <c r="H36" s="852">
        <v>5</v>
      </c>
      <c r="J36" s="846">
        <v>0.20112761656014164</v>
      </c>
      <c r="K36" s="831">
        <v>0.2046285018270402</v>
      </c>
      <c r="L36" s="831">
        <v>0.19587628865979381</v>
      </c>
      <c r="N36" s="830" t="s">
        <v>348</v>
      </c>
      <c r="O36" s="830" t="s">
        <v>404</v>
      </c>
      <c r="P36" s="853">
        <v>342</v>
      </c>
      <c r="Q36" s="854">
        <v>10</v>
      </c>
      <c r="R36" s="854">
        <v>74</v>
      </c>
      <c r="S36" s="854">
        <v>15</v>
      </c>
      <c r="T36" s="854">
        <v>56</v>
      </c>
      <c r="U36" s="854">
        <v>30</v>
      </c>
      <c r="V36" s="854">
        <v>157</v>
      </c>
    </row>
    <row r="37" spans="1:22">
      <c r="A37" s="830" t="s">
        <v>406</v>
      </c>
      <c r="B37" s="830" t="s">
        <v>406</v>
      </c>
      <c r="C37" s="852">
        <v>209</v>
      </c>
      <c r="D37" s="852">
        <v>124</v>
      </c>
      <c r="E37" s="852">
        <v>13</v>
      </c>
      <c r="F37" s="852">
        <v>8</v>
      </c>
      <c r="G37" s="852">
        <v>5</v>
      </c>
      <c r="H37" s="852">
        <v>3</v>
      </c>
      <c r="J37" s="846">
        <v>0.11814584511023177</v>
      </c>
      <c r="K37" s="831">
        <v>0.11346444780635401</v>
      </c>
      <c r="L37" s="831">
        <v>8.8139987038237194E-2</v>
      </c>
      <c r="N37" s="830" t="s">
        <v>406</v>
      </c>
      <c r="O37" s="830" t="s">
        <v>406</v>
      </c>
      <c r="P37" s="853">
        <v>136</v>
      </c>
      <c r="Q37" s="854">
        <v>7</v>
      </c>
      <c r="R37" s="854">
        <v>18</v>
      </c>
      <c r="S37" s="854">
        <v>4</v>
      </c>
      <c r="T37" s="854">
        <v>27</v>
      </c>
      <c r="U37" s="854">
        <v>12</v>
      </c>
      <c r="V37" s="854">
        <v>68</v>
      </c>
    </row>
    <row r="38" spans="1:22">
      <c r="A38" s="830" t="s">
        <v>406</v>
      </c>
      <c r="B38" s="830" t="s">
        <v>408</v>
      </c>
      <c r="C38" s="852">
        <v>287</v>
      </c>
      <c r="D38" s="852">
        <v>170</v>
      </c>
      <c r="E38" s="852">
        <v>17</v>
      </c>
      <c r="F38" s="852">
        <v>11</v>
      </c>
      <c r="G38" s="852">
        <v>6</v>
      </c>
      <c r="H38" s="852">
        <v>4</v>
      </c>
      <c r="J38" s="846">
        <v>0.16223855285472019</v>
      </c>
      <c r="K38" s="831">
        <v>0.17065052950075643</v>
      </c>
      <c r="L38" s="831">
        <v>0.14193130265716136</v>
      </c>
      <c r="N38" s="830" t="s">
        <v>406</v>
      </c>
      <c r="O38" s="830" t="s">
        <v>408</v>
      </c>
      <c r="P38" s="853">
        <v>219</v>
      </c>
      <c r="Q38" s="854">
        <v>20</v>
      </c>
      <c r="R38" s="854">
        <v>34</v>
      </c>
      <c r="S38" s="854">
        <v>12</v>
      </c>
      <c r="T38" s="854">
        <v>38</v>
      </c>
      <c r="U38" s="854">
        <v>11</v>
      </c>
      <c r="V38" s="854">
        <v>104</v>
      </c>
    </row>
    <row r="39" spans="1:22">
      <c r="A39" s="830" t="s">
        <v>406</v>
      </c>
      <c r="B39" s="830" t="s">
        <v>414</v>
      </c>
      <c r="C39" s="852">
        <v>389</v>
      </c>
      <c r="D39" s="852">
        <v>230</v>
      </c>
      <c r="E39" s="852">
        <v>23</v>
      </c>
      <c r="F39" s="852">
        <v>15</v>
      </c>
      <c r="G39" s="852">
        <v>9</v>
      </c>
      <c r="H39" s="852">
        <v>6</v>
      </c>
      <c r="J39" s="846">
        <v>0.21989824759751272</v>
      </c>
      <c r="K39" s="831">
        <v>0.24054462934947049</v>
      </c>
      <c r="L39" s="831">
        <v>0.23460790667530784</v>
      </c>
      <c r="N39" s="830" t="s">
        <v>406</v>
      </c>
      <c r="O39" s="830" t="s">
        <v>414</v>
      </c>
      <c r="P39" s="853">
        <v>362</v>
      </c>
      <c r="Q39" s="854">
        <v>24</v>
      </c>
      <c r="R39" s="854">
        <v>49</v>
      </c>
      <c r="S39" s="854">
        <v>33</v>
      </c>
      <c r="T39" s="854">
        <v>43</v>
      </c>
      <c r="U39" s="854">
        <v>24</v>
      </c>
      <c r="V39" s="854">
        <v>189</v>
      </c>
    </row>
    <row r="40" spans="1:22">
      <c r="A40" s="830" t="s">
        <v>406</v>
      </c>
      <c r="B40" s="830" t="s">
        <v>416</v>
      </c>
      <c r="C40" s="852">
        <v>293</v>
      </c>
      <c r="D40" s="852">
        <v>174</v>
      </c>
      <c r="E40" s="852">
        <v>17</v>
      </c>
      <c r="F40" s="852">
        <v>10</v>
      </c>
      <c r="G40" s="852">
        <v>6</v>
      </c>
      <c r="H40" s="852">
        <v>4</v>
      </c>
      <c r="J40" s="846">
        <v>0.16563029960429621</v>
      </c>
      <c r="K40" s="831">
        <v>0.15975794251134645</v>
      </c>
      <c r="L40" s="831">
        <v>0.13869086195722619</v>
      </c>
      <c r="N40" s="830" t="s">
        <v>406</v>
      </c>
      <c r="O40" s="830" t="s">
        <v>416</v>
      </c>
      <c r="P40" s="853">
        <v>214</v>
      </c>
      <c r="Q40" s="854">
        <v>16</v>
      </c>
      <c r="R40" s="854">
        <v>36</v>
      </c>
      <c r="S40" s="854">
        <v>7</v>
      </c>
      <c r="T40" s="854">
        <v>28</v>
      </c>
      <c r="U40" s="854">
        <v>13</v>
      </c>
      <c r="V40" s="854">
        <v>114</v>
      </c>
    </row>
    <row r="41" spans="1:22">
      <c r="A41" s="830" t="s">
        <v>406</v>
      </c>
      <c r="B41" s="830" t="s">
        <v>418</v>
      </c>
      <c r="C41" s="852">
        <v>243</v>
      </c>
      <c r="D41" s="852">
        <v>144</v>
      </c>
      <c r="E41" s="852">
        <v>14</v>
      </c>
      <c r="F41" s="852">
        <v>9</v>
      </c>
      <c r="G41" s="852">
        <v>5</v>
      </c>
      <c r="H41" s="852">
        <v>4</v>
      </c>
      <c r="J41" s="846">
        <v>0.13736574335782928</v>
      </c>
      <c r="K41" s="831">
        <v>0.14069591527987896</v>
      </c>
      <c r="L41" s="831">
        <v>0.1289695398574206</v>
      </c>
      <c r="N41" s="830" t="s">
        <v>406</v>
      </c>
      <c r="O41" s="830" t="s">
        <v>418</v>
      </c>
      <c r="P41" s="853">
        <v>199</v>
      </c>
      <c r="Q41" s="854">
        <v>19</v>
      </c>
      <c r="R41" s="854">
        <v>33</v>
      </c>
      <c r="S41" s="854">
        <v>15</v>
      </c>
      <c r="T41" s="854">
        <v>28</v>
      </c>
      <c r="U41" s="854">
        <v>16</v>
      </c>
      <c r="V41" s="854">
        <v>88</v>
      </c>
    </row>
    <row r="42" spans="1:22">
      <c r="A42" s="830" t="s">
        <v>406</v>
      </c>
      <c r="B42" s="830" t="s">
        <v>420</v>
      </c>
      <c r="C42" s="852">
        <v>348</v>
      </c>
      <c r="D42" s="852">
        <v>206</v>
      </c>
      <c r="E42" s="852">
        <v>21</v>
      </c>
      <c r="F42" s="852">
        <v>13</v>
      </c>
      <c r="G42" s="852">
        <v>8</v>
      </c>
      <c r="H42" s="852">
        <v>5</v>
      </c>
      <c r="J42" s="846">
        <v>0.19672131147540983</v>
      </c>
      <c r="K42" s="831">
        <v>0.17488653555219363</v>
      </c>
      <c r="L42" s="831">
        <v>0.26766040181464679</v>
      </c>
      <c r="N42" s="830" t="s">
        <v>406</v>
      </c>
      <c r="O42" s="830" t="s">
        <v>420</v>
      </c>
      <c r="P42" s="853">
        <v>413</v>
      </c>
      <c r="Q42" s="854">
        <v>20</v>
      </c>
      <c r="R42" s="854">
        <v>82</v>
      </c>
      <c r="S42" s="854">
        <v>20</v>
      </c>
      <c r="T42" s="854">
        <v>74</v>
      </c>
      <c r="U42" s="854">
        <v>19</v>
      </c>
      <c r="V42" s="854">
        <v>198</v>
      </c>
    </row>
    <row r="43" spans="1:22">
      <c r="A43" s="830" t="s">
        <v>359</v>
      </c>
      <c r="B43" s="830" t="s">
        <v>422</v>
      </c>
      <c r="C43" s="852">
        <v>423</v>
      </c>
      <c r="D43" s="852">
        <v>251</v>
      </c>
      <c r="E43" s="852">
        <v>24</v>
      </c>
      <c r="F43" s="852">
        <v>16</v>
      </c>
      <c r="G43" s="852">
        <v>10</v>
      </c>
      <c r="H43" s="852">
        <v>5</v>
      </c>
      <c r="J43" s="846">
        <v>0.1727530625402966</v>
      </c>
      <c r="K43" s="831">
        <v>0.18085106382978725</v>
      </c>
      <c r="L43" s="831">
        <v>0.16060606060606061</v>
      </c>
      <c r="N43" s="830" t="s">
        <v>359</v>
      </c>
      <c r="O43" s="830" t="s">
        <v>422</v>
      </c>
      <c r="P43" s="853">
        <v>371</v>
      </c>
      <c r="Q43" s="854">
        <v>47</v>
      </c>
      <c r="R43" s="854">
        <v>66</v>
      </c>
      <c r="S43" s="854">
        <v>27</v>
      </c>
      <c r="T43" s="854">
        <v>57</v>
      </c>
      <c r="U43" s="854">
        <v>35</v>
      </c>
      <c r="V43" s="854">
        <v>139</v>
      </c>
    </row>
    <row r="44" spans="1:22">
      <c r="A44" s="830" t="s">
        <v>359</v>
      </c>
      <c r="B44" s="830" t="s">
        <v>424</v>
      </c>
      <c r="C44" s="852">
        <v>397</v>
      </c>
      <c r="D44" s="852">
        <v>235</v>
      </c>
      <c r="E44" s="852">
        <v>24</v>
      </c>
      <c r="F44" s="852">
        <v>15</v>
      </c>
      <c r="G44" s="852">
        <v>9</v>
      </c>
      <c r="H44" s="852">
        <v>6</v>
      </c>
      <c r="J44" s="846">
        <v>0.16233790261542341</v>
      </c>
      <c r="K44" s="831">
        <v>0.15541165587419056</v>
      </c>
      <c r="L44" s="831">
        <v>0.17272727272727273</v>
      </c>
      <c r="N44" s="830" t="s">
        <v>359</v>
      </c>
      <c r="O44" s="830" t="s">
        <v>424</v>
      </c>
      <c r="P44" s="853">
        <v>399</v>
      </c>
      <c r="Q44" s="854">
        <v>28</v>
      </c>
      <c r="R44" s="854">
        <v>106</v>
      </c>
      <c r="S44" s="854">
        <v>16</v>
      </c>
      <c r="T44" s="854">
        <v>66</v>
      </c>
      <c r="U44" s="854">
        <v>24</v>
      </c>
      <c r="V44" s="854">
        <v>159</v>
      </c>
    </row>
    <row r="45" spans="1:22">
      <c r="A45" s="830" t="s">
        <v>359</v>
      </c>
      <c r="B45" s="830" t="s">
        <v>426</v>
      </c>
      <c r="C45" s="852">
        <v>385</v>
      </c>
      <c r="D45" s="852">
        <v>228</v>
      </c>
      <c r="E45" s="852">
        <v>23</v>
      </c>
      <c r="F45" s="852">
        <v>14</v>
      </c>
      <c r="G45" s="852">
        <v>8</v>
      </c>
      <c r="H45" s="852">
        <v>6</v>
      </c>
      <c r="J45" s="846">
        <v>0.15720376755529392</v>
      </c>
      <c r="K45" s="831">
        <v>0.14685476410730805</v>
      </c>
      <c r="L45" s="831">
        <v>0.17272727272727273</v>
      </c>
      <c r="N45" s="830" t="s">
        <v>359</v>
      </c>
      <c r="O45" s="830" t="s">
        <v>426</v>
      </c>
      <c r="P45" s="853">
        <v>399</v>
      </c>
      <c r="Q45" s="854">
        <v>34</v>
      </c>
      <c r="R45" s="854">
        <v>76</v>
      </c>
      <c r="S45" s="854">
        <v>16</v>
      </c>
      <c r="T45" s="854">
        <v>93</v>
      </c>
      <c r="U45" s="854">
        <v>32</v>
      </c>
      <c r="V45" s="854">
        <v>148</v>
      </c>
    </row>
    <row r="46" spans="1:22">
      <c r="A46" s="830" t="s">
        <v>359</v>
      </c>
      <c r="B46" s="830" t="s">
        <v>430</v>
      </c>
      <c r="C46" s="852">
        <v>383</v>
      </c>
      <c r="D46" s="852">
        <v>227</v>
      </c>
      <c r="E46" s="852">
        <v>23</v>
      </c>
      <c r="F46" s="852">
        <v>14</v>
      </c>
      <c r="G46" s="852">
        <v>8</v>
      </c>
      <c r="H46" s="852">
        <v>6</v>
      </c>
      <c r="J46" s="846">
        <v>0.15668544837832535</v>
      </c>
      <c r="K46" s="831">
        <v>0.14801110083256244</v>
      </c>
      <c r="L46" s="831">
        <v>0.16969696969696971</v>
      </c>
      <c r="N46" s="830" t="s">
        <v>359</v>
      </c>
      <c r="O46" s="830" t="s">
        <v>430</v>
      </c>
      <c r="P46" s="853">
        <v>392</v>
      </c>
      <c r="Q46" s="854">
        <v>35</v>
      </c>
      <c r="R46" s="854">
        <v>75</v>
      </c>
      <c r="S46" s="854">
        <v>25</v>
      </c>
      <c r="T46" s="854">
        <v>76</v>
      </c>
      <c r="U46" s="854">
        <v>26</v>
      </c>
      <c r="V46" s="854">
        <v>155</v>
      </c>
    </row>
    <row r="47" spans="1:22">
      <c r="A47" s="830" t="s">
        <v>359</v>
      </c>
      <c r="B47" s="830" t="s">
        <v>436</v>
      </c>
      <c r="C47" s="852">
        <v>414</v>
      </c>
      <c r="D47" s="852">
        <v>246</v>
      </c>
      <c r="E47" s="852">
        <v>25</v>
      </c>
      <c r="F47" s="852">
        <v>15</v>
      </c>
      <c r="G47" s="852">
        <v>9</v>
      </c>
      <c r="H47" s="852">
        <v>6</v>
      </c>
      <c r="J47" s="846">
        <v>0.16931961347317498</v>
      </c>
      <c r="K47" s="831">
        <v>0.17599444958371879</v>
      </c>
      <c r="L47" s="831">
        <v>0.15930735930735931</v>
      </c>
      <c r="N47" s="830" t="s">
        <v>359</v>
      </c>
      <c r="O47" s="830" t="s">
        <v>436</v>
      </c>
      <c r="P47" s="853">
        <v>368</v>
      </c>
      <c r="Q47" s="854">
        <v>57</v>
      </c>
      <c r="R47" s="854">
        <v>79</v>
      </c>
      <c r="S47" s="854">
        <v>17</v>
      </c>
      <c r="T47" s="854">
        <v>48</v>
      </c>
      <c r="U47" s="854">
        <v>37</v>
      </c>
      <c r="V47" s="854">
        <v>130</v>
      </c>
    </row>
    <row r="48" spans="1:22">
      <c r="A48" s="830" t="s">
        <v>359</v>
      </c>
      <c r="B48" s="830" t="s">
        <v>439</v>
      </c>
      <c r="C48" s="852">
        <v>444</v>
      </c>
      <c r="D48" s="852">
        <v>263</v>
      </c>
      <c r="E48" s="852">
        <v>26</v>
      </c>
      <c r="F48" s="852">
        <v>17</v>
      </c>
      <c r="G48" s="852">
        <v>10</v>
      </c>
      <c r="H48" s="852">
        <v>7</v>
      </c>
      <c r="J48" s="846">
        <v>0.18170020543748572</v>
      </c>
      <c r="K48" s="831">
        <v>0.19287696577243293</v>
      </c>
      <c r="L48" s="831">
        <v>0.16493506493506493</v>
      </c>
      <c r="N48" s="830" t="s">
        <v>359</v>
      </c>
      <c r="O48" s="830" t="s">
        <v>439</v>
      </c>
      <c r="P48" s="853">
        <v>381</v>
      </c>
      <c r="Q48" s="854">
        <v>50</v>
      </c>
      <c r="R48" s="854">
        <v>64</v>
      </c>
      <c r="S48" s="854">
        <v>23</v>
      </c>
      <c r="T48" s="854">
        <v>52</v>
      </c>
      <c r="U48" s="854">
        <v>33</v>
      </c>
      <c r="V48" s="854">
        <v>159</v>
      </c>
    </row>
    <row r="49" spans="1:22">
      <c r="A49" s="830" t="s">
        <v>360</v>
      </c>
      <c r="B49" s="830" t="s">
        <v>441</v>
      </c>
      <c r="C49" s="852">
        <v>270</v>
      </c>
      <c r="D49" s="852">
        <v>160</v>
      </c>
      <c r="E49" s="852">
        <v>17</v>
      </c>
      <c r="F49" s="852">
        <v>11</v>
      </c>
      <c r="G49" s="852">
        <v>6</v>
      </c>
      <c r="H49" s="852">
        <v>5</v>
      </c>
      <c r="J49" s="846">
        <v>0.17763794836683061</v>
      </c>
      <c r="K49" s="831">
        <v>0.1766822598056855</v>
      </c>
      <c r="L49" s="831">
        <v>0.17907148120854827</v>
      </c>
      <c r="N49" s="830" t="s">
        <v>360</v>
      </c>
      <c r="O49" s="830" t="s">
        <v>441</v>
      </c>
      <c r="P49" s="853">
        <v>243</v>
      </c>
      <c r="Q49" s="854">
        <v>25</v>
      </c>
      <c r="R49" s="854">
        <v>44</v>
      </c>
      <c r="S49" s="854">
        <v>21</v>
      </c>
      <c r="T49" s="854">
        <v>31</v>
      </c>
      <c r="U49" s="854">
        <v>15</v>
      </c>
      <c r="V49" s="854">
        <v>107</v>
      </c>
    </row>
    <row r="50" spans="1:22">
      <c r="A50" s="830" t="s">
        <v>360</v>
      </c>
      <c r="B50" s="830" t="s">
        <v>447</v>
      </c>
      <c r="C50" s="852">
        <v>353</v>
      </c>
      <c r="D50" s="852">
        <v>209</v>
      </c>
      <c r="E50" s="852">
        <v>21</v>
      </c>
      <c r="F50" s="852">
        <v>13</v>
      </c>
      <c r="G50" s="852">
        <v>8</v>
      </c>
      <c r="H50" s="852">
        <v>5</v>
      </c>
      <c r="J50" s="846">
        <v>0.23319532773302665</v>
      </c>
      <c r="K50" s="831">
        <v>0.25404821878373518</v>
      </c>
      <c r="L50" s="831">
        <v>0.2019159911569639</v>
      </c>
      <c r="N50" s="830" t="s">
        <v>360</v>
      </c>
      <c r="O50" s="830" t="s">
        <v>447</v>
      </c>
      <c r="P50" s="853">
        <v>274</v>
      </c>
      <c r="Q50" s="854">
        <v>26</v>
      </c>
      <c r="R50" s="854">
        <v>39</v>
      </c>
      <c r="S50" s="854">
        <v>22</v>
      </c>
      <c r="T50" s="854">
        <v>41</v>
      </c>
      <c r="U50" s="854">
        <v>22</v>
      </c>
      <c r="V50" s="854">
        <v>124</v>
      </c>
    </row>
    <row r="51" spans="1:22">
      <c r="A51" s="830" t="s">
        <v>360</v>
      </c>
      <c r="B51" s="830" t="s">
        <v>445</v>
      </c>
      <c r="C51" s="852">
        <v>359</v>
      </c>
      <c r="D51" s="852">
        <v>213</v>
      </c>
      <c r="E51" s="852">
        <v>21</v>
      </c>
      <c r="F51" s="852">
        <v>13</v>
      </c>
      <c r="G51" s="852">
        <v>8</v>
      </c>
      <c r="H51" s="852">
        <v>5</v>
      </c>
      <c r="J51" s="846">
        <v>0.23741255542476564</v>
      </c>
      <c r="K51" s="831">
        <v>0.23749550197912919</v>
      </c>
      <c r="L51" s="831">
        <v>0.23728813559322035</v>
      </c>
      <c r="N51" s="830" t="s">
        <v>360</v>
      </c>
      <c r="O51" s="830" t="s">
        <v>445</v>
      </c>
      <c r="P51" s="853">
        <v>322</v>
      </c>
      <c r="Q51" s="854">
        <v>36</v>
      </c>
      <c r="R51" s="854">
        <v>72</v>
      </c>
      <c r="S51" s="854">
        <v>19</v>
      </c>
      <c r="T51" s="854">
        <v>42</v>
      </c>
      <c r="U51" s="854">
        <v>35</v>
      </c>
      <c r="V51" s="854">
        <v>118</v>
      </c>
    </row>
    <row r="52" spans="1:22">
      <c r="A52" s="830" t="s">
        <v>360</v>
      </c>
      <c r="B52" s="830" t="s">
        <v>449</v>
      </c>
      <c r="C52" s="852">
        <v>306</v>
      </c>
      <c r="D52" s="852">
        <v>181</v>
      </c>
      <c r="E52" s="852">
        <v>18</v>
      </c>
      <c r="F52" s="852">
        <v>11</v>
      </c>
      <c r="G52" s="852">
        <v>7</v>
      </c>
      <c r="H52" s="852">
        <v>4</v>
      </c>
      <c r="J52" s="846">
        <v>0.20217734705204288</v>
      </c>
      <c r="K52" s="831">
        <v>0.15617128463476071</v>
      </c>
      <c r="L52" s="831">
        <v>0.2711864406779661</v>
      </c>
      <c r="N52" s="830" t="s">
        <v>360</v>
      </c>
      <c r="O52" s="830" t="s">
        <v>449</v>
      </c>
      <c r="P52" s="853">
        <v>368</v>
      </c>
      <c r="Q52" s="854">
        <v>37</v>
      </c>
      <c r="R52" s="854">
        <v>56</v>
      </c>
      <c r="S52" s="854">
        <v>24</v>
      </c>
      <c r="T52" s="854">
        <v>43</v>
      </c>
      <c r="U52" s="854">
        <v>33</v>
      </c>
      <c r="V52" s="854">
        <v>175</v>
      </c>
    </row>
    <row r="53" spans="1:22">
      <c r="A53" s="830" t="s">
        <v>360</v>
      </c>
      <c r="B53" s="830" t="s">
        <v>451</v>
      </c>
      <c r="C53" s="852">
        <v>226</v>
      </c>
      <c r="D53" s="852">
        <v>134</v>
      </c>
      <c r="E53" s="852">
        <v>13</v>
      </c>
      <c r="F53" s="852">
        <v>8</v>
      </c>
      <c r="G53" s="852">
        <v>5</v>
      </c>
      <c r="H53" s="852">
        <v>3</v>
      </c>
      <c r="J53" s="846">
        <v>0.14957682142333423</v>
      </c>
      <c r="K53" s="831">
        <v>0.17560273479668945</v>
      </c>
      <c r="L53" s="831">
        <v>0.1105379513633014</v>
      </c>
      <c r="N53" s="830" t="s">
        <v>360</v>
      </c>
      <c r="O53" s="830" t="s">
        <v>451</v>
      </c>
      <c r="P53" s="853">
        <v>150</v>
      </c>
      <c r="Q53" s="854">
        <v>30</v>
      </c>
      <c r="R53" s="854">
        <v>20</v>
      </c>
      <c r="S53" s="854">
        <v>18</v>
      </c>
      <c r="T53" s="854">
        <v>9</v>
      </c>
      <c r="U53" s="854">
        <v>16</v>
      </c>
      <c r="V53" s="854">
        <v>57</v>
      </c>
    </row>
    <row r="54" spans="1:22">
      <c r="A54" s="830" t="s">
        <v>361</v>
      </c>
      <c r="B54" s="830" t="s">
        <v>456</v>
      </c>
      <c r="C54" s="852">
        <v>269</v>
      </c>
      <c r="D54" s="852">
        <v>159</v>
      </c>
      <c r="E54" s="852">
        <v>16</v>
      </c>
      <c r="F54" s="852">
        <v>11</v>
      </c>
      <c r="G54" s="852">
        <v>6</v>
      </c>
      <c r="H54" s="852">
        <v>4</v>
      </c>
      <c r="J54" s="846">
        <v>0.12721803239387075</v>
      </c>
      <c r="K54" s="831">
        <v>0.1280549898167006</v>
      </c>
      <c r="L54" s="831">
        <v>0.12596259625962597</v>
      </c>
      <c r="N54" s="830" t="s">
        <v>361</v>
      </c>
      <c r="O54" s="830" t="s">
        <v>456</v>
      </c>
      <c r="P54" s="853">
        <v>229</v>
      </c>
      <c r="Q54" s="854">
        <v>30</v>
      </c>
      <c r="R54" s="854">
        <v>32</v>
      </c>
      <c r="S54" s="854">
        <v>18</v>
      </c>
      <c r="T54" s="854">
        <v>20</v>
      </c>
      <c r="U54" s="854">
        <v>15</v>
      </c>
      <c r="V54" s="854">
        <v>114</v>
      </c>
    </row>
    <row r="55" spans="1:22">
      <c r="A55" s="830" t="s">
        <v>361</v>
      </c>
      <c r="B55" s="830" t="s">
        <v>458</v>
      </c>
      <c r="C55" s="852">
        <v>468</v>
      </c>
      <c r="D55" s="852">
        <v>277</v>
      </c>
      <c r="E55" s="852">
        <v>28</v>
      </c>
      <c r="F55" s="852">
        <v>17</v>
      </c>
      <c r="G55" s="852">
        <v>10</v>
      </c>
      <c r="H55" s="852">
        <v>7</v>
      </c>
      <c r="J55" s="846">
        <v>0.20950480485930467</v>
      </c>
      <c r="K55" s="831">
        <v>0.20799389002036661</v>
      </c>
      <c r="L55" s="831">
        <v>0.21177117711771176</v>
      </c>
      <c r="N55" s="830" t="s">
        <v>361</v>
      </c>
      <c r="O55" s="830" t="s">
        <v>458</v>
      </c>
      <c r="P55" s="853">
        <v>385</v>
      </c>
      <c r="Q55" s="854">
        <v>45</v>
      </c>
      <c r="R55" s="854">
        <v>76</v>
      </c>
      <c r="S55" s="854">
        <v>29</v>
      </c>
      <c r="T55" s="854">
        <v>39</v>
      </c>
      <c r="U55" s="854">
        <v>27</v>
      </c>
      <c r="V55" s="854">
        <v>169</v>
      </c>
    </row>
    <row r="56" spans="1:22">
      <c r="A56" s="830" t="s">
        <v>361</v>
      </c>
      <c r="B56" s="830" t="s">
        <v>460</v>
      </c>
      <c r="C56" s="852">
        <v>408</v>
      </c>
      <c r="D56" s="852">
        <v>242</v>
      </c>
      <c r="E56" s="852">
        <v>24</v>
      </c>
      <c r="F56" s="852">
        <v>15</v>
      </c>
      <c r="G56" s="852">
        <v>9</v>
      </c>
      <c r="H56" s="852">
        <v>6</v>
      </c>
      <c r="J56" s="846">
        <v>0.21600021509279238</v>
      </c>
      <c r="K56" s="831">
        <v>0.21588594704684319</v>
      </c>
      <c r="L56" s="831">
        <v>0.21617161716171618</v>
      </c>
      <c r="N56" s="830" t="s">
        <v>361</v>
      </c>
      <c r="O56" s="830" t="s">
        <v>460</v>
      </c>
      <c r="P56" s="853">
        <v>393</v>
      </c>
      <c r="Q56" s="854">
        <v>61</v>
      </c>
      <c r="R56" s="854">
        <v>55</v>
      </c>
      <c r="S56" s="854">
        <v>35</v>
      </c>
      <c r="T56" s="854">
        <v>45</v>
      </c>
      <c r="U56" s="854">
        <v>40</v>
      </c>
      <c r="V56" s="854">
        <v>157</v>
      </c>
    </row>
    <row r="57" spans="1:22">
      <c r="A57" s="830" t="s">
        <v>361</v>
      </c>
      <c r="B57" s="830" t="s">
        <v>462</v>
      </c>
      <c r="C57" s="852">
        <v>470</v>
      </c>
      <c r="D57" s="852">
        <v>279</v>
      </c>
      <c r="E57" s="852">
        <v>28</v>
      </c>
      <c r="F57" s="852">
        <v>17</v>
      </c>
      <c r="G57" s="852">
        <v>11</v>
      </c>
      <c r="H57" s="852">
        <v>7</v>
      </c>
      <c r="J57" s="846">
        <v>0.22928146684322198</v>
      </c>
      <c r="K57" s="831">
        <v>0.21308553971486763</v>
      </c>
      <c r="L57" s="831">
        <v>0.25357535753575355</v>
      </c>
      <c r="N57" s="830" t="s">
        <v>361</v>
      </c>
      <c r="O57" s="830" t="s">
        <v>462</v>
      </c>
      <c r="P57" s="853">
        <v>461</v>
      </c>
      <c r="Q57" s="854">
        <v>52</v>
      </c>
      <c r="R57" s="854">
        <v>65</v>
      </c>
      <c r="S57" s="854">
        <v>26</v>
      </c>
      <c r="T57" s="854">
        <v>59</v>
      </c>
      <c r="U57" s="854">
        <v>43</v>
      </c>
      <c r="V57" s="854">
        <v>216</v>
      </c>
    </row>
    <row r="58" spans="1:22">
      <c r="A58" s="830" t="s">
        <v>361</v>
      </c>
      <c r="B58" s="830" t="s">
        <v>683</v>
      </c>
      <c r="C58" s="852">
        <v>480</v>
      </c>
      <c r="D58" s="852">
        <v>285</v>
      </c>
      <c r="E58" s="852">
        <v>28</v>
      </c>
      <c r="F58" s="852">
        <v>18</v>
      </c>
      <c r="G58" s="852">
        <v>11</v>
      </c>
      <c r="H58" s="852">
        <v>7</v>
      </c>
      <c r="J58" s="846">
        <v>0.21799548081081022</v>
      </c>
      <c r="K58" s="831">
        <v>0.23497963340122199</v>
      </c>
      <c r="L58" s="831">
        <v>0.19251925192519251</v>
      </c>
      <c r="N58" s="830" t="s">
        <v>361</v>
      </c>
      <c r="O58" s="830" t="s">
        <v>683</v>
      </c>
      <c r="P58" s="853">
        <v>350</v>
      </c>
      <c r="Q58" s="854">
        <v>37</v>
      </c>
      <c r="R58" s="854">
        <v>50</v>
      </c>
      <c r="S58" s="854">
        <v>27</v>
      </c>
      <c r="T58" s="854">
        <v>45</v>
      </c>
      <c r="U58" s="854">
        <v>42</v>
      </c>
      <c r="V58" s="854">
        <v>149</v>
      </c>
    </row>
    <row r="59" spans="1:22">
      <c r="A59" s="830" t="s">
        <v>362</v>
      </c>
      <c r="B59" s="830" t="s">
        <v>468</v>
      </c>
      <c r="C59" s="852">
        <v>176</v>
      </c>
      <c r="D59" s="852">
        <v>104</v>
      </c>
      <c r="E59" s="852">
        <v>12</v>
      </c>
      <c r="F59" s="852">
        <v>7</v>
      </c>
      <c r="G59" s="852">
        <v>5</v>
      </c>
      <c r="H59" s="852">
        <v>3</v>
      </c>
      <c r="J59" s="846">
        <v>0.13772671142177439</v>
      </c>
      <c r="K59" s="831">
        <v>0.15419330575404289</v>
      </c>
      <c r="L59" s="831">
        <v>0.11302681992337164</v>
      </c>
      <c r="N59" s="830" t="s">
        <v>362</v>
      </c>
      <c r="O59" s="830" t="s">
        <v>468</v>
      </c>
      <c r="P59" s="853">
        <v>118</v>
      </c>
      <c r="Q59" s="854">
        <v>14</v>
      </c>
      <c r="R59" s="854">
        <v>24</v>
      </c>
      <c r="S59" s="854">
        <v>4</v>
      </c>
      <c r="T59" s="854">
        <v>14</v>
      </c>
      <c r="U59" s="854">
        <v>19</v>
      </c>
      <c r="V59" s="854">
        <v>43</v>
      </c>
    </row>
    <row r="60" spans="1:22">
      <c r="A60" s="830" t="s">
        <v>362</v>
      </c>
      <c r="B60" s="830" t="s">
        <v>681</v>
      </c>
      <c r="C60" s="852">
        <v>422</v>
      </c>
      <c r="D60" s="852">
        <v>250</v>
      </c>
      <c r="E60" s="852">
        <v>25</v>
      </c>
      <c r="F60" s="852">
        <v>16</v>
      </c>
      <c r="G60" s="852">
        <v>9</v>
      </c>
      <c r="H60" s="852">
        <v>7</v>
      </c>
      <c r="J60" s="846">
        <v>0.31853201517581442</v>
      </c>
      <c r="K60" s="831">
        <v>0.32079729221511849</v>
      </c>
      <c r="L60" s="831">
        <v>0.31513409961685823</v>
      </c>
      <c r="N60" s="830" t="s">
        <v>362</v>
      </c>
      <c r="O60" s="830" t="s">
        <v>681</v>
      </c>
      <c r="P60" s="853">
        <v>329</v>
      </c>
      <c r="Q60" s="854">
        <v>41</v>
      </c>
      <c r="R60" s="854">
        <v>70</v>
      </c>
      <c r="S60" s="854">
        <v>19</v>
      </c>
      <c r="T60" s="854">
        <v>55</v>
      </c>
      <c r="U60" s="854">
        <v>22</v>
      </c>
      <c r="V60" s="854">
        <v>122</v>
      </c>
    </row>
    <row r="61" spans="1:22">
      <c r="A61" s="830" t="s">
        <v>362</v>
      </c>
      <c r="B61" s="830" t="s">
        <v>474</v>
      </c>
      <c r="C61" s="852">
        <v>184</v>
      </c>
      <c r="D61" s="852">
        <v>109</v>
      </c>
      <c r="E61" s="852">
        <v>11</v>
      </c>
      <c r="F61" s="852">
        <v>7</v>
      </c>
      <c r="G61" s="852">
        <v>4</v>
      </c>
      <c r="H61" s="852">
        <v>3</v>
      </c>
      <c r="J61" s="846">
        <v>0.15119560691009643</v>
      </c>
      <c r="K61" s="831">
        <v>0.1421587062805566</v>
      </c>
      <c r="L61" s="831">
        <v>0.16475095785440613</v>
      </c>
      <c r="N61" s="830" t="s">
        <v>362</v>
      </c>
      <c r="O61" s="830" t="s">
        <v>474</v>
      </c>
      <c r="P61" s="853">
        <v>172</v>
      </c>
      <c r="Q61" s="854">
        <v>27</v>
      </c>
      <c r="R61" s="854">
        <v>29</v>
      </c>
      <c r="S61" s="854">
        <v>21</v>
      </c>
      <c r="T61" s="854">
        <v>18</v>
      </c>
      <c r="U61" s="854">
        <v>20</v>
      </c>
      <c r="V61" s="854">
        <v>57</v>
      </c>
    </row>
    <row r="62" spans="1:22">
      <c r="A62" s="830" t="s">
        <v>362</v>
      </c>
      <c r="B62" s="830" t="s">
        <v>682</v>
      </c>
      <c r="C62" s="852">
        <v>280</v>
      </c>
      <c r="D62" s="852">
        <v>166</v>
      </c>
      <c r="E62" s="852">
        <v>16</v>
      </c>
      <c r="F62" s="852">
        <v>9</v>
      </c>
      <c r="G62" s="852">
        <v>6</v>
      </c>
      <c r="H62" s="852">
        <v>4</v>
      </c>
      <c r="J62" s="846">
        <v>0.20131354656130629</v>
      </c>
      <c r="K62" s="831">
        <v>0.19631440391124483</v>
      </c>
      <c r="L62" s="831">
        <v>0.20881226053639848</v>
      </c>
      <c r="N62" s="830" t="s">
        <v>362</v>
      </c>
      <c r="O62" s="830" t="s">
        <v>682</v>
      </c>
      <c r="P62" s="853">
        <v>218</v>
      </c>
      <c r="Q62" s="854">
        <v>19</v>
      </c>
      <c r="R62" s="854">
        <v>49</v>
      </c>
      <c r="S62" s="854">
        <v>12</v>
      </c>
      <c r="T62" s="854">
        <v>35</v>
      </c>
      <c r="U62" s="854">
        <v>22</v>
      </c>
      <c r="V62" s="854">
        <v>81</v>
      </c>
    </row>
    <row r="63" spans="1:22">
      <c r="A63" s="830" t="s">
        <v>362</v>
      </c>
      <c r="B63" s="830" t="s">
        <v>479</v>
      </c>
      <c r="C63" s="852">
        <v>272</v>
      </c>
      <c r="D63" s="852">
        <v>161</v>
      </c>
      <c r="E63" s="852">
        <v>15</v>
      </c>
      <c r="F63" s="852">
        <v>9</v>
      </c>
      <c r="G63" s="852">
        <v>6</v>
      </c>
      <c r="H63" s="852">
        <v>4</v>
      </c>
      <c r="J63" s="846">
        <v>0.19123211993100853</v>
      </c>
      <c r="K63" s="831">
        <v>0.18653629183903722</v>
      </c>
      <c r="L63" s="831">
        <v>0.19827586206896552</v>
      </c>
      <c r="N63" s="830" t="s">
        <v>362</v>
      </c>
      <c r="O63" s="830" t="s">
        <v>479</v>
      </c>
      <c r="P63" s="853">
        <v>207</v>
      </c>
      <c r="Q63" s="854">
        <v>14</v>
      </c>
      <c r="R63" s="854">
        <v>34</v>
      </c>
      <c r="S63" s="854">
        <v>12</v>
      </c>
      <c r="T63" s="854">
        <v>32</v>
      </c>
      <c r="U63" s="854">
        <v>12</v>
      </c>
      <c r="V63" s="854">
        <v>103</v>
      </c>
    </row>
    <row r="64" spans="1:22">
      <c r="N64" s="830" t="s">
        <v>688</v>
      </c>
      <c r="O64" s="830"/>
      <c r="P64" s="853">
        <v>11936</v>
      </c>
      <c r="Q64" s="854">
        <v>1184</v>
      </c>
      <c r="R64" s="854">
        <v>2091</v>
      </c>
      <c r="S64" s="854">
        <v>788</v>
      </c>
      <c r="T64" s="854">
        <v>1804</v>
      </c>
      <c r="U64" s="854">
        <v>956</v>
      </c>
      <c r="V64" s="854">
        <v>5113</v>
      </c>
    </row>
  </sheetData>
  <mergeCells count="16">
    <mergeCell ref="A15:B15"/>
    <mergeCell ref="A16:B16"/>
    <mergeCell ref="A17:B17"/>
    <mergeCell ref="A18:B18"/>
    <mergeCell ref="A8:B8"/>
    <mergeCell ref="A9:B9"/>
    <mergeCell ref="A10:B10"/>
    <mergeCell ref="A12:B12"/>
    <mergeCell ref="A13:B13"/>
    <mergeCell ref="A14:B14"/>
    <mergeCell ref="A7:B7"/>
    <mergeCell ref="A2:B2"/>
    <mergeCell ref="A3:B3"/>
    <mergeCell ref="A4:B4"/>
    <mergeCell ref="A5:B5"/>
    <mergeCell ref="A6:B6"/>
  </mergeCells>
  <phoneticPr fontId="1" type="noConversion"/>
  <conditionalFormatting sqref="C12:H18">
    <cfRule type="cellIs" dxfId="119" priority="1" operator="equal">
      <formula>TRUE</formula>
    </cfRule>
    <cfRule type="cellIs" dxfId="118" priority="2" operator="equal">
      <formula>FALSE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4:Z20"/>
  <sheetViews>
    <sheetView workbookViewId="0">
      <selection activeCell="K15" sqref="K15"/>
    </sheetView>
  </sheetViews>
  <sheetFormatPr defaultRowHeight="17"/>
  <cols>
    <col min="2" max="2" width="9.5" bestFit="1" customWidth="1"/>
  </cols>
  <sheetData>
    <row r="4" spans="1:26">
      <c r="B4" s="797">
        <v>0</v>
      </c>
      <c r="C4" s="696">
        <v>3.4246575342465752E-2</v>
      </c>
      <c r="D4" s="696">
        <v>3.4246575342465752E-2</v>
      </c>
      <c r="E4" s="696">
        <v>3.4246575342465752E-2</v>
      </c>
      <c r="F4" s="696">
        <v>3.4246575342465752E-2</v>
      </c>
      <c r="G4" s="696">
        <v>4.4520547945205477E-2</v>
      </c>
      <c r="H4" s="696">
        <v>0</v>
      </c>
      <c r="I4" s="696">
        <v>5.1369863013698627E-2</v>
      </c>
      <c r="J4" s="696">
        <v>3.4246575342465752E-2</v>
      </c>
      <c r="K4" s="696">
        <v>3.4246575342465752E-2</v>
      </c>
      <c r="L4" s="696">
        <v>3.4246575342465752E-2</v>
      </c>
      <c r="M4" s="696">
        <v>3.4246575342465752E-2</v>
      </c>
      <c r="N4" s="696">
        <v>4.4520547945205477E-2</v>
      </c>
      <c r="O4" s="696">
        <v>0</v>
      </c>
      <c r="P4" s="696">
        <v>5.1369863013698627E-2</v>
      </c>
      <c r="Q4" s="696">
        <v>3.4246575342465752E-2</v>
      </c>
      <c r="R4" s="696">
        <v>3.4246575342465752E-2</v>
      </c>
      <c r="S4" s="696">
        <v>3.4246575342465752E-2</v>
      </c>
      <c r="T4" s="696">
        <v>3.4246575342465752E-2</v>
      </c>
      <c r="U4" s="696">
        <v>4.4520547945205477E-2</v>
      </c>
      <c r="V4" s="696">
        <v>0</v>
      </c>
      <c r="W4" s="696">
        <v>5.1369863013698627E-2</v>
      </c>
      <c r="X4" s="696">
        <v>3.4246575342465752E-2</v>
      </c>
      <c r="Y4" s="696">
        <v>3.4246575342465752E-2</v>
      </c>
      <c r="Z4" s="696">
        <v>3.4246575342465752E-2</v>
      </c>
    </row>
    <row r="5" spans="1:26">
      <c r="A5" s="799">
        <v>0.60399999999999998</v>
      </c>
      <c r="B5" s="697">
        <f>ROUND(B4*$A5,3)</f>
        <v>0</v>
      </c>
      <c r="C5" s="697">
        <f t="shared" ref="C5:Z5" si="0">ROUND(C4*$A5,3)</f>
        <v>2.1000000000000001E-2</v>
      </c>
      <c r="D5" s="697">
        <f t="shared" si="0"/>
        <v>2.1000000000000001E-2</v>
      </c>
      <c r="E5" s="697">
        <f t="shared" si="0"/>
        <v>2.1000000000000001E-2</v>
      </c>
      <c r="F5" s="697">
        <f t="shared" si="0"/>
        <v>2.1000000000000001E-2</v>
      </c>
      <c r="G5" s="697">
        <f t="shared" si="0"/>
        <v>2.7E-2</v>
      </c>
      <c r="H5" s="697">
        <f t="shared" si="0"/>
        <v>0</v>
      </c>
      <c r="I5" s="697">
        <f t="shared" si="0"/>
        <v>3.1E-2</v>
      </c>
      <c r="J5" s="697">
        <f t="shared" si="0"/>
        <v>2.1000000000000001E-2</v>
      </c>
      <c r="K5" s="697">
        <f t="shared" si="0"/>
        <v>2.1000000000000001E-2</v>
      </c>
      <c r="L5" s="697">
        <f t="shared" si="0"/>
        <v>2.1000000000000001E-2</v>
      </c>
      <c r="M5" s="697">
        <f t="shared" si="0"/>
        <v>2.1000000000000001E-2</v>
      </c>
      <c r="N5" s="697">
        <f t="shared" si="0"/>
        <v>2.7E-2</v>
      </c>
      <c r="O5" s="697">
        <f t="shared" si="0"/>
        <v>0</v>
      </c>
      <c r="P5" s="697">
        <f t="shared" si="0"/>
        <v>3.1E-2</v>
      </c>
      <c r="Q5" s="697">
        <f t="shared" si="0"/>
        <v>2.1000000000000001E-2</v>
      </c>
      <c r="R5" s="697">
        <f t="shared" si="0"/>
        <v>2.1000000000000001E-2</v>
      </c>
      <c r="S5" s="697">
        <f t="shared" si="0"/>
        <v>2.1000000000000001E-2</v>
      </c>
      <c r="T5" s="697">
        <f t="shared" si="0"/>
        <v>2.1000000000000001E-2</v>
      </c>
      <c r="U5" s="697">
        <f t="shared" si="0"/>
        <v>2.7E-2</v>
      </c>
      <c r="V5" s="697">
        <f t="shared" si="0"/>
        <v>0</v>
      </c>
      <c r="W5" s="697">
        <f t="shared" si="0"/>
        <v>3.1E-2</v>
      </c>
      <c r="X5" s="697">
        <f t="shared" si="0"/>
        <v>2.1000000000000001E-2</v>
      </c>
      <c r="Y5" s="697">
        <f t="shared" si="0"/>
        <v>2.1000000000000001E-2</v>
      </c>
      <c r="Z5" s="697">
        <f t="shared" si="0"/>
        <v>2.1000000000000001E-2</v>
      </c>
    </row>
    <row r="6" spans="1:26">
      <c r="B6">
        <v>0</v>
      </c>
      <c r="C6" s="697">
        <f>C5+0.001</f>
        <v>2.2000000000000002E-2</v>
      </c>
      <c r="D6" s="697">
        <f t="shared" ref="D6:G6" si="1">D5+0.001</f>
        <v>2.2000000000000002E-2</v>
      </c>
      <c r="E6" s="697">
        <f t="shared" si="1"/>
        <v>2.2000000000000002E-2</v>
      </c>
      <c r="F6" s="697">
        <f t="shared" si="1"/>
        <v>2.2000000000000002E-2</v>
      </c>
      <c r="G6" s="697">
        <f t="shared" si="1"/>
        <v>2.8000000000000001E-2</v>
      </c>
      <c r="H6">
        <v>0</v>
      </c>
      <c r="I6" s="697">
        <f t="shared" ref="I6:N6" si="2">I5+0.001</f>
        <v>3.2000000000000001E-2</v>
      </c>
      <c r="J6" s="697">
        <f t="shared" si="2"/>
        <v>2.2000000000000002E-2</v>
      </c>
      <c r="K6" s="697">
        <f t="shared" si="2"/>
        <v>2.2000000000000002E-2</v>
      </c>
      <c r="L6" s="697">
        <f t="shared" si="2"/>
        <v>2.2000000000000002E-2</v>
      </c>
      <c r="M6" s="697">
        <f t="shared" si="2"/>
        <v>2.2000000000000002E-2</v>
      </c>
      <c r="N6" s="697">
        <f t="shared" si="2"/>
        <v>2.8000000000000001E-2</v>
      </c>
      <c r="O6">
        <v>0</v>
      </c>
      <c r="P6" s="697">
        <f t="shared" ref="P6:U6" si="3">P5+0.001</f>
        <v>3.2000000000000001E-2</v>
      </c>
      <c r="Q6" s="697">
        <f t="shared" si="3"/>
        <v>2.2000000000000002E-2</v>
      </c>
      <c r="R6" s="697">
        <f t="shared" si="3"/>
        <v>2.2000000000000002E-2</v>
      </c>
      <c r="S6" s="697">
        <f t="shared" si="3"/>
        <v>2.2000000000000002E-2</v>
      </c>
      <c r="T6" s="697">
        <f t="shared" si="3"/>
        <v>2.2000000000000002E-2</v>
      </c>
      <c r="U6" s="697">
        <f t="shared" si="3"/>
        <v>2.8000000000000001E-2</v>
      </c>
      <c r="V6">
        <v>0</v>
      </c>
      <c r="W6" s="697">
        <f>W5+0.001</f>
        <v>3.2000000000000001E-2</v>
      </c>
      <c r="X6" s="697">
        <f>X5+0.001</f>
        <v>2.2000000000000002E-2</v>
      </c>
      <c r="Y6" s="697">
        <f>Y5+0.001</f>
        <v>2.2000000000000002E-2</v>
      </c>
      <c r="Z6" s="697">
        <f>Z5+0.001</f>
        <v>2.2000000000000002E-2</v>
      </c>
    </row>
    <row r="7" spans="1:26">
      <c r="B7">
        <v>0</v>
      </c>
      <c r="C7" s="697">
        <f t="shared" ref="C7" si="4">C6+0.001</f>
        <v>2.3000000000000003E-2</v>
      </c>
      <c r="D7" s="697">
        <f t="shared" ref="D7" si="5">D6+0.001</f>
        <v>2.3000000000000003E-2</v>
      </c>
      <c r="E7" s="697">
        <f t="shared" ref="E7" si="6">E6+0.001</f>
        <v>2.3000000000000003E-2</v>
      </c>
      <c r="F7" s="697">
        <f t="shared" ref="F7" si="7">F6+0.001</f>
        <v>2.3000000000000003E-2</v>
      </c>
      <c r="G7" s="697">
        <f t="shared" ref="G7" si="8">G6+0.001</f>
        <v>2.9000000000000001E-2</v>
      </c>
      <c r="H7">
        <v>0</v>
      </c>
      <c r="I7" s="697">
        <f t="shared" ref="I7:N7" si="9">I6+0.001</f>
        <v>3.3000000000000002E-2</v>
      </c>
      <c r="J7" s="697">
        <f t="shared" si="9"/>
        <v>2.3000000000000003E-2</v>
      </c>
      <c r="K7" s="697">
        <f t="shared" si="9"/>
        <v>2.3000000000000003E-2</v>
      </c>
      <c r="L7" s="697">
        <f t="shared" si="9"/>
        <v>2.3000000000000003E-2</v>
      </c>
      <c r="M7" s="697">
        <f t="shared" si="9"/>
        <v>2.3000000000000003E-2</v>
      </c>
      <c r="N7" s="697">
        <f t="shared" si="9"/>
        <v>2.9000000000000001E-2</v>
      </c>
      <c r="O7">
        <v>0</v>
      </c>
      <c r="P7" s="697">
        <f t="shared" ref="P7:U7" si="10">P6+0.001</f>
        <v>3.3000000000000002E-2</v>
      </c>
      <c r="Q7" s="697">
        <f t="shared" si="10"/>
        <v>2.3000000000000003E-2</v>
      </c>
      <c r="R7" s="697">
        <f t="shared" si="10"/>
        <v>2.3000000000000003E-2</v>
      </c>
      <c r="S7" s="697">
        <f t="shared" si="10"/>
        <v>2.3000000000000003E-2</v>
      </c>
      <c r="T7" s="697">
        <f t="shared" si="10"/>
        <v>2.3000000000000003E-2</v>
      </c>
      <c r="U7" s="697">
        <f t="shared" si="10"/>
        <v>2.9000000000000001E-2</v>
      </c>
      <c r="V7">
        <v>0</v>
      </c>
      <c r="W7" s="697">
        <f t="shared" ref="W7:Z7" si="11">W6+0.001</f>
        <v>3.3000000000000002E-2</v>
      </c>
      <c r="X7" s="697">
        <f t="shared" si="11"/>
        <v>2.3000000000000003E-2</v>
      </c>
      <c r="Y7" s="697">
        <f t="shared" si="11"/>
        <v>2.3000000000000003E-2</v>
      </c>
      <c r="Z7" s="697">
        <f t="shared" si="11"/>
        <v>2.3000000000000003E-2</v>
      </c>
    </row>
    <row r="8" spans="1:26">
      <c r="B8">
        <v>0</v>
      </c>
      <c r="C8" s="697">
        <f t="shared" ref="C8:C9" si="12">C7+0.001</f>
        <v>2.4000000000000004E-2</v>
      </c>
      <c r="D8" s="697">
        <f t="shared" ref="D8:D9" si="13">D7+0.001</f>
        <v>2.4000000000000004E-2</v>
      </c>
      <c r="E8" s="697">
        <f t="shared" ref="E8:E9" si="14">E7+0.001</f>
        <v>2.4000000000000004E-2</v>
      </c>
      <c r="F8" s="697">
        <f t="shared" ref="F8:F9" si="15">F7+0.001</f>
        <v>2.4000000000000004E-2</v>
      </c>
      <c r="G8" s="697">
        <f t="shared" ref="G8:G9" si="16">G7+0.001</f>
        <v>3.0000000000000002E-2</v>
      </c>
      <c r="H8">
        <v>0</v>
      </c>
      <c r="I8" s="697">
        <f t="shared" ref="I8:I9" si="17">I7+0.001</f>
        <v>3.4000000000000002E-2</v>
      </c>
      <c r="J8" s="697">
        <f t="shared" ref="J8:J9" si="18">J7+0.001</f>
        <v>2.4000000000000004E-2</v>
      </c>
      <c r="K8" s="697">
        <f t="shared" ref="K8:K9" si="19">K7+0.001</f>
        <v>2.4000000000000004E-2</v>
      </c>
      <c r="L8" s="697">
        <f t="shared" ref="L8:L9" si="20">L7+0.001</f>
        <v>2.4000000000000004E-2</v>
      </c>
      <c r="M8" s="697">
        <f t="shared" ref="M8:M9" si="21">M7+0.001</f>
        <v>2.4000000000000004E-2</v>
      </c>
      <c r="N8" s="697">
        <f t="shared" ref="N8:N9" si="22">N7+0.001</f>
        <v>3.0000000000000002E-2</v>
      </c>
      <c r="O8">
        <v>0</v>
      </c>
      <c r="P8" s="697">
        <f t="shared" ref="P8:P9" si="23">P7+0.001</f>
        <v>3.4000000000000002E-2</v>
      </c>
      <c r="Q8" s="697">
        <f t="shared" ref="Q8:Q9" si="24">Q7+0.001</f>
        <v>2.4000000000000004E-2</v>
      </c>
      <c r="R8" s="697">
        <f t="shared" ref="R8:R9" si="25">R7+0.001</f>
        <v>2.4000000000000004E-2</v>
      </c>
      <c r="S8" s="697">
        <f t="shared" ref="S8:S9" si="26">S7+0.001</f>
        <v>2.4000000000000004E-2</v>
      </c>
      <c r="T8" s="697">
        <f t="shared" ref="T8:T9" si="27">T7+0.001</f>
        <v>2.4000000000000004E-2</v>
      </c>
      <c r="U8" s="697">
        <f t="shared" ref="U8:U9" si="28">U7+0.001</f>
        <v>3.0000000000000002E-2</v>
      </c>
      <c r="V8">
        <v>0</v>
      </c>
      <c r="W8" s="697">
        <f t="shared" ref="W8:W9" si="29">W7+0.001</f>
        <v>3.4000000000000002E-2</v>
      </c>
      <c r="X8" s="697">
        <f t="shared" ref="X8:X9" si="30">X7+0.001</f>
        <v>2.4000000000000004E-2</v>
      </c>
      <c r="Y8" s="697">
        <f t="shared" ref="Y8:Y9" si="31">Y7+0.001</f>
        <v>2.4000000000000004E-2</v>
      </c>
      <c r="Z8" s="697">
        <f t="shared" ref="Z8:Z9" si="32">Z7+0.001</f>
        <v>2.4000000000000004E-2</v>
      </c>
    </row>
    <row r="9" spans="1:26">
      <c r="B9">
        <v>0</v>
      </c>
      <c r="C9" s="697">
        <f t="shared" si="12"/>
        <v>2.5000000000000005E-2</v>
      </c>
      <c r="D9" s="697">
        <f t="shared" si="13"/>
        <v>2.5000000000000005E-2</v>
      </c>
      <c r="E9" s="697">
        <f t="shared" si="14"/>
        <v>2.5000000000000005E-2</v>
      </c>
      <c r="F9" s="697">
        <f t="shared" si="15"/>
        <v>2.5000000000000005E-2</v>
      </c>
      <c r="G9" s="697">
        <f t="shared" si="16"/>
        <v>3.1000000000000003E-2</v>
      </c>
      <c r="H9">
        <v>0</v>
      </c>
      <c r="I9" s="697">
        <f t="shared" si="17"/>
        <v>3.5000000000000003E-2</v>
      </c>
      <c r="J9" s="697">
        <f t="shared" si="18"/>
        <v>2.5000000000000005E-2</v>
      </c>
      <c r="K9" s="697">
        <f t="shared" si="19"/>
        <v>2.5000000000000005E-2</v>
      </c>
      <c r="L9" s="697">
        <f t="shared" si="20"/>
        <v>2.5000000000000005E-2</v>
      </c>
      <c r="M9" s="697">
        <f t="shared" si="21"/>
        <v>2.5000000000000005E-2</v>
      </c>
      <c r="N9" s="697">
        <f t="shared" si="22"/>
        <v>3.1000000000000003E-2</v>
      </c>
      <c r="O9">
        <v>0</v>
      </c>
      <c r="P9" s="697">
        <f t="shared" si="23"/>
        <v>3.5000000000000003E-2</v>
      </c>
      <c r="Q9" s="697">
        <f t="shared" si="24"/>
        <v>2.5000000000000005E-2</v>
      </c>
      <c r="R9" s="697">
        <f t="shared" si="25"/>
        <v>2.5000000000000005E-2</v>
      </c>
      <c r="S9" s="697">
        <f t="shared" si="26"/>
        <v>2.5000000000000005E-2</v>
      </c>
      <c r="T9" s="697">
        <f t="shared" si="27"/>
        <v>2.5000000000000005E-2</v>
      </c>
      <c r="U9" s="697">
        <f t="shared" si="28"/>
        <v>3.1000000000000003E-2</v>
      </c>
      <c r="V9">
        <v>0</v>
      </c>
      <c r="W9" s="697">
        <f t="shared" si="29"/>
        <v>3.5000000000000003E-2</v>
      </c>
      <c r="X9" s="697">
        <f t="shared" si="30"/>
        <v>2.5000000000000005E-2</v>
      </c>
      <c r="Y9" s="697">
        <f t="shared" si="31"/>
        <v>2.5000000000000005E-2</v>
      </c>
      <c r="Z9" s="697">
        <f t="shared" si="32"/>
        <v>2.5000000000000005E-2</v>
      </c>
    </row>
    <row r="10" spans="1:26">
      <c r="B10">
        <v>0</v>
      </c>
      <c r="C10" s="697">
        <v>2.6000000000000006E-2</v>
      </c>
      <c r="D10" s="697">
        <v>2.6000000000000006E-2</v>
      </c>
      <c r="E10" s="697">
        <v>2.6000000000000006E-2</v>
      </c>
      <c r="F10" s="697">
        <v>2.6000000000000006E-2</v>
      </c>
      <c r="G10" s="697">
        <v>3.2000000000000001E-2</v>
      </c>
      <c r="H10">
        <v>0</v>
      </c>
      <c r="I10" s="697">
        <v>3.6000000000000004E-2</v>
      </c>
      <c r="J10" s="697">
        <v>2.6000000000000006E-2</v>
      </c>
      <c r="K10" s="697">
        <v>2.6000000000000006E-2</v>
      </c>
      <c r="L10" s="697">
        <v>2.6000000000000006E-2</v>
      </c>
      <c r="M10" s="697">
        <v>2.6000000000000006E-2</v>
      </c>
      <c r="N10" s="697">
        <v>3.2000000000000001E-2</v>
      </c>
      <c r="O10">
        <v>0</v>
      </c>
      <c r="P10" s="697">
        <f t="shared" ref="P10:P11" si="33">P9+0.001</f>
        <v>3.6000000000000004E-2</v>
      </c>
      <c r="Q10" s="697">
        <f t="shared" ref="Q10:Q11" si="34">Q9+0.001</f>
        <v>2.6000000000000006E-2</v>
      </c>
      <c r="R10" s="697">
        <f t="shared" ref="R10:R11" si="35">R9+0.001</f>
        <v>2.6000000000000006E-2</v>
      </c>
      <c r="S10" s="697">
        <f t="shared" ref="S10:S11" si="36">S9+0.001</f>
        <v>2.6000000000000006E-2</v>
      </c>
      <c r="T10" s="697">
        <f t="shared" ref="T10:T11" si="37">T9+0.001</f>
        <v>2.6000000000000006E-2</v>
      </c>
      <c r="U10" s="697">
        <f t="shared" ref="U10:U11" si="38">U9+0.001</f>
        <v>3.2000000000000001E-2</v>
      </c>
      <c r="V10">
        <v>0</v>
      </c>
      <c r="W10" s="697">
        <f t="shared" ref="W10:W11" si="39">W9+0.001</f>
        <v>3.6000000000000004E-2</v>
      </c>
      <c r="X10" s="697">
        <f t="shared" ref="X10:X11" si="40">X9+0.001</f>
        <v>2.6000000000000006E-2</v>
      </c>
      <c r="Y10" s="697">
        <f t="shared" ref="Y10:Y11" si="41">Y9+0.001</f>
        <v>2.6000000000000006E-2</v>
      </c>
      <c r="Z10" s="697">
        <f t="shared" ref="Z10:Z11" si="42">Z9+0.001</f>
        <v>2.6000000000000006E-2</v>
      </c>
    </row>
    <row r="11" spans="1:26">
      <c r="A11">
        <f>SUM(B11:XFD11)</f>
        <v>0.60400000000000031</v>
      </c>
      <c r="B11">
        <v>0</v>
      </c>
      <c r="C11" s="697">
        <v>2.6000000000000006E-2</v>
      </c>
      <c r="D11" s="697">
        <v>2.6000000000000006E-2</v>
      </c>
      <c r="E11" s="697">
        <v>2.6000000000000006E-2</v>
      </c>
      <c r="F11" s="697">
        <v>2.6000000000000006E-2</v>
      </c>
      <c r="G11" s="697">
        <v>3.2000000000000001E-2</v>
      </c>
      <c r="H11">
        <v>0</v>
      </c>
      <c r="I11" s="697">
        <v>3.6000000000000004E-2</v>
      </c>
      <c r="J11" s="697">
        <v>2.6000000000000006E-2</v>
      </c>
      <c r="K11" s="697">
        <v>2.6000000000000006E-2</v>
      </c>
      <c r="L11" s="697">
        <v>2.6000000000000006E-2</v>
      </c>
      <c r="M11" s="697">
        <v>2.6000000000000006E-2</v>
      </c>
      <c r="N11" s="697">
        <v>3.2000000000000001E-2</v>
      </c>
      <c r="O11">
        <v>0</v>
      </c>
      <c r="P11" s="697">
        <f t="shared" si="33"/>
        <v>3.7000000000000005E-2</v>
      </c>
      <c r="Q11" s="697">
        <f t="shared" si="34"/>
        <v>2.7000000000000007E-2</v>
      </c>
      <c r="R11" s="697">
        <f t="shared" si="35"/>
        <v>2.7000000000000007E-2</v>
      </c>
      <c r="S11" s="697">
        <f t="shared" si="36"/>
        <v>2.7000000000000007E-2</v>
      </c>
      <c r="T11" s="697">
        <f t="shared" si="37"/>
        <v>2.7000000000000007E-2</v>
      </c>
      <c r="U11" s="697">
        <f t="shared" si="38"/>
        <v>3.3000000000000002E-2</v>
      </c>
      <c r="V11">
        <v>0</v>
      </c>
      <c r="W11" s="697">
        <f t="shared" si="39"/>
        <v>3.7000000000000005E-2</v>
      </c>
      <c r="X11" s="697">
        <f t="shared" si="40"/>
        <v>2.7000000000000007E-2</v>
      </c>
      <c r="Y11" s="697">
        <f t="shared" si="41"/>
        <v>2.7000000000000007E-2</v>
      </c>
      <c r="Z11" s="697">
        <f t="shared" si="42"/>
        <v>2.7000000000000007E-2</v>
      </c>
    </row>
    <row r="12" spans="1:26">
      <c r="C12" s="697"/>
      <c r="D12" s="697"/>
      <c r="E12" s="697"/>
      <c r="F12" s="697"/>
      <c r="G12" s="697"/>
      <c r="I12" s="697"/>
      <c r="J12" s="697"/>
      <c r="K12" s="697"/>
      <c r="L12" s="697"/>
      <c r="M12" s="697"/>
      <c r="N12" s="697"/>
      <c r="P12" s="697"/>
      <c r="Q12" s="697"/>
      <c r="R12" s="697"/>
      <c r="S12" s="697"/>
      <c r="T12" s="697"/>
      <c r="U12" s="697"/>
      <c r="W12" s="697"/>
      <c r="X12" s="697"/>
      <c r="Y12" s="697"/>
      <c r="Z12" s="697"/>
    </row>
    <row r="13" spans="1:26">
      <c r="A13" s="800">
        <f>SUM(B13:G13)</f>
        <v>1</v>
      </c>
      <c r="B13" s="696">
        <v>0.55000000000000004</v>
      </c>
      <c r="C13" s="696">
        <v>0.18</v>
      </c>
      <c r="D13" s="696">
        <v>0</v>
      </c>
      <c r="E13" s="696">
        <v>0.12</v>
      </c>
      <c r="F13" s="696">
        <v>0.08</v>
      </c>
      <c r="G13" s="696">
        <v>7.0000000000000007E-2</v>
      </c>
    </row>
    <row r="14" spans="1:26">
      <c r="A14" s="799">
        <v>0.39600000000000002</v>
      </c>
      <c r="B14" s="697">
        <f>ROUND(B13*$A14,3)</f>
        <v>0.218</v>
      </c>
      <c r="C14" s="697">
        <f t="shared" ref="C14:F14" si="43">ROUND(C13*$A14,3)</f>
        <v>7.0999999999999994E-2</v>
      </c>
      <c r="D14" s="697">
        <f t="shared" si="43"/>
        <v>0</v>
      </c>
      <c r="E14" s="697">
        <f t="shared" si="43"/>
        <v>4.8000000000000001E-2</v>
      </c>
      <c r="F14" s="697">
        <f t="shared" si="43"/>
        <v>3.2000000000000001E-2</v>
      </c>
      <c r="G14" s="697">
        <v>2.7E-2</v>
      </c>
    </row>
    <row r="15" spans="1:26">
      <c r="A15" s="800">
        <f>SUM(B15:G15)</f>
        <v>0</v>
      </c>
    </row>
    <row r="16" spans="1:26">
      <c r="B16">
        <f>B14*25250</f>
        <v>5504.5</v>
      </c>
      <c r="C16">
        <f t="shared" ref="C16:G16" si="44">C14*25250</f>
        <v>1792.7499999999998</v>
      </c>
      <c r="D16">
        <f t="shared" si="44"/>
        <v>0</v>
      </c>
      <c r="E16">
        <f t="shared" si="44"/>
        <v>1212</v>
      </c>
      <c r="F16">
        <f t="shared" si="44"/>
        <v>808</v>
      </c>
      <c r="G16">
        <f t="shared" si="44"/>
        <v>681.75</v>
      </c>
    </row>
    <row r="18" spans="1:2">
      <c r="A18">
        <v>15250</v>
      </c>
      <c r="B18" s="697">
        <f>A18/$A$20</f>
        <v>0.60396039603960394</v>
      </c>
    </row>
    <row r="19" spans="1:2">
      <c r="A19">
        <v>10000</v>
      </c>
      <c r="B19" s="697">
        <f>A19/$A$20</f>
        <v>0.39603960396039606</v>
      </c>
    </row>
    <row r="20" spans="1:2">
      <c r="A20">
        <f>SUM(A18:A19)</f>
        <v>25250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AR52"/>
  <sheetViews>
    <sheetView topLeftCell="F1" zoomScale="85" zoomScaleNormal="85" workbookViewId="0">
      <selection activeCell="K13" sqref="A13:XFD13"/>
    </sheetView>
  </sheetViews>
  <sheetFormatPr defaultColWidth="9" defaultRowHeight="17"/>
  <cols>
    <col min="1" max="1" width="9" style="714" customWidth="1"/>
    <col min="2" max="2" width="5.25" style="714" customWidth="1"/>
    <col min="3" max="3" width="11.33203125" style="714" customWidth="1"/>
    <col min="4" max="4" width="19.25" style="714" customWidth="1"/>
    <col min="5" max="5" width="11.33203125" style="714" customWidth="1"/>
    <col min="6" max="6" width="19.83203125" style="714" customWidth="1"/>
    <col min="7" max="7" width="11.33203125" style="714" customWidth="1"/>
    <col min="8" max="8" width="27.08203125" style="714" customWidth="1"/>
    <col min="9" max="10" width="13.08203125" style="714" customWidth="1"/>
    <col min="11" max="11" width="8.75" style="714" customWidth="1"/>
    <col min="12" max="42" width="5.25" style="714" customWidth="1"/>
    <col min="43" max="16384" width="9" style="714"/>
  </cols>
  <sheetData>
    <row r="1" spans="1:44">
      <c r="L1" s="722" t="e">
        <f>무선목표!#REF!</f>
        <v>#REF!</v>
      </c>
      <c r="M1" s="722" t="e">
        <f>무선목표!#REF!</f>
        <v>#REF!</v>
      </c>
      <c r="N1" s="722" t="e">
        <f>무선목표!#REF!</f>
        <v>#REF!</v>
      </c>
      <c r="O1" s="722" t="e">
        <f>무선목표!#REF!</f>
        <v>#REF!</v>
      </c>
      <c r="P1" s="722" t="e">
        <f>무선목표!#REF!</f>
        <v>#REF!</v>
      </c>
      <c r="Q1" s="722" t="e">
        <f>무선목표!#REF!</f>
        <v>#REF!</v>
      </c>
      <c r="R1" s="722" t="e">
        <f>무선목표!#REF!</f>
        <v>#REF!</v>
      </c>
      <c r="S1" s="722" t="e">
        <f>무선목표!#REF!</f>
        <v>#REF!</v>
      </c>
      <c r="T1" s="722" t="e">
        <f>무선목표!#REF!</f>
        <v>#REF!</v>
      </c>
      <c r="U1" s="722" t="e">
        <f>무선목표!#REF!</f>
        <v>#REF!</v>
      </c>
      <c r="V1" s="722" t="e">
        <f>무선목표!#REF!</f>
        <v>#REF!</v>
      </c>
      <c r="W1" s="722" t="e">
        <f>무선목표!#REF!</f>
        <v>#REF!</v>
      </c>
      <c r="X1" s="722" t="e">
        <f>무선목표!#REF!</f>
        <v>#REF!</v>
      </c>
      <c r="Y1" s="722" t="e">
        <f>무선목표!#REF!</f>
        <v>#REF!</v>
      </c>
      <c r="Z1" s="722" t="e">
        <f>무선목표!#REF!</f>
        <v>#REF!</v>
      </c>
      <c r="AA1" s="722" t="e">
        <f>무선목표!#REF!</f>
        <v>#REF!</v>
      </c>
      <c r="AB1" s="722" t="e">
        <f>무선목표!#REF!</f>
        <v>#REF!</v>
      </c>
      <c r="AC1" s="722" t="e">
        <f>무선목표!#REF!</f>
        <v>#REF!</v>
      </c>
      <c r="AD1" s="722" t="e">
        <f>무선목표!#REF!</f>
        <v>#REF!</v>
      </c>
      <c r="AE1" s="722" t="e">
        <f>무선목표!#REF!</f>
        <v>#REF!</v>
      </c>
      <c r="AF1" s="722" t="e">
        <f>무선목표!#REF!</f>
        <v>#REF!</v>
      </c>
      <c r="AG1" s="722" t="e">
        <f>무선목표!#REF!</f>
        <v>#REF!</v>
      </c>
      <c r="AH1" s="722" t="e">
        <f>무선목표!#REF!</f>
        <v>#REF!</v>
      </c>
      <c r="AI1" s="722" t="e">
        <f>무선목표!#REF!</f>
        <v>#REF!</v>
      </c>
      <c r="AJ1" s="722" t="e">
        <f>무선목표!#REF!</f>
        <v>#REF!</v>
      </c>
      <c r="AK1" s="722" t="e">
        <f>무선목표!#REF!</f>
        <v>#REF!</v>
      </c>
      <c r="AL1" s="722" t="e">
        <f>무선목표!#REF!</f>
        <v>#REF!</v>
      </c>
      <c r="AM1" s="722" t="e">
        <f>무선목표!#REF!</f>
        <v>#REF!</v>
      </c>
      <c r="AN1" s="722" t="e">
        <f>무선목표!#REF!</f>
        <v>#REF!</v>
      </c>
      <c r="AO1" s="722" t="e">
        <f>무선목표!#REF!</f>
        <v>#REF!</v>
      </c>
      <c r="AP1" s="722" t="e">
        <f>무선목표!#REF!</f>
        <v>#REF!</v>
      </c>
    </row>
    <row r="2" spans="1:44" ht="26.15" customHeight="1">
      <c r="B2" s="972" t="s">
        <v>522</v>
      </c>
      <c r="C2" s="972" t="s">
        <v>523</v>
      </c>
      <c r="D2" s="972" t="s">
        <v>524</v>
      </c>
      <c r="E2" s="972" t="s">
        <v>525</v>
      </c>
      <c r="F2" s="972" t="s">
        <v>526</v>
      </c>
      <c r="G2" s="972" t="s">
        <v>527</v>
      </c>
      <c r="H2" s="972" t="s">
        <v>528</v>
      </c>
      <c r="I2" s="972" t="s">
        <v>529</v>
      </c>
      <c r="J2" s="972" t="s">
        <v>530</v>
      </c>
      <c r="K2" s="972" t="s">
        <v>531</v>
      </c>
      <c r="L2" s="721">
        <f>무선목표!B1</f>
        <v>46113</v>
      </c>
      <c r="M2" s="721">
        <f>무선목표!C1</f>
        <v>46114</v>
      </c>
      <c r="N2" s="721">
        <f>무선목표!D1</f>
        <v>46115</v>
      </c>
      <c r="O2" s="721">
        <f>무선목표!E1</f>
        <v>46116</v>
      </c>
      <c r="P2" s="721">
        <f>무선목표!F1</f>
        <v>46117</v>
      </c>
      <c r="Q2" s="721">
        <f>무선목표!G1</f>
        <v>46118</v>
      </c>
      <c r="R2" s="721">
        <f>무선목표!H1</f>
        <v>46119</v>
      </c>
      <c r="S2" s="721">
        <f>무선목표!I1</f>
        <v>46120</v>
      </c>
      <c r="T2" s="721">
        <f>무선목표!J1</f>
        <v>46121</v>
      </c>
      <c r="U2" s="721">
        <f>무선목표!K1</f>
        <v>46122</v>
      </c>
      <c r="V2" s="721">
        <f>무선목표!L1</f>
        <v>46123</v>
      </c>
      <c r="W2" s="721">
        <f>무선목표!M1</f>
        <v>46124</v>
      </c>
      <c r="X2" s="721">
        <f>무선목표!N1</f>
        <v>46125</v>
      </c>
      <c r="Y2" s="721">
        <f>무선목표!O1</f>
        <v>46126</v>
      </c>
      <c r="Z2" s="721">
        <f>무선목표!P1</f>
        <v>46127</v>
      </c>
      <c r="AA2" s="721">
        <f>무선목표!Q1</f>
        <v>46128</v>
      </c>
      <c r="AB2" s="721">
        <f>무선목표!R1</f>
        <v>46129</v>
      </c>
      <c r="AC2" s="721">
        <f>무선목표!S1</f>
        <v>46130</v>
      </c>
      <c r="AD2" s="721">
        <f>무선목표!T1</f>
        <v>46131</v>
      </c>
      <c r="AE2" s="721">
        <f>무선목표!U1</f>
        <v>46132</v>
      </c>
      <c r="AF2" s="721">
        <f>무선목표!V1</f>
        <v>46133</v>
      </c>
      <c r="AG2" s="721">
        <f>무선목표!W1</f>
        <v>46134</v>
      </c>
      <c r="AH2" s="721">
        <f>무선목표!X1</f>
        <v>46135</v>
      </c>
      <c r="AI2" s="721">
        <f>무선목표!Y1</f>
        <v>46136</v>
      </c>
      <c r="AJ2" s="721">
        <f>무선목표!Z1</f>
        <v>46137</v>
      </c>
      <c r="AK2" s="721">
        <f>무선목표!AA1</f>
        <v>46138</v>
      </c>
      <c r="AL2" s="721">
        <f>무선목표!AB1</f>
        <v>46139</v>
      </c>
      <c r="AM2" s="721">
        <f>무선목표!AC1</f>
        <v>46140</v>
      </c>
      <c r="AN2" s="721">
        <f>무선목표!AD1</f>
        <v>46141</v>
      </c>
      <c r="AO2" s="721">
        <f>무선목표!AE1</f>
        <v>46142</v>
      </c>
      <c r="AP2" s="721" t="e">
        <f>무선목표!#REF!</f>
        <v>#REF!</v>
      </c>
    </row>
    <row r="3" spans="1:44" ht="26.15" customHeight="1">
      <c r="B3" s="972" t="s">
        <v>522</v>
      </c>
      <c r="C3" s="972" t="s">
        <v>523</v>
      </c>
      <c r="D3" s="972" t="s">
        <v>524</v>
      </c>
      <c r="E3" s="972" t="s">
        <v>525</v>
      </c>
      <c r="F3" s="972" t="s">
        <v>526</v>
      </c>
      <c r="G3" s="972" t="s">
        <v>527</v>
      </c>
      <c r="H3" s="972" t="s">
        <v>528</v>
      </c>
      <c r="I3" s="972" t="s">
        <v>529</v>
      </c>
      <c r="J3" s="972" t="s">
        <v>530</v>
      </c>
      <c r="K3" s="972" t="s">
        <v>531</v>
      </c>
      <c r="L3" s="719" t="s">
        <v>569</v>
      </c>
      <c r="M3" s="719" t="s">
        <v>563</v>
      </c>
      <c r="N3" s="719" t="s">
        <v>564</v>
      </c>
      <c r="O3" s="719" t="s">
        <v>565</v>
      </c>
      <c r="P3" s="719" t="s">
        <v>566</v>
      </c>
      <c r="Q3" s="719" t="s">
        <v>567</v>
      </c>
      <c r="R3" s="719" t="s">
        <v>568</v>
      </c>
      <c r="S3" s="719" t="s">
        <v>569</v>
      </c>
      <c r="T3" s="719" t="s">
        <v>563</v>
      </c>
      <c r="U3" s="719" t="s">
        <v>564</v>
      </c>
      <c r="V3" s="719" t="s">
        <v>565</v>
      </c>
      <c r="W3" s="719" t="s">
        <v>566</v>
      </c>
      <c r="X3" s="719" t="s">
        <v>567</v>
      </c>
      <c r="Y3" s="719" t="s">
        <v>568</v>
      </c>
      <c r="Z3" s="719" t="s">
        <v>569</v>
      </c>
      <c r="AA3" s="719" t="s">
        <v>563</v>
      </c>
      <c r="AB3" s="719" t="s">
        <v>564</v>
      </c>
      <c r="AC3" s="719" t="s">
        <v>565</v>
      </c>
      <c r="AD3" s="719" t="s">
        <v>566</v>
      </c>
      <c r="AE3" s="719" t="s">
        <v>567</v>
      </c>
      <c r="AF3" s="719" t="s">
        <v>568</v>
      </c>
      <c r="AG3" s="719" t="s">
        <v>569</v>
      </c>
      <c r="AH3" s="719" t="s">
        <v>563</v>
      </c>
      <c r="AI3" s="719" t="s">
        <v>564</v>
      </c>
      <c r="AJ3" s="719" t="s">
        <v>565</v>
      </c>
      <c r="AK3" s="719" t="s">
        <v>566</v>
      </c>
      <c r="AL3" s="719" t="s">
        <v>567</v>
      </c>
      <c r="AM3" s="719" t="s">
        <v>568</v>
      </c>
      <c r="AN3" s="719" t="s">
        <v>569</v>
      </c>
      <c r="AO3" s="719" t="s">
        <v>563</v>
      </c>
      <c r="AP3" s="719" t="s">
        <v>564</v>
      </c>
      <c r="AQ3" s="714" t="s">
        <v>653</v>
      </c>
      <c r="AR3" s="714" t="s">
        <v>654</v>
      </c>
    </row>
    <row r="4" spans="1:44" ht="24" customHeight="1">
      <c r="A4" s="714" t="str">
        <f>LEFT(F4,2)</f>
        <v>강북</v>
      </c>
      <c r="B4" s="710">
        <v>1</v>
      </c>
      <c r="C4" s="711" t="s">
        <v>570</v>
      </c>
      <c r="D4" s="715" t="s">
        <v>571</v>
      </c>
      <c r="E4" s="711" t="s">
        <v>572</v>
      </c>
      <c r="F4" s="715" t="s">
        <v>645</v>
      </c>
      <c r="G4" s="711" t="s">
        <v>370</v>
      </c>
      <c r="H4" s="715" t="s">
        <v>573</v>
      </c>
      <c r="I4" s="712" t="s">
        <v>120</v>
      </c>
      <c r="J4" s="712" t="s">
        <v>655</v>
      </c>
      <c r="K4" s="716" t="e">
        <f>VLOOKUP(G4,#REF!,5,0)</f>
        <v>#REF!</v>
      </c>
      <c r="L4" s="716"/>
      <c r="M4" s="716"/>
      <c r="N4" s="716"/>
      <c r="O4" s="716"/>
      <c r="P4" s="716"/>
      <c r="Q4" s="716"/>
      <c r="R4" s="716"/>
      <c r="S4" s="716"/>
      <c r="T4" s="716"/>
      <c r="U4" s="716"/>
      <c r="V4" s="716"/>
      <c r="W4" s="716"/>
      <c r="X4" s="716"/>
      <c r="Y4" s="716"/>
      <c r="Z4" s="716"/>
      <c r="AA4" s="716"/>
      <c r="AB4" s="716"/>
      <c r="AC4" s="716"/>
      <c r="AD4" s="716"/>
      <c r="AE4" s="716"/>
      <c r="AF4" s="716"/>
      <c r="AG4" s="716"/>
      <c r="AH4" s="716"/>
      <c r="AI4" s="716"/>
      <c r="AJ4" s="716"/>
      <c r="AK4" s="716"/>
      <c r="AL4" s="716"/>
      <c r="AM4" s="716"/>
      <c r="AN4" s="716"/>
      <c r="AO4" s="716"/>
      <c r="AP4" s="716"/>
      <c r="AQ4" s="720">
        <f>SUM(L4:AP4)</f>
        <v>0</v>
      </c>
      <c r="AR4" s="720" t="e">
        <f>AQ4-K4</f>
        <v>#REF!</v>
      </c>
    </row>
    <row r="5" spans="1:44" ht="24" customHeight="1">
      <c r="A5" s="714" t="str">
        <f t="shared" ref="A5:A52" si="0">LEFT(F5,2)</f>
        <v>강북</v>
      </c>
      <c r="B5" s="710">
        <v>2</v>
      </c>
      <c r="C5" s="711" t="s">
        <v>570</v>
      </c>
      <c r="D5" s="715" t="s">
        <v>571</v>
      </c>
      <c r="E5" s="711" t="s">
        <v>572</v>
      </c>
      <c r="F5" s="715" t="s">
        <v>645</v>
      </c>
      <c r="G5" s="711" t="s">
        <v>374</v>
      </c>
      <c r="H5" s="715" t="s">
        <v>574</v>
      </c>
      <c r="I5" s="712" t="s">
        <v>120</v>
      </c>
      <c r="J5" s="712" t="s">
        <v>655</v>
      </c>
      <c r="K5" s="716" t="e">
        <f>VLOOKUP(G5,#REF!,5,0)</f>
        <v>#REF!</v>
      </c>
      <c r="L5" s="716"/>
      <c r="M5" s="716"/>
      <c r="N5" s="716"/>
      <c r="O5" s="716"/>
      <c r="P5" s="716"/>
      <c r="Q5" s="716"/>
      <c r="R5" s="716"/>
      <c r="S5" s="716"/>
      <c r="T5" s="716"/>
      <c r="U5" s="716"/>
      <c r="V5" s="716"/>
      <c r="W5" s="716"/>
      <c r="X5" s="716"/>
      <c r="Y5" s="716"/>
      <c r="Z5" s="716"/>
      <c r="AA5" s="716"/>
      <c r="AB5" s="716"/>
      <c r="AC5" s="716"/>
      <c r="AD5" s="716"/>
      <c r="AE5" s="716"/>
      <c r="AF5" s="716"/>
      <c r="AG5" s="716"/>
      <c r="AH5" s="716"/>
      <c r="AI5" s="716"/>
      <c r="AJ5" s="716"/>
      <c r="AK5" s="716"/>
      <c r="AL5" s="716"/>
      <c r="AM5" s="716"/>
      <c r="AN5" s="716"/>
      <c r="AO5" s="716"/>
      <c r="AP5" s="716"/>
      <c r="AQ5" s="720">
        <f t="shared" ref="AQ5:AQ52" si="1">SUM(L5:AP5)</f>
        <v>0</v>
      </c>
      <c r="AR5" s="720" t="e">
        <f t="shared" ref="AR5:AR52" si="2">AQ5-K5</f>
        <v>#REF!</v>
      </c>
    </row>
    <row r="6" spans="1:44" ht="24" customHeight="1">
      <c r="A6" s="714" t="str">
        <f t="shared" si="0"/>
        <v>강북</v>
      </c>
      <c r="B6" s="710">
        <v>4</v>
      </c>
      <c r="C6" s="711" t="s">
        <v>570</v>
      </c>
      <c r="D6" s="715" t="s">
        <v>571</v>
      </c>
      <c r="E6" s="711" t="s">
        <v>572</v>
      </c>
      <c r="F6" s="715" t="s">
        <v>645</v>
      </c>
      <c r="G6" s="711" t="s">
        <v>366</v>
      </c>
      <c r="H6" s="715" t="s">
        <v>576</v>
      </c>
      <c r="I6" s="712" t="s">
        <v>120</v>
      </c>
      <c r="J6" s="712" t="s">
        <v>655</v>
      </c>
      <c r="K6" s="716" t="e">
        <f>VLOOKUP(G6,#REF!,5,0)</f>
        <v>#REF!</v>
      </c>
      <c r="L6" s="716"/>
      <c r="M6" s="716"/>
      <c r="N6" s="716"/>
      <c r="O6" s="716"/>
      <c r="P6" s="716"/>
      <c r="Q6" s="716"/>
      <c r="R6" s="716"/>
      <c r="S6" s="716"/>
      <c r="T6" s="716"/>
      <c r="U6" s="716"/>
      <c r="V6" s="716"/>
      <c r="W6" s="716"/>
      <c r="X6" s="716"/>
      <c r="Y6" s="716"/>
      <c r="Z6" s="716"/>
      <c r="AA6" s="716"/>
      <c r="AB6" s="716"/>
      <c r="AC6" s="716"/>
      <c r="AD6" s="716"/>
      <c r="AE6" s="716"/>
      <c r="AF6" s="716"/>
      <c r="AG6" s="716"/>
      <c r="AH6" s="716"/>
      <c r="AI6" s="716"/>
      <c r="AJ6" s="716"/>
      <c r="AK6" s="716"/>
      <c r="AL6" s="716"/>
      <c r="AM6" s="716"/>
      <c r="AN6" s="716"/>
      <c r="AO6" s="716"/>
      <c r="AP6" s="716"/>
      <c r="AQ6" s="720">
        <f t="shared" si="1"/>
        <v>0</v>
      </c>
      <c r="AR6" s="720" t="e">
        <f t="shared" si="2"/>
        <v>#REF!</v>
      </c>
    </row>
    <row r="7" spans="1:44" ht="24" customHeight="1">
      <c r="A7" s="714" t="str">
        <f t="shared" si="0"/>
        <v>강북</v>
      </c>
      <c r="B7" s="710">
        <v>5</v>
      </c>
      <c r="C7" s="711" t="s">
        <v>570</v>
      </c>
      <c r="D7" s="715" t="s">
        <v>571</v>
      </c>
      <c r="E7" s="711" t="s">
        <v>572</v>
      </c>
      <c r="F7" s="715" t="s">
        <v>645</v>
      </c>
      <c r="G7" s="711" t="s">
        <v>377</v>
      </c>
      <c r="H7" s="715" t="s">
        <v>577</v>
      </c>
      <c r="I7" s="712" t="s">
        <v>120</v>
      </c>
      <c r="J7" s="712" t="s">
        <v>655</v>
      </c>
      <c r="K7" s="716" t="e">
        <f>VLOOKUP(G7,#REF!,5,0)</f>
        <v>#REF!</v>
      </c>
      <c r="L7" s="716"/>
      <c r="M7" s="716"/>
      <c r="N7" s="716"/>
      <c r="O7" s="716"/>
      <c r="P7" s="716"/>
      <c r="Q7" s="716"/>
      <c r="R7" s="716"/>
      <c r="S7" s="716"/>
      <c r="T7" s="716"/>
      <c r="U7" s="716"/>
      <c r="V7" s="716"/>
      <c r="W7" s="716"/>
      <c r="X7" s="716"/>
      <c r="Y7" s="716"/>
      <c r="Z7" s="716"/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20">
        <f t="shared" si="1"/>
        <v>0</v>
      </c>
      <c r="AR7" s="720" t="e">
        <f t="shared" si="2"/>
        <v>#REF!</v>
      </c>
    </row>
    <row r="8" spans="1:44" ht="24" customHeight="1">
      <c r="A8" s="714" t="str">
        <f t="shared" si="0"/>
        <v>강북</v>
      </c>
      <c r="B8" s="710">
        <v>6</v>
      </c>
      <c r="C8" s="711" t="s">
        <v>570</v>
      </c>
      <c r="D8" s="715" t="s">
        <v>571</v>
      </c>
      <c r="E8" s="711" t="s">
        <v>572</v>
      </c>
      <c r="F8" s="715" t="s">
        <v>645</v>
      </c>
      <c r="G8" s="711" t="s">
        <v>381</v>
      </c>
      <c r="H8" s="715" t="s">
        <v>578</v>
      </c>
      <c r="I8" s="712" t="s">
        <v>120</v>
      </c>
      <c r="J8" s="712" t="s">
        <v>655</v>
      </c>
      <c r="K8" s="716" t="e">
        <f>VLOOKUP(G8,#REF!,5,0)</f>
        <v>#REF!</v>
      </c>
      <c r="L8" s="716"/>
      <c r="M8" s="716"/>
      <c r="N8" s="716"/>
      <c r="O8" s="716"/>
      <c r="P8" s="716"/>
      <c r="Q8" s="716"/>
      <c r="R8" s="716"/>
      <c r="S8" s="716"/>
      <c r="T8" s="716"/>
      <c r="U8" s="716"/>
      <c r="V8" s="716"/>
      <c r="W8" s="716"/>
      <c r="X8" s="716"/>
      <c r="Y8" s="716"/>
      <c r="Z8" s="716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20">
        <f t="shared" si="1"/>
        <v>0</v>
      </c>
      <c r="AR8" s="720" t="e">
        <f t="shared" si="2"/>
        <v>#REF!</v>
      </c>
    </row>
    <row r="9" spans="1:44" ht="24" customHeight="1">
      <c r="A9" s="714" t="str">
        <f t="shared" si="0"/>
        <v>강북</v>
      </c>
      <c r="B9" s="710">
        <v>7</v>
      </c>
      <c r="C9" s="711" t="s">
        <v>570</v>
      </c>
      <c r="D9" s="715" t="s">
        <v>571</v>
      </c>
      <c r="E9" s="711" t="s">
        <v>572</v>
      </c>
      <c r="F9" s="715" t="s">
        <v>645</v>
      </c>
      <c r="G9" s="711" t="s">
        <v>379</v>
      </c>
      <c r="H9" s="715" t="s">
        <v>579</v>
      </c>
      <c r="I9" s="712" t="s">
        <v>120</v>
      </c>
      <c r="J9" s="712" t="s">
        <v>655</v>
      </c>
      <c r="K9" s="716" t="e">
        <f>VLOOKUP(G9,#REF!,5,0)</f>
        <v>#REF!</v>
      </c>
      <c r="L9" s="716"/>
      <c r="M9" s="716"/>
      <c r="N9" s="716"/>
      <c r="O9" s="716"/>
      <c r="P9" s="716"/>
      <c r="Q9" s="716"/>
      <c r="R9" s="716"/>
      <c r="S9" s="716"/>
      <c r="T9" s="716"/>
      <c r="U9" s="716"/>
      <c r="V9" s="716"/>
      <c r="W9" s="716"/>
      <c r="X9" s="716"/>
      <c r="Y9" s="716"/>
      <c r="Z9" s="716"/>
      <c r="AA9" s="716"/>
      <c r="AB9" s="716"/>
      <c r="AC9" s="716"/>
      <c r="AD9" s="716"/>
      <c r="AE9" s="716"/>
      <c r="AF9" s="716"/>
      <c r="AG9" s="716"/>
      <c r="AH9" s="716"/>
      <c r="AI9" s="716"/>
      <c r="AJ9" s="716"/>
      <c r="AK9" s="716"/>
      <c r="AL9" s="716"/>
      <c r="AM9" s="716"/>
      <c r="AN9" s="716"/>
      <c r="AO9" s="716"/>
      <c r="AP9" s="716"/>
      <c r="AQ9" s="720">
        <f t="shared" si="1"/>
        <v>0</v>
      </c>
      <c r="AR9" s="720" t="e">
        <f t="shared" si="2"/>
        <v>#REF!</v>
      </c>
    </row>
    <row r="10" spans="1:44" ht="24" customHeight="1">
      <c r="A10" s="714" t="str">
        <f t="shared" si="0"/>
        <v>강원</v>
      </c>
      <c r="B10" s="710">
        <v>8</v>
      </c>
      <c r="C10" s="711" t="s">
        <v>570</v>
      </c>
      <c r="D10" s="715" t="s">
        <v>571</v>
      </c>
      <c r="E10" s="711" t="s">
        <v>581</v>
      </c>
      <c r="F10" s="715" t="s">
        <v>646</v>
      </c>
      <c r="G10" s="711" t="s">
        <v>385</v>
      </c>
      <c r="H10" s="715" t="s">
        <v>582</v>
      </c>
      <c r="I10" s="712" t="s">
        <v>120</v>
      </c>
      <c r="J10" s="712" t="s">
        <v>655</v>
      </c>
      <c r="K10" s="716" t="e">
        <f>VLOOKUP(G10,#REF!,5,0)</f>
        <v>#REF!</v>
      </c>
      <c r="L10" s="716"/>
      <c r="M10" s="716"/>
      <c r="N10" s="716"/>
      <c r="O10" s="716"/>
      <c r="P10" s="716"/>
      <c r="Q10" s="716"/>
      <c r="R10" s="716"/>
      <c r="S10" s="716"/>
      <c r="T10" s="716"/>
      <c r="U10" s="716"/>
      <c r="V10" s="716"/>
      <c r="W10" s="716"/>
      <c r="X10" s="716"/>
      <c r="Y10" s="716"/>
      <c r="Z10" s="716"/>
      <c r="AA10" s="716"/>
      <c r="AB10" s="716"/>
      <c r="AC10" s="716"/>
      <c r="AD10" s="716"/>
      <c r="AE10" s="716"/>
      <c r="AF10" s="716"/>
      <c r="AG10" s="716"/>
      <c r="AH10" s="716"/>
      <c r="AI10" s="716"/>
      <c r="AJ10" s="716"/>
      <c r="AK10" s="716"/>
      <c r="AL10" s="716"/>
      <c r="AM10" s="716"/>
      <c r="AN10" s="716"/>
      <c r="AO10" s="716"/>
      <c r="AP10" s="716"/>
      <c r="AQ10" s="720">
        <f t="shared" si="1"/>
        <v>0</v>
      </c>
      <c r="AR10" s="720" t="e">
        <f t="shared" si="2"/>
        <v>#REF!</v>
      </c>
    </row>
    <row r="11" spans="1:44" ht="24" customHeight="1">
      <c r="A11" s="714" t="str">
        <f t="shared" si="0"/>
        <v>강원</v>
      </c>
      <c r="B11" s="710">
        <v>9</v>
      </c>
      <c r="C11" s="711" t="s">
        <v>570</v>
      </c>
      <c r="D11" s="715" t="s">
        <v>571</v>
      </c>
      <c r="E11" s="711" t="s">
        <v>581</v>
      </c>
      <c r="F11" s="715" t="s">
        <v>646</v>
      </c>
      <c r="G11" s="711" t="s">
        <v>383</v>
      </c>
      <c r="H11" s="715" t="s">
        <v>583</v>
      </c>
      <c r="I11" s="712" t="s">
        <v>120</v>
      </c>
      <c r="J11" s="712" t="s">
        <v>655</v>
      </c>
      <c r="K11" s="716" t="e">
        <f>VLOOKUP(G11,#REF!,5,0)</f>
        <v>#REF!</v>
      </c>
      <c r="L11" s="716"/>
      <c r="M11" s="716"/>
      <c r="N11" s="716"/>
      <c r="O11" s="716"/>
      <c r="P11" s="716"/>
      <c r="Q11" s="716"/>
      <c r="R11" s="716"/>
      <c r="S11" s="716"/>
      <c r="T11" s="716"/>
      <c r="U11" s="716"/>
      <c r="V11" s="716"/>
      <c r="W11" s="716"/>
      <c r="X11" s="716"/>
      <c r="Y11" s="716"/>
      <c r="Z11" s="716"/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20">
        <f t="shared" si="1"/>
        <v>0</v>
      </c>
      <c r="AR11" s="720" t="e">
        <f t="shared" si="2"/>
        <v>#REF!</v>
      </c>
    </row>
    <row r="12" spans="1:44" ht="24" customHeight="1">
      <c r="A12" s="714" t="str">
        <f t="shared" si="0"/>
        <v>강원</v>
      </c>
      <c r="B12" s="710">
        <v>10</v>
      </c>
      <c r="C12" s="711" t="s">
        <v>570</v>
      </c>
      <c r="D12" s="715" t="s">
        <v>571</v>
      </c>
      <c r="E12" s="711" t="s">
        <v>581</v>
      </c>
      <c r="F12" s="715" t="s">
        <v>646</v>
      </c>
      <c r="G12" s="711" t="s">
        <v>387</v>
      </c>
      <c r="H12" s="715" t="s">
        <v>584</v>
      </c>
      <c r="I12" s="712" t="s">
        <v>120</v>
      </c>
      <c r="J12" s="712" t="s">
        <v>655</v>
      </c>
      <c r="K12" s="716" t="e">
        <f>VLOOKUP(G12,#REF!,5,0)</f>
        <v>#REF!</v>
      </c>
      <c r="L12" s="716"/>
      <c r="M12" s="716"/>
      <c r="N12" s="716"/>
      <c r="O12" s="716"/>
      <c r="P12" s="716"/>
      <c r="Q12" s="716"/>
      <c r="R12" s="716"/>
      <c r="S12" s="716"/>
      <c r="T12" s="716"/>
      <c r="U12" s="716"/>
      <c r="V12" s="716"/>
      <c r="W12" s="716"/>
      <c r="X12" s="716"/>
      <c r="Y12" s="716"/>
      <c r="Z12" s="716"/>
      <c r="AA12" s="716"/>
      <c r="AB12" s="716"/>
      <c r="AC12" s="716"/>
      <c r="AD12" s="716"/>
      <c r="AE12" s="716"/>
      <c r="AF12" s="716"/>
      <c r="AG12" s="716"/>
      <c r="AH12" s="716"/>
      <c r="AI12" s="716"/>
      <c r="AJ12" s="716"/>
      <c r="AK12" s="716"/>
      <c r="AL12" s="716"/>
      <c r="AM12" s="716"/>
      <c r="AN12" s="716"/>
      <c r="AO12" s="716"/>
      <c r="AP12" s="716"/>
      <c r="AQ12" s="720">
        <f t="shared" si="1"/>
        <v>0</v>
      </c>
      <c r="AR12" s="720" t="e">
        <f t="shared" si="2"/>
        <v>#REF!</v>
      </c>
    </row>
    <row r="13" spans="1:44" ht="24" customHeight="1">
      <c r="A13" s="714" t="str">
        <f t="shared" si="0"/>
        <v>남부</v>
      </c>
      <c r="B13" s="710">
        <v>12</v>
      </c>
      <c r="C13" s="711" t="s">
        <v>585</v>
      </c>
      <c r="D13" s="715" t="s">
        <v>586</v>
      </c>
      <c r="E13" s="711" t="s">
        <v>587</v>
      </c>
      <c r="F13" s="715" t="s">
        <v>647</v>
      </c>
      <c r="G13" s="711" t="s">
        <v>399</v>
      </c>
      <c r="H13" s="715" t="s">
        <v>589</v>
      </c>
      <c r="I13" s="712" t="s">
        <v>120</v>
      </c>
      <c r="J13" s="712" t="s">
        <v>655</v>
      </c>
      <c r="K13" s="716" t="e">
        <f>VLOOKUP(G13,#REF!,5,0)</f>
        <v>#REF!</v>
      </c>
      <c r="L13" s="716"/>
      <c r="M13" s="716"/>
      <c r="N13" s="716"/>
      <c r="O13" s="716"/>
      <c r="P13" s="716"/>
      <c r="Q13" s="716"/>
      <c r="R13" s="716"/>
      <c r="S13" s="716"/>
      <c r="T13" s="716"/>
      <c r="U13" s="716"/>
      <c r="V13" s="716"/>
      <c r="W13" s="716"/>
      <c r="X13" s="716"/>
      <c r="Y13" s="716"/>
      <c r="Z13" s="716"/>
      <c r="AA13" s="716"/>
      <c r="AB13" s="716"/>
      <c r="AC13" s="716"/>
      <c r="AD13" s="716"/>
      <c r="AE13" s="716"/>
      <c r="AF13" s="716"/>
      <c r="AG13" s="716"/>
      <c r="AH13" s="716"/>
      <c r="AI13" s="716"/>
      <c r="AJ13" s="716"/>
      <c r="AK13" s="716"/>
      <c r="AL13" s="716"/>
      <c r="AM13" s="716"/>
      <c r="AN13" s="716"/>
      <c r="AO13" s="716"/>
      <c r="AP13" s="716"/>
      <c r="AQ13" s="720">
        <f t="shared" si="1"/>
        <v>0</v>
      </c>
      <c r="AR13" s="720" t="e">
        <f t="shared" si="2"/>
        <v>#REF!</v>
      </c>
    </row>
    <row r="14" spans="1:44" ht="24" customHeight="1">
      <c r="A14" s="714" t="str">
        <f t="shared" si="0"/>
        <v>남부</v>
      </c>
      <c r="B14" s="710">
        <v>13</v>
      </c>
      <c r="C14" s="711" t="s">
        <v>585</v>
      </c>
      <c r="D14" s="715" t="s">
        <v>586</v>
      </c>
      <c r="E14" s="711" t="s">
        <v>587</v>
      </c>
      <c r="F14" s="715" t="s">
        <v>647</v>
      </c>
      <c r="G14" s="711" t="s">
        <v>389</v>
      </c>
      <c r="H14" s="715" t="s">
        <v>590</v>
      </c>
      <c r="I14" s="712" t="s">
        <v>120</v>
      </c>
      <c r="J14" s="712" t="s">
        <v>655</v>
      </c>
      <c r="K14" s="716" t="e">
        <f>VLOOKUP(G14,#REF!,5,0)</f>
        <v>#REF!</v>
      </c>
      <c r="L14" s="716"/>
      <c r="M14" s="716"/>
      <c r="N14" s="716"/>
      <c r="O14" s="716"/>
      <c r="P14" s="716"/>
      <c r="Q14" s="716"/>
      <c r="R14" s="716"/>
      <c r="S14" s="716"/>
      <c r="T14" s="716"/>
      <c r="U14" s="716"/>
      <c r="V14" s="716"/>
      <c r="W14" s="716"/>
      <c r="X14" s="716"/>
      <c r="Y14" s="716"/>
      <c r="Z14" s="716"/>
      <c r="AA14" s="716"/>
      <c r="AB14" s="716"/>
      <c r="AC14" s="716"/>
      <c r="AD14" s="716"/>
      <c r="AE14" s="716"/>
      <c r="AF14" s="716"/>
      <c r="AG14" s="716"/>
      <c r="AH14" s="716"/>
      <c r="AI14" s="716"/>
      <c r="AJ14" s="716"/>
      <c r="AK14" s="716"/>
      <c r="AL14" s="716"/>
      <c r="AM14" s="716"/>
      <c r="AN14" s="716"/>
      <c r="AO14" s="716"/>
      <c r="AP14" s="716"/>
      <c r="AQ14" s="720">
        <f t="shared" si="1"/>
        <v>0</v>
      </c>
      <c r="AR14" s="720" t="e">
        <f t="shared" si="2"/>
        <v>#REF!</v>
      </c>
    </row>
    <row r="15" spans="1:44" ht="24" customHeight="1">
      <c r="A15" s="714" t="str">
        <f t="shared" si="0"/>
        <v>남부</v>
      </c>
      <c r="B15" s="710">
        <v>14</v>
      </c>
      <c r="C15" s="711" t="s">
        <v>585</v>
      </c>
      <c r="D15" s="715" t="s">
        <v>586</v>
      </c>
      <c r="E15" s="711" t="s">
        <v>587</v>
      </c>
      <c r="F15" s="715" t="s">
        <v>647</v>
      </c>
      <c r="G15" s="711" t="s">
        <v>392</v>
      </c>
      <c r="H15" s="715" t="s">
        <v>591</v>
      </c>
      <c r="I15" s="712" t="s">
        <v>120</v>
      </c>
      <c r="J15" s="712" t="s">
        <v>655</v>
      </c>
      <c r="K15" s="716" t="e">
        <f>VLOOKUP(G15,#REF!,5,0)</f>
        <v>#REF!</v>
      </c>
      <c r="L15" s="716"/>
      <c r="M15" s="716"/>
      <c r="N15" s="716"/>
      <c r="O15" s="716"/>
      <c r="P15" s="716"/>
      <c r="Q15" s="716"/>
      <c r="R15" s="716"/>
      <c r="S15" s="716"/>
      <c r="T15" s="716"/>
      <c r="U15" s="716"/>
      <c r="V15" s="716"/>
      <c r="W15" s="716"/>
      <c r="X15" s="716"/>
      <c r="Y15" s="716"/>
      <c r="Z15" s="716"/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20">
        <f t="shared" si="1"/>
        <v>0</v>
      </c>
      <c r="AR15" s="720" t="e">
        <f t="shared" si="2"/>
        <v>#REF!</v>
      </c>
    </row>
    <row r="16" spans="1:44" ht="24" customHeight="1">
      <c r="A16" s="714" t="str">
        <f t="shared" si="0"/>
        <v>남부</v>
      </c>
      <c r="B16" s="710">
        <v>15</v>
      </c>
      <c r="C16" s="711" t="s">
        <v>585</v>
      </c>
      <c r="D16" s="715" t="s">
        <v>586</v>
      </c>
      <c r="E16" s="711" t="s">
        <v>587</v>
      </c>
      <c r="F16" s="715" t="s">
        <v>647</v>
      </c>
      <c r="G16" s="711" t="s">
        <v>397</v>
      </c>
      <c r="H16" s="715" t="s">
        <v>593</v>
      </c>
      <c r="I16" s="712" t="s">
        <v>120</v>
      </c>
      <c r="J16" s="712" t="s">
        <v>655</v>
      </c>
      <c r="K16" s="716" t="e">
        <f>VLOOKUP(G16,#REF!,5,0)</f>
        <v>#REF!</v>
      </c>
      <c r="L16" s="716"/>
      <c r="M16" s="716"/>
      <c r="N16" s="716"/>
      <c r="O16" s="716"/>
      <c r="P16" s="716"/>
      <c r="Q16" s="716"/>
      <c r="R16" s="716"/>
      <c r="S16" s="716"/>
      <c r="T16" s="716"/>
      <c r="U16" s="716"/>
      <c r="V16" s="716"/>
      <c r="W16" s="716"/>
      <c r="X16" s="716"/>
      <c r="Y16" s="716"/>
      <c r="Z16" s="716"/>
      <c r="AA16" s="716"/>
      <c r="AB16" s="716"/>
      <c r="AC16" s="716"/>
      <c r="AD16" s="716"/>
      <c r="AE16" s="716"/>
      <c r="AF16" s="716"/>
      <c r="AG16" s="716"/>
      <c r="AH16" s="716"/>
      <c r="AI16" s="716"/>
      <c r="AJ16" s="716"/>
      <c r="AK16" s="716"/>
      <c r="AL16" s="716"/>
      <c r="AM16" s="716"/>
      <c r="AN16" s="716"/>
      <c r="AO16" s="716"/>
      <c r="AP16" s="716"/>
      <c r="AQ16" s="720">
        <f t="shared" si="1"/>
        <v>0</v>
      </c>
      <c r="AR16" s="720" t="e">
        <f t="shared" si="2"/>
        <v>#REF!</v>
      </c>
    </row>
    <row r="17" spans="1:44" ht="24" customHeight="1">
      <c r="A17" s="714" t="str">
        <f t="shared" si="0"/>
        <v>남부</v>
      </c>
      <c r="B17" s="710">
        <v>16</v>
      </c>
      <c r="C17" s="711" t="s">
        <v>585</v>
      </c>
      <c r="D17" s="715" t="s">
        <v>586</v>
      </c>
      <c r="E17" s="711" t="s">
        <v>587</v>
      </c>
      <c r="F17" s="715" t="s">
        <v>647</v>
      </c>
      <c r="G17" s="711" t="s">
        <v>401</v>
      </c>
      <c r="H17" s="715" t="s">
        <v>594</v>
      </c>
      <c r="I17" s="712" t="s">
        <v>120</v>
      </c>
      <c r="J17" s="712" t="s">
        <v>655</v>
      </c>
      <c r="K17" s="716" t="e">
        <f>VLOOKUP(G17,#REF!,5,0)</f>
        <v>#REF!</v>
      </c>
      <c r="L17" s="716"/>
      <c r="M17" s="716"/>
      <c r="N17" s="716"/>
      <c r="O17" s="716"/>
      <c r="P17" s="716"/>
      <c r="Q17" s="716"/>
      <c r="R17" s="716"/>
      <c r="S17" s="716"/>
      <c r="T17" s="716"/>
      <c r="U17" s="716"/>
      <c r="V17" s="716"/>
      <c r="W17" s="716"/>
      <c r="X17" s="716"/>
      <c r="Y17" s="716"/>
      <c r="Z17" s="716"/>
      <c r="AA17" s="716"/>
      <c r="AB17" s="716"/>
      <c r="AC17" s="716"/>
      <c r="AD17" s="716"/>
      <c r="AE17" s="716"/>
      <c r="AF17" s="716"/>
      <c r="AG17" s="716"/>
      <c r="AH17" s="716"/>
      <c r="AI17" s="716"/>
      <c r="AJ17" s="716"/>
      <c r="AK17" s="716"/>
      <c r="AL17" s="716"/>
      <c r="AM17" s="716"/>
      <c r="AN17" s="716"/>
      <c r="AO17" s="716"/>
      <c r="AP17" s="716"/>
      <c r="AQ17" s="720">
        <f t="shared" si="1"/>
        <v>0</v>
      </c>
      <c r="AR17" s="720" t="e">
        <f t="shared" si="2"/>
        <v>#REF!</v>
      </c>
    </row>
    <row r="18" spans="1:44" ht="24" customHeight="1">
      <c r="A18" s="714" t="str">
        <f t="shared" si="0"/>
        <v>남부</v>
      </c>
      <c r="B18" s="710">
        <v>17</v>
      </c>
      <c r="C18" s="711" t="s">
        <v>585</v>
      </c>
      <c r="D18" s="715" t="s">
        <v>586</v>
      </c>
      <c r="E18" s="711" t="s">
        <v>587</v>
      </c>
      <c r="F18" s="715" t="s">
        <v>647</v>
      </c>
      <c r="G18" s="711" t="s">
        <v>403</v>
      </c>
      <c r="H18" s="715" t="s">
        <v>595</v>
      </c>
      <c r="I18" s="712" t="s">
        <v>120</v>
      </c>
      <c r="J18" s="712" t="s">
        <v>655</v>
      </c>
      <c r="K18" s="716" t="e">
        <f>VLOOKUP(G18,#REF!,5,0)</f>
        <v>#REF!</v>
      </c>
      <c r="L18" s="716"/>
      <c r="M18" s="716"/>
      <c r="N18" s="716"/>
      <c r="O18" s="716"/>
      <c r="P18" s="716"/>
      <c r="Q18" s="716"/>
      <c r="R18" s="716"/>
      <c r="S18" s="716"/>
      <c r="T18" s="716"/>
      <c r="U18" s="716"/>
      <c r="V18" s="716"/>
      <c r="W18" s="716"/>
      <c r="X18" s="716"/>
      <c r="Y18" s="716"/>
      <c r="Z18" s="716"/>
      <c r="AA18" s="716"/>
      <c r="AB18" s="716"/>
      <c r="AC18" s="716"/>
      <c r="AD18" s="716"/>
      <c r="AE18" s="716"/>
      <c r="AF18" s="716"/>
      <c r="AG18" s="716"/>
      <c r="AH18" s="716"/>
      <c r="AI18" s="716"/>
      <c r="AJ18" s="716"/>
      <c r="AK18" s="716"/>
      <c r="AL18" s="716"/>
      <c r="AM18" s="716"/>
      <c r="AN18" s="716"/>
      <c r="AO18" s="716"/>
      <c r="AP18" s="716"/>
      <c r="AQ18" s="720">
        <f t="shared" si="1"/>
        <v>0</v>
      </c>
      <c r="AR18" s="720" t="e">
        <f t="shared" si="2"/>
        <v>#REF!</v>
      </c>
    </row>
    <row r="19" spans="1:44" ht="24" customHeight="1">
      <c r="A19" s="714" t="str">
        <f t="shared" si="0"/>
        <v>서부</v>
      </c>
      <c r="B19" s="710">
        <v>18</v>
      </c>
      <c r="C19" s="711" t="s">
        <v>585</v>
      </c>
      <c r="D19" s="715" t="s">
        <v>586</v>
      </c>
      <c r="E19" s="711" t="s">
        <v>596</v>
      </c>
      <c r="F19" s="715" t="s">
        <v>648</v>
      </c>
      <c r="G19" s="711" t="s">
        <v>419</v>
      </c>
      <c r="H19" s="715" t="s">
        <v>597</v>
      </c>
      <c r="I19" s="712" t="s">
        <v>120</v>
      </c>
      <c r="J19" s="712" t="s">
        <v>655</v>
      </c>
      <c r="K19" s="716" t="e">
        <f>VLOOKUP(G19,#REF!,5,0)</f>
        <v>#REF!</v>
      </c>
      <c r="L19" s="716"/>
      <c r="M19" s="716"/>
      <c r="N19" s="716"/>
      <c r="O19" s="716"/>
      <c r="P19" s="716"/>
      <c r="Q19" s="716"/>
      <c r="R19" s="716"/>
      <c r="S19" s="716"/>
      <c r="T19" s="716"/>
      <c r="U19" s="716"/>
      <c r="V19" s="716"/>
      <c r="W19" s="716"/>
      <c r="X19" s="716"/>
      <c r="Y19" s="716"/>
      <c r="Z19" s="716"/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20">
        <f t="shared" si="1"/>
        <v>0</v>
      </c>
      <c r="AR19" s="720" t="e">
        <f t="shared" si="2"/>
        <v>#REF!</v>
      </c>
    </row>
    <row r="20" spans="1:44" ht="24" customHeight="1">
      <c r="A20" s="714" t="str">
        <f t="shared" si="0"/>
        <v>서부</v>
      </c>
      <c r="B20" s="710">
        <v>19</v>
      </c>
      <c r="C20" s="711" t="s">
        <v>585</v>
      </c>
      <c r="D20" s="715" t="s">
        <v>586</v>
      </c>
      <c r="E20" s="711" t="s">
        <v>596</v>
      </c>
      <c r="F20" s="715" t="s">
        <v>648</v>
      </c>
      <c r="G20" s="711" t="s">
        <v>411</v>
      </c>
      <c r="H20" s="715" t="s">
        <v>598</v>
      </c>
      <c r="I20" s="712" t="s">
        <v>120</v>
      </c>
      <c r="J20" s="712" t="s">
        <v>655</v>
      </c>
      <c r="K20" s="716" t="e">
        <f>VLOOKUP(G20,#REF!,5,0)</f>
        <v>#REF!</v>
      </c>
      <c r="L20" s="716"/>
      <c r="M20" s="716"/>
      <c r="N20" s="716"/>
      <c r="O20" s="716"/>
      <c r="P20" s="716"/>
      <c r="Q20" s="716"/>
      <c r="R20" s="716"/>
      <c r="S20" s="716"/>
      <c r="T20" s="716"/>
      <c r="U20" s="716"/>
      <c r="V20" s="716"/>
      <c r="W20" s="716"/>
      <c r="X20" s="716"/>
      <c r="Y20" s="716"/>
      <c r="Z20" s="716"/>
      <c r="AA20" s="716"/>
      <c r="AB20" s="716"/>
      <c r="AC20" s="716"/>
      <c r="AD20" s="716"/>
      <c r="AE20" s="716"/>
      <c r="AF20" s="716"/>
      <c r="AG20" s="716"/>
      <c r="AH20" s="716"/>
      <c r="AI20" s="716"/>
      <c r="AJ20" s="716"/>
      <c r="AK20" s="716"/>
      <c r="AL20" s="716"/>
      <c r="AM20" s="716"/>
      <c r="AN20" s="716"/>
      <c r="AO20" s="716"/>
      <c r="AP20" s="716"/>
      <c r="AQ20" s="720">
        <f t="shared" si="1"/>
        <v>0</v>
      </c>
      <c r="AR20" s="720" t="e">
        <f t="shared" si="2"/>
        <v>#REF!</v>
      </c>
    </row>
    <row r="21" spans="1:44" ht="24" customHeight="1">
      <c r="A21" s="714" t="str">
        <f t="shared" si="0"/>
        <v>서부</v>
      </c>
      <c r="B21" s="710">
        <v>20</v>
      </c>
      <c r="C21" s="711" t="s">
        <v>585</v>
      </c>
      <c r="D21" s="715" t="s">
        <v>586</v>
      </c>
      <c r="E21" s="711" t="s">
        <v>596</v>
      </c>
      <c r="F21" s="715" t="s">
        <v>648</v>
      </c>
      <c r="G21" s="711" t="s">
        <v>407</v>
      </c>
      <c r="H21" s="715" t="s">
        <v>599</v>
      </c>
      <c r="I21" s="712" t="s">
        <v>120</v>
      </c>
      <c r="J21" s="712" t="s">
        <v>655</v>
      </c>
      <c r="K21" s="716" t="e">
        <f>VLOOKUP(G21,#REF!,5,0)</f>
        <v>#REF!</v>
      </c>
      <c r="L21" s="716"/>
      <c r="M21" s="716"/>
      <c r="N21" s="716"/>
      <c r="O21" s="716"/>
      <c r="P21" s="716"/>
      <c r="Q21" s="716"/>
      <c r="R21" s="716"/>
      <c r="S21" s="716"/>
      <c r="T21" s="716"/>
      <c r="U21" s="716"/>
      <c r="V21" s="716"/>
      <c r="W21" s="716"/>
      <c r="X21" s="716"/>
      <c r="Y21" s="716"/>
      <c r="Z21" s="716"/>
      <c r="AA21" s="716"/>
      <c r="AB21" s="716"/>
      <c r="AC21" s="716"/>
      <c r="AD21" s="716"/>
      <c r="AE21" s="716"/>
      <c r="AF21" s="716"/>
      <c r="AG21" s="716"/>
      <c r="AH21" s="716"/>
      <c r="AI21" s="716"/>
      <c r="AJ21" s="716"/>
      <c r="AK21" s="716"/>
      <c r="AL21" s="716"/>
      <c r="AM21" s="716"/>
      <c r="AN21" s="716"/>
      <c r="AO21" s="716"/>
      <c r="AP21" s="716"/>
      <c r="AQ21" s="720">
        <f t="shared" si="1"/>
        <v>0</v>
      </c>
      <c r="AR21" s="720" t="e">
        <f t="shared" si="2"/>
        <v>#REF!</v>
      </c>
    </row>
    <row r="22" spans="1:44" ht="24" customHeight="1">
      <c r="A22" s="714" t="str">
        <f t="shared" si="0"/>
        <v>서부</v>
      </c>
      <c r="B22" s="710">
        <v>21</v>
      </c>
      <c r="C22" s="711" t="s">
        <v>585</v>
      </c>
      <c r="D22" s="715" t="s">
        <v>586</v>
      </c>
      <c r="E22" s="711" t="s">
        <v>596</v>
      </c>
      <c r="F22" s="715" t="s">
        <v>648</v>
      </c>
      <c r="G22" s="711" t="s">
        <v>413</v>
      </c>
      <c r="H22" s="715" t="s">
        <v>600</v>
      </c>
      <c r="I22" s="712" t="s">
        <v>120</v>
      </c>
      <c r="J22" s="712" t="s">
        <v>655</v>
      </c>
      <c r="K22" s="716" t="e">
        <f>VLOOKUP(G22,#REF!,5,0)</f>
        <v>#REF!</v>
      </c>
      <c r="L22" s="716"/>
      <c r="M22" s="716"/>
      <c r="N22" s="716"/>
      <c r="O22" s="716"/>
      <c r="P22" s="716"/>
      <c r="Q22" s="716"/>
      <c r="R22" s="716"/>
      <c r="S22" s="716"/>
      <c r="T22" s="716"/>
      <c r="U22" s="716"/>
      <c r="V22" s="716"/>
      <c r="W22" s="716"/>
      <c r="X22" s="716"/>
      <c r="Y22" s="716"/>
      <c r="Z22" s="716"/>
      <c r="AA22" s="716"/>
      <c r="AB22" s="716"/>
      <c r="AC22" s="716"/>
      <c r="AD22" s="716"/>
      <c r="AE22" s="716"/>
      <c r="AF22" s="716"/>
      <c r="AG22" s="716"/>
      <c r="AH22" s="716"/>
      <c r="AI22" s="716"/>
      <c r="AJ22" s="716"/>
      <c r="AK22" s="716"/>
      <c r="AL22" s="716"/>
      <c r="AM22" s="716"/>
      <c r="AN22" s="716"/>
      <c r="AO22" s="716"/>
      <c r="AP22" s="716"/>
      <c r="AQ22" s="720">
        <f t="shared" si="1"/>
        <v>0</v>
      </c>
      <c r="AR22" s="720" t="e">
        <f t="shared" si="2"/>
        <v>#REF!</v>
      </c>
    </row>
    <row r="23" spans="1:44" ht="24" customHeight="1">
      <c r="A23" s="714" t="str">
        <f t="shared" si="0"/>
        <v>서부</v>
      </c>
      <c r="B23" s="710">
        <v>22</v>
      </c>
      <c r="C23" s="711" t="s">
        <v>585</v>
      </c>
      <c r="D23" s="715" t="s">
        <v>586</v>
      </c>
      <c r="E23" s="711" t="s">
        <v>596</v>
      </c>
      <c r="F23" s="715" t="s">
        <v>648</v>
      </c>
      <c r="G23" s="711" t="s">
        <v>415</v>
      </c>
      <c r="H23" s="715" t="s">
        <v>601</v>
      </c>
      <c r="I23" s="712" t="s">
        <v>120</v>
      </c>
      <c r="J23" s="712" t="s">
        <v>655</v>
      </c>
      <c r="K23" s="716" t="e">
        <f>VLOOKUP(G23,#REF!,5,0)</f>
        <v>#REF!</v>
      </c>
      <c r="L23" s="716"/>
      <c r="M23" s="716"/>
      <c r="N23" s="716"/>
      <c r="O23" s="716"/>
      <c r="P23" s="716"/>
      <c r="Q23" s="716"/>
      <c r="R23" s="716"/>
      <c r="S23" s="716"/>
      <c r="T23" s="716"/>
      <c r="U23" s="716"/>
      <c r="V23" s="716"/>
      <c r="W23" s="716"/>
      <c r="X23" s="716"/>
      <c r="Y23" s="716"/>
      <c r="Z23" s="716"/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20">
        <f t="shared" si="1"/>
        <v>0</v>
      </c>
      <c r="AR23" s="720" t="e">
        <f t="shared" si="2"/>
        <v>#REF!</v>
      </c>
    </row>
    <row r="24" spans="1:44" ht="24" customHeight="1">
      <c r="A24" s="714" t="str">
        <f t="shared" si="0"/>
        <v>서부</v>
      </c>
      <c r="B24" s="710">
        <v>23</v>
      </c>
      <c r="C24" s="711" t="s">
        <v>585</v>
      </c>
      <c r="D24" s="715" t="s">
        <v>586</v>
      </c>
      <c r="E24" s="711" t="s">
        <v>596</v>
      </c>
      <c r="F24" s="715" t="s">
        <v>648</v>
      </c>
      <c r="G24" s="711" t="s">
        <v>417</v>
      </c>
      <c r="H24" s="715" t="s">
        <v>602</v>
      </c>
      <c r="I24" s="712" t="s">
        <v>120</v>
      </c>
      <c r="J24" s="712" t="s">
        <v>655</v>
      </c>
      <c r="K24" s="716" t="e">
        <f>VLOOKUP(G24,#REF!,5,0)</f>
        <v>#REF!</v>
      </c>
      <c r="L24" s="716"/>
      <c r="M24" s="716"/>
      <c r="N24" s="716"/>
      <c r="O24" s="716"/>
      <c r="P24" s="716"/>
      <c r="Q24" s="716"/>
      <c r="R24" s="716"/>
      <c r="S24" s="716"/>
      <c r="T24" s="716"/>
      <c r="U24" s="716"/>
      <c r="V24" s="716"/>
      <c r="W24" s="716"/>
      <c r="X24" s="716"/>
      <c r="Y24" s="716"/>
      <c r="Z24" s="716"/>
      <c r="AA24" s="716"/>
      <c r="AB24" s="716"/>
      <c r="AC24" s="716"/>
      <c r="AD24" s="716"/>
      <c r="AE24" s="716"/>
      <c r="AF24" s="716"/>
      <c r="AG24" s="716"/>
      <c r="AH24" s="716"/>
      <c r="AI24" s="716"/>
      <c r="AJ24" s="716"/>
      <c r="AK24" s="716"/>
      <c r="AL24" s="716"/>
      <c r="AM24" s="716"/>
      <c r="AN24" s="716"/>
      <c r="AO24" s="716"/>
      <c r="AP24" s="716"/>
      <c r="AQ24" s="720">
        <f t="shared" si="1"/>
        <v>0</v>
      </c>
      <c r="AR24" s="720" t="e">
        <f t="shared" si="2"/>
        <v>#REF!</v>
      </c>
    </row>
    <row r="25" spans="1:44" ht="24" customHeight="1">
      <c r="A25" s="714" t="str">
        <f t="shared" si="0"/>
        <v>서부</v>
      </c>
      <c r="B25" s="710">
        <v>24</v>
      </c>
      <c r="C25" s="711" t="s">
        <v>585</v>
      </c>
      <c r="D25" s="715" t="s">
        <v>586</v>
      </c>
      <c r="E25" s="711" t="s">
        <v>596</v>
      </c>
      <c r="F25" s="715" t="s">
        <v>648</v>
      </c>
      <c r="G25" s="711" t="s">
        <v>405</v>
      </c>
      <c r="H25" s="715" t="s">
        <v>603</v>
      </c>
      <c r="I25" s="712" t="s">
        <v>120</v>
      </c>
      <c r="J25" s="712" t="s">
        <v>655</v>
      </c>
      <c r="K25" s="716" t="e">
        <f>VLOOKUP(G25,#REF!,5,0)</f>
        <v>#REF!</v>
      </c>
      <c r="L25" s="716"/>
      <c r="M25" s="716"/>
      <c r="N25" s="716"/>
      <c r="O25" s="716"/>
      <c r="P25" s="716"/>
      <c r="Q25" s="716"/>
      <c r="R25" s="716"/>
      <c r="S25" s="716"/>
      <c r="T25" s="716"/>
      <c r="U25" s="716"/>
      <c r="V25" s="716"/>
      <c r="W25" s="716"/>
      <c r="X25" s="716"/>
      <c r="Y25" s="716"/>
      <c r="Z25" s="716"/>
      <c r="AA25" s="716"/>
      <c r="AB25" s="716"/>
      <c r="AC25" s="716"/>
      <c r="AD25" s="716"/>
      <c r="AE25" s="716"/>
      <c r="AF25" s="716"/>
      <c r="AG25" s="716"/>
      <c r="AH25" s="716"/>
      <c r="AI25" s="716"/>
      <c r="AJ25" s="716"/>
      <c r="AK25" s="716"/>
      <c r="AL25" s="716"/>
      <c r="AM25" s="716"/>
      <c r="AN25" s="716"/>
      <c r="AO25" s="716"/>
      <c r="AP25" s="716"/>
      <c r="AQ25" s="720">
        <f t="shared" si="1"/>
        <v>0</v>
      </c>
      <c r="AR25" s="720" t="e">
        <f t="shared" si="2"/>
        <v>#REF!</v>
      </c>
    </row>
    <row r="26" spans="1:44" ht="24" customHeight="1">
      <c r="A26" s="714" t="str">
        <f t="shared" si="0"/>
        <v>서부</v>
      </c>
      <c r="B26" s="710">
        <v>25</v>
      </c>
      <c r="C26" s="711" t="s">
        <v>585</v>
      </c>
      <c r="D26" s="715" t="s">
        <v>586</v>
      </c>
      <c r="E26" s="711" t="s">
        <v>596</v>
      </c>
      <c r="F26" s="715" t="s">
        <v>648</v>
      </c>
      <c r="G26" s="711" t="s">
        <v>409</v>
      </c>
      <c r="H26" s="715" t="s">
        <v>604</v>
      </c>
      <c r="I26" s="712" t="s">
        <v>120</v>
      </c>
      <c r="J26" s="712" t="s">
        <v>655</v>
      </c>
      <c r="K26" s="716" t="e">
        <f>VLOOKUP(G26,#REF!,5,0)</f>
        <v>#REF!</v>
      </c>
      <c r="L26" s="716"/>
      <c r="M26" s="716"/>
      <c r="N26" s="716"/>
      <c r="O26" s="716"/>
      <c r="P26" s="716"/>
      <c r="Q26" s="716"/>
      <c r="R26" s="716"/>
      <c r="S26" s="716"/>
      <c r="T26" s="716"/>
      <c r="U26" s="716"/>
      <c r="V26" s="716"/>
      <c r="W26" s="716"/>
      <c r="X26" s="716"/>
      <c r="Y26" s="716"/>
      <c r="Z26" s="716"/>
      <c r="AA26" s="716"/>
      <c r="AB26" s="716"/>
      <c r="AC26" s="716"/>
      <c r="AD26" s="716"/>
      <c r="AE26" s="716"/>
      <c r="AF26" s="716"/>
      <c r="AG26" s="716"/>
      <c r="AH26" s="716"/>
      <c r="AI26" s="716"/>
      <c r="AJ26" s="716"/>
      <c r="AK26" s="716"/>
      <c r="AL26" s="716"/>
      <c r="AM26" s="716"/>
      <c r="AN26" s="716"/>
      <c r="AO26" s="716"/>
      <c r="AP26" s="716"/>
      <c r="AQ26" s="720">
        <f t="shared" si="1"/>
        <v>0</v>
      </c>
      <c r="AR26" s="720" t="e">
        <f t="shared" si="2"/>
        <v>#REF!</v>
      </c>
    </row>
    <row r="27" spans="1:44" ht="24" customHeight="1">
      <c r="A27" s="714" t="str">
        <f t="shared" si="0"/>
        <v>호남</v>
      </c>
      <c r="B27" s="710">
        <v>26</v>
      </c>
      <c r="C27" s="711" t="s">
        <v>605</v>
      </c>
      <c r="D27" s="715" t="s">
        <v>606</v>
      </c>
      <c r="E27" s="711" t="s">
        <v>607</v>
      </c>
      <c r="F27" s="715" t="s">
        <v>649</v>
      </c>
      <c r="G27" s="711" t="s">
        <v>475</v>
      </c>
      <c r="H27" s="715" t="s">
        <v>608</v>
      </c>
      <c r="I27" s="712" t="s">
        <v>120</v>
      </c>
      <c r="J27" s="712" t="s">
        <v>655</v>
      </c>
      <c r="K27" s="716" t="e">
        <f>VLOOKUP(G27,#REF!,5,0)</f>
        <v>#REF!</v>
      </c>
      <c r="L27" s="716"/>
      <c r="M27" s="716"/>
      <c r="N27" s="716"/>
      <c r="O27" s="716"/>
      <c r="P27" s="716"/>
      <c r="Q27" s="716"/>
      <c r="R27" s="716"/>
      <c r="S27" s="716"/>
      <c r="T27" s="716"/>
      <c r="U27" s="716"/>
      <c r="V27" s="716"/>
      <c r="W27" s="716"/>
      <c r="X27" s="716"/>
      <c r="Y27" s="716"/>
      <c r="Z27" s="716"/>
      <c r="AA27" s="716"/>
      <c r="AB27" s="716"/>
      <c r="AC27" s="716"/>
      <c r="AD27" s="716"/>
      <c r="AE27" s="716"/>
      <c r="AF27" s="716"/>
      <c r="AG27" s="716"/>
      <c r="AH27" s="716"/>
      <c r="AI27" s="716"/>
      <c r="AJ27" s="716"/>
      <c r="AK27" s="716"/>
      <c r="AL27" s="716"/>
      <c r="AM27" s="716"/>
      <c r="AN27" s="716"/>
      <c r="AO27" s="716"/>
      <c r="AP27" s="716"/>
      <c r="AQ27" s="720">
        <f t="shared" si="1"/>
        <v>0</v>
      </c>
      <c r="AR27" s="720" t="e">
        <f t="shared" si="2"/>
        <v>#REF!</v>
      </c>
    </row>
    <row r="28" spans="1:44" ht="24" customHeight="1">
      <c r="A28" s="714" t="str">
        <f t="shared" si="0"/>
        <v>호남</v>
      </c>
      <c r="B28" s="710">
        <v>27</v>
      </c>
      <c r="C28" s="711" t="s">
        <v>605</v>
      </c>
      <c r="D28" s="715" t="s">
        <v>606</v>
      </c>
      <c r="E28" s="711" t="s">
        <v>607</v>
      </c>
      <c r="F28" s="715" t="s">
        <v>649</v>
      </c>
      <c r="G28" s="711" t="s">
        <v>480</v>
      </c>
      <c r="H28" s="715" t="s">
        <v>609</v>
      </c>
      <c r="I28" s="712" t="s">
        <v>120</v>
      </c>
      <c r="J28" s="712" t="s">
        <v>655</v>
      </c>
      <c r="K28" s="716" t="e">
        <f>VLOOKUP(G28,#REF!,5,0)</f>
        <v>#REF!</v>
      </c>
      <c r="L28" s="716"/>
      <c r="M28" s="716"/>
      <c r="N28" s="716"/>
      <c r="O28" s="716"/>
      <c r="P28" s="716"/>
      <c r="Q28" s="716"/>
      <c r="R28" s="716"/>
      <c r="S28" s="716"/>
      <c r="T28" s="716"/>
      <c r="U28" s="716"/>
      <c r="V28" s="716"/>
      <c r="W28" s="716"/>
      <c r="X28" s="716"/>
      <c r="Y28" s="716"/>
      <c r="Z28" s="716"/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20">
        <f t="shared" si="1"/>
        <v>0</v>
      </c>
      <c r="AR28" s="720" t="e">
        <f t="shared" si="2"/>
        <v>#REF!</v>
      </c>
    </row>
    <row r="29" spans="1:44" ht="24" customHeight="1">
      <c r="A29" s="714" t="str">
        <f t="shared" si="0"/>
        <v>호남</v>
      </c>
      <c r="B29" s="710">
        <v>28</v>
      </c>
      <c r="C29" s="711" t="s">
        <v>605</v>
      </c>
      <c r="D29" s="715" t="s">
        <v>606</v>
      </c>
      <c r="E29" s="711" t="s">
        <v>607</v>
      </c>
      <c r="F29" s="715" t="s">
        <v>649</v>
      </c>
      <c r="G29" s="711" t="s">
        <v>473</v>
      </c>
      <c r="H29" s="715" t="s">
        <v>610</v>
      </c>
      <c r="I29" s="712" t="s">
        <v>120</v>
      </c>
      <c r="J29" s="712" t="s">
        <v>655</v>
      </c>
      <c r="K29" s="716" t="e">
        <f>VLOOKUP(G29,#REF!,5,0)</f>
        <v>#REF!</v>
      </c>
      <c r="L29" s="716"/>
      <c r="M29" s="716"/>
      <c r="N29" s="716"/>
      <c r="O29" s="716"/>
      <c r="P29" s="716"/>
      <c r="Q29" s="716"/>
      <c r="R29" s="716"/>
      <c r="S29" s="716"/>
      <c r="T29" s="716"/>
      <c r="U29" s="716"/>
      <c r="V29" s="716"/>
      <c r="W29" s="716"/>
      <c r="X29" s="716"/>
      <c r="Y29" s="716"/>
      <c r="Z29" s="716"/>
      <c r="AA29" s="716"/>
      <c r="AB29" s="716"/>
      <c r="AC29" s="716"/>
      <c r="AD29" s="716"/>
      <c r="AE29" s="716"/>
      <c r="AF29" s="716"/>
      <c r="AG29" s="716"/>
      <c r="AH29" s="716"/>
      <c r="AI29" s="716"/>
      <c r="AJ29" s="716"/>
      <c r="AK29" s="716"/>
      <c r="AL29" s="716"/>
      <c r="AM29" s="716"/>
      <c r="AN29" s="716"/>
      <c r="AO29" s="716"/>
      <c r="AP29" s="716"/>
      <c r="AQ29" s="720">
        <f t="shared" si="1"/>
        <v>0</v>
      </c>
      <c r="AR29" s="720" t="e">
        <f t="shared" si="2"/>
        <v>#REF!</v>
      </c>
    </row>
    <row r="30" spans="1:44" ht="24" customHeight="1">
      <c r="A30" s="714" t="str">
        <f t="shared" si="0"/>
        <v>호남</v>
      </c>
      <c r="B30" s="710">
        <v>29</v>
      </c>
      <c r="C30" s="711" t="s">
        <v>605</v>
      </c>
      <c r="D30" s="715" t="s">
        <v>606</v>
      </c>
      <c r="E30" s="711" t="s">
        <v>607</v>
      </c>
      <c r="F30" s="715" t="s">
        <v>649</v>
      </c>
      <c r="G30" s="711" t="s">
        <v>471</v>
      </c>
      <c r="H30" s="715" t="s">
        <v>611</v>
      </c>
      <c r="I30" s="712" t="s">
        <v>120</v>
      </c>
      <c r="J30" s="712" t="s">
        <v>655</v>
      </c>
      <c r="K30" s="716" t="e">
        <f>VLOOKUP(G30,#REF!,5,0)</f>
        <v>#REF!</v>
      </c>
      <c r="L30" s="716"/>
      <c r="M30" s="716"/>
      <c r="N30" s="716"/>
      <c r="O30" s="716"/>
      <c r="P30" s="716"/>
      <c r="Q30" s="716"/>
      <c r="R30" s="716"/>
      <c r="S30" s="716"/>
      <c r="T30" s="716"/>
      <c r="U30" s="716"/>
      <c r="V30" s="716"/>
      <c r="W30" s="716"/>
      <c r="X30" s="716"/>
      <c r="Y30" s="716"/>
      <c r="Z30" s="716"/>
      <c r="AA30" s="716"/>
      <c r="AB30" s="716"/>
      <c r="AC30" s="716"/>
      <c r="AD30" s="716"/>
      <c r="AE30" s="716"/>
      <c r="AF30" s="716"/>
      <c r="AG30" s="716"/>
      <c r="AH30" s="716"/>
      <c r="AI30" s="716"/>
      <c r="AJ30" s="716"/>
      <c r="AK30" s="716"/>
      <c r="AL30" s="716"/>
      <c r="AM30" s="716"/>
      <c r="AN30" s="716"/>
      <c r="AO30" s="716"/>
      <c r="AP30" s="716"/>
      <c r="AQ30" s="720">
        <f t="shared" si="1"/>
        <v>0</v>
      </c>
      <c r="AR30" s="720" t="e">
        <f t="shared" si="2"/>
        <v>#REF!</v>
      </c>
    </row>
    <row r="31" spans="1:44" ht="24" customHeight="1">
      <c r="A31" s="714" t="str">
        <f t="shared" si="0"/>
        <v>호남</v>
      </c>
      <c r="B31" s="710">
        <v>30</v>
      </c>
      <c r="C31" s="711" t="s">
        <v>605</v>
      </c>
      <c r="D31" s="715" t="s">
        <v>606</v>
      </c>
      <c r="E31" s="711" t="s">
        <v>607</v>
      </c>
      <c r="F31" s="715" t="s">
        <v>649</v>
      </c>
      <c r="G31" s="711" t="s">
        <v>477</v>
      </c>
      <c r="H31" s="715" t="s">
        <v>612</v>
      </c>
      <c r="I31" s="712" t="s">
        <v>120</v>
      </c>
      <c r="J31" s="712" t="s">
        <v>655</v>
      </c>
      <c r="K31" s="716" t="e">
        <f>VLOOKUP(G31,#REF!,5,0)</f>
        <v>#REF!</v>
      </c>
      <c r="L31" s="716"/>
      <c r="M31" s="716"/>
      <c r="N31" s="716"/>
      <c r="O31" s="716"/>
      <c r="P31" s="716"/>
      <c r="Q31" s="716"/>
      <c r="R31" s="716"/>
      <c r="S31" s="716"/>
      <c r="T31" s="716"/>
      <c r="U31" s="716"/>
      <c r="V31" s="716"/>
      <c r="W31" s="716"/>
      <c r="X31" s="716"/>
      <c r="Y31" s="716"/>
      <c r="Z31" s="716"/>
      <c r="AA31" s="716"/>
      <c r="AB31" s="716"/>
      <c r="AC31" s="716"/>
      <c r="AD31" s="716"/>
      <c r="AE31" s="716"/>
      <c r="AF31" s="716"/>
      <c r="AG31" s="716"/>
      <c r="AH31" s="716"/>
      <c r="AI31" s="716"/>
      <c r="AJ31" s="716"/>
      <c r="AK31" s="716"/>
      <c r="AL31" s="716"/>
      <c r="AM31" s="716"/>
      <c r="AN31" s="716"/>
      <c r="AO31" s="716"/>
      <c r="AP31" s="716"/>
      <c r="AQ31" s="720">
        <f t="shared" si="1"/>
        <v>0</v>
      </c>
      <c r="AR31" s="720" t="e">
        <f t="shared" si="2"/>
        <v>#REF!</v>
      </c>
    </row>
    <row r="32" spans="1:44" ht="24" customHeight="1">
      <c r="A32" s="714" t="str">
        <f t="shared" si="0"/>
        <v>호남</v>
      </c>
      <c r="B32" s="710">
        <v>31</v>
      </c>
      <c r="C32" s="711" t="s">
        <v>605</v>
      </c>
      <c r="D32" s="715" t="s">
        <v>606</v>
      </c>
      <c r="E32" s="711" t="s">
        <v>607</v>
      </c>
      <c r="F32" s="715" t="s">
        <v>649</v>
      </c>
      <c r="G32" s="711" t="s">
        <v>469</v>
      </c>
      <c r="H32" s="715" t="s">
        <v>613</v>
      </c>
      <c r="I32" s="712" t="s">
        <v>120</v>
      </c>
      <c r="J32" s="712" t="s">
        <v>655</v>
      </c>
      <c r="K32" s="716" t="e">
        <f>VLOOKUP(G32,#REF!,5,0)</f>
        <v>#REF!</v>
      </c>
      <c r="L32" s="716"/>
      <c r="M32" s="716"/>
      <c r="N32" s="716"/>
      <c r="O32" s="716"/>
      <c r="P32" s="716"/>
      <c r="Q32" s="716"/>
      <c r="R32" s="716"/>
      <c r="S32" s="716"/>
      <c r="T32" s="716"/>
      <c r="U32" s="716"/>
      <c r="V32" s="716"/>
      <c r="W32" s="716"/>
      <c r="X32" s="716"/>
      <c r="Y32" s="716"/>
      <c r="Z32" s="716"/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20">
        <f t="shared" si="1"/>
        <v>0</v>
      </c>
      <c r="AR32" s="720" t="e">
        <f t="shared" si="2"/>
        <v>#REF!</v>
      </c>
    </row>
    <row r="33" spans="1:44" ht="24" customHeight="1">
      <c r="A33" s="714" t="str">
        <f t="shared" si="0"/>
        <v>호남</v>
      </c>
      <c r="B33" s="710">
        <v>32</v>
      </c>
      <c r="C33" s="711" t="s">
        <v>605</v>
      </c>
      <c r="D33" s="715" t="s">
        <v>606</v>
      </c>
      <c r="E33" s="711" t="s">
        <v>607</v>
      </c>
      <c r="F33" s="715" t="s">
        <v>649</v>
      </c>
      <c r="G33" s="711" t="s">
        <v>467</v>
      </c>
      <c r="H33" s="715" t="s">
        <v>614</v>
      </c>
      <c r="I33" s="712" t="s">
        <v>120</v>
      </c>
      <c r="J33" s="712" t="s">
        <v>655</v>
      </c>
      <c r="K33" s="716" t="e">
        <f>VLOOKUP(G33,#REF!,5,0)</f>
        <v>#REF!</v>
      </c>
      <c r="L33" s="716"/>
      <c r="M33" s="716"/>
      <c r="N33" s="716"/>
      <c r="O33" s="716"/>
      <c r="P33" s="716"/>
      <c r="Q33" s="716"/>
      <c r="R33" s="716"/>
      <c r="S33" s="716"/>
      <c r="T33" s="716"/>
      <c r="U33" s="716"/>
      <c r="V33" s="716"/>
      <c r="W33" s="716"/>
      <c r="X33" s="716"/>
      <c r="Y33" s="716"/>
      <c r="Z33" s="716"/>
      <c r="AA33" s="716"/>
      <c r="AB33" s="716"/>
      <c r="AC33" s="716"/>
      <c r="AD33" s="716"/>
      <c r="AE33" s="716"/>
      <c r="AF33" s="716"/>
      <c r="AG33" s="716"/>
      <c r="AH33" s="716"/>
      <c r="AI33" s="716"/>
      <c r="AJ33" s="716"/>
      <c r="AK33" s="716"/>
      <c r="AL33" s="716"/>
      <c r="AM33" s="716"/>
      <c r="AN33" s="716"/>
      <c r="AO33" s="716"/>
      <c r="AP33" s="716"/>
      <c r="AQ33" s="720">
        <f t="shared" si="1"/>
        <v>0</v>
      </c>
      <c r="AR33" s="720" t="e">
        <f t="shared" si="2"/>
        <v>#REF!</v>
      </c>
    </row>
    <row r="34" spans="1:44" ht="24" customHeight="1">
      <c r="A34" s="714" t="str">
        <f t="shared" si="0"/>
        <v>충청</v>
      </c>
      <c r="B34" s="710">
        <v>33</v>
      </c>
      <c r="C34" s="711" t="s">
        <v>605</v>
      </c>
      <c r="D34" s="715" t="s">
        <v>606</v>
      </c>
      <c r="E34" s="711" t="s">
        <v>615</v>
      </c>
      <c r="F34" s="715" t="s">
        <v>650</v>
      </c>
      <c r="G34" s="711" t="s">
        <v>457</v>
      </c>
      <c r="H34" s="715" t="s">
        <v>616</v>
      </c>
      <c r="I34" s="712" t="s">
        <v>120</v>
      </c>
      <c r="J34" s="712" t="s">
        <v>655</v>
      </c>
      <c r="K34" s="716" t="e">
        <f>VLOOKUP(G34,#REF!,5,0)</f>
        <v>#REF!</v>
      </c>
      <c r="L34" s="716"/>
      <c r="M34" s="716"/>
      <c r="N34" s="716"/>
      <c r="O34" s="716"/>
      <c r="P34" s="716"/>
      <c r="Q34" s="716"/>
      <c r="R34" s="716"/>
      <c r="S34" s="716"/>
      <c r="T34" s="716"/>
      <c r="U34" s="716"/>
      <c r="V34" s="716"/>
      <c r="W34" s="716"/>
      <c r="X34" s="716"/>
      <c r="Y34" s="716"/>
      <c r="Z34" s="716"/>
      <c r="AA34" s="716"/>
      <c r="AB34" s="716"/>
      <c r="AC34" s="716"/>
      <c r="AD34" s="716"/>
      <c r="AE34" s="716"/>
      <c r="AF34" s="716"/>
      <c r="AG34" s="716"/>
      <c r="AH34" s="716"/>
      <c r="AI34" s="716"/>
      <c r="AJ34" s="716"/>
      <c r="AK34" s="716"/>
      <c r="AL34" s="716"/>
      <c r="AM34" s="716"/>
      <c r="AN34" s="716"/>
      <c r="AO34" s="716"/>
      <c r="AP34" s="716"/>
      <c r="AQ34" s="720">
        <f t="shared" si="1"/>
        <v>0</v>
      </c>
      <c r="AR34" s="720" t="e">
        <f t="shared" si="2"/>
        <v>#REF!</v>
      </c>
    </row>
    <row r="35" spans="1:44" ht="24" customHeight="1">
      <c r="A35" s="714" t="str">
        <f t="shared" si="0"/>
        <v>충청</v>
      </c>
      <c r="B35" s="710">
        <v>34</v>
      </c>
      <c r="C35" s="711" t="s">
        <v>605</v>
      </c>
      <c r="D35" s="715" t="s">
        <v>606</v>
      </c>
      <c r="E35" s="711" t="s">
        <v>615</v>
      </c>
      <c r="F35" s="715" t="s">
        <v>650</v>
      </c>
      <c r="G35" s="711" t="s">
        <v>461</v>
      </c>
      <c r="H35" s="715" t="s">
        <v>617</v>
      </c>
      <c r="I35" s="712" t="s">
        <v>120</v>
      </c>
      <c r="J35" s="712" t="s">
        <v>655</v>
      </c>
      <c r="K35" s="716" t="e">
        <f>VLOOKUP(G35,#REF!,5,0)</f>
        <v>#REF!</v>
      </c>
      <c r="L35" s="716"/>
      <c r="M35" s="716"/>
      <c r="N35" s="716"/>
      <c r="O35" s="716"/>
      <c r="P35" s="716"/>
      <c r="Q35" s="716"/>
      <c r="R35" s="716"/>
      <c r="S35" s="716"/>
      <c r="T35" s="716"/>
      <c r="U35" s="716"/>
      <c r="V35" s="716"/>
      <c r="W35" s="716"/>
      <c r="X35" s="716"/>
      <c r="Y35" s="716"/>
      <c r="Z35" s="716"/>
      <c r="AA35" s="716"/>
      <c r="AB35" s="716"/>
      <c r="AC35" s="716"/>
      <c r="AD35" s="716"/>
      <c r="AE35" s="716"/>
      <c r="AF35" s="716"/>
      <c r="AG35" s="716"/>
      <c r="AH35" s="716"/>
      <c r="AI35" s="716"/>
      <c r="AJ35" s="716"/>
      <c r="AK35" s="716"/>
      <c r="AL35" s="716"/>
      <c r="AM35" s="716"/>
      <c r="AN35" s="716"/>
      <c r="AO35" s="716"/>
      <c r="AP35" s="716"/>
      <c r="AQ35" s="720">
        <f t="shared" si="1"/>
        <v>0</v>
      </c>
      <c r="AR35" s="720" t="e">
        <f t="shared" si="2"/>
        <v>#REF!</v>
      </c>
    </row>
    <row r="36" spans="1:44" ht="24" customHeight="1">
      <c r="A36" s="714" t="str">
        <f t="shared" si="0"/>
        <v>충청</v>
      </c>
      <c r="B36" s="710">
        <v>35</v>
      </c>
      <c r="C36" s="711" t="s">
        <v>605</v>
      </c>
      <c r="D36" s="715" t="s">
        <v>606</v>
      </c>
      <c r="E36" s="711" t="s">
        <v>615</v>
      </c>
      <c r="F36" s="715" t="s">
        <v>650</v>
      </c>
      <c r="G36" s="711" t="s">
        <v>463</v>
      </c>
      <c r="H36" s="715" t="s">
        <v>618</v>
      </c>
      <c r="I36" s="712" t="s">
        <v>120</v>
      </c>
      <c r="J36" s="712" t="s">
        <v>655</v>
      </c>
      <c r="K36" s="716" t="e">
        <f>VLOOKUP(G36,#REF!,5,0)</f>
        <v>#REF!</v>
      </c>
      <c r="L36" s="716"/>
      <c r="M36" s="716"/>
      <c r="N36" s="716"/>
      <c r="O36" s="716"/>
      <c r="P36" s="716"/>
      <c r="Q36" s="716"/>
      <c r="R36" s="716"/>
      <c r="S36" s="716"/>
      <c r="T36" s="716"/>
      <c r="U36" s="716"/>
      <c r="V36" s="716"/>
      <c r="W36" s="716"/>
      <c r="X36" s="716"/>
      <c r="Y36" s="716"/>
      <c r="Z36" s="716"/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20">
        <f t="shared" si="1"/>
        <v>0</v>
      </c>
      <c r="AR36" s="720" t="e">
        <f t="shared" si="2"/>
        <v>#REF!</v>
      </c>
    </row>
    <row r="37" spans="1:44" ht="24" customHeight="1">
      <c r="A37" s="714" t="str">
        <f t="shared" si="0"/>
        <v>충청</v>
      </c>
      <c r="B37" s="710">
        <v>36</v>
      </c>
      <c r="C37" s="711" t="s">
        <v>605</v>
      </c>
      <c r="D37" s="715" t="s">
        <v>606</v>
      </c>
      <c r="E37" s="711" t="s">
        <v>615</v>
      </c>
      <c r="F37" s="715" t="s">
        <v>650</v>
      </c>
      <c r="G37" s="711" t="s">
        <v>465</v>
      </c>
      <c r="H37" s="715" t="s">
        <v>620</v>
      </c>
      <c r="I37" s="712" t="s">
        <v>120</v>
      </c>
      <c r="J37" s="712" t="s">
        <v>655</v>
      </c>
      <c r="K37" s="716" t="e">
        <f>VLOOKUP(G37,#REF!,5,0)</f>
        <v>#REF!</v>
      </c>
      <c r="L37" s="716"/>
      <c r="M37" s="716"/>
      <c r="N37" s="716"/>
      <c r="O37" s="716"/>
      <c r="P37" s="716"/>
      <c r="Q37" s="716"/>
      <c r="R37" s="716"/>
      <c r="S37" s="716"/>
      <c r="T37" s="716"/>
      <c r="U37" s="716"/>
      <c r="V37" s="716"/>
      <c r="W37" s="716"/>
      <c r="X37" s="716"/>
      <c r="Y37" s="716"/>
      <c r="Z37" s="716"/>
      <c r="AA37" s="716"/>
      <c r="AB37" s="716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20">
        <f t="shared" si="1"/>
        <v>0</v>
      </c>
      <c r="AR37" s="720" t="e">
        <f t="shared" si="2"/>
        <v>#REF!</v>
      </c>
    </row>
    <row r="38" spans="1:44" ht="24" customHeight="1">
      <c r="A38" s="714" t="str">
        <f t="shared" si="0"/>
        <v>충청</v>
      </c>
      <c r="B38" s="710">
        <v>37</v>
      </c>
      <c r="C38" s="711" t="s">
        <v>605</v>
      </c>
      <c r="D38" s="715" t="s">
        <v>606</v>
      </c>
      <c r="E38" s="711" t="s">
        <v>615</v>
      </c>
      <c r="F38" s="715" t="s">
        <v>650</v>
      </c>
      <c r="G38" s="711" t="s">
        <v>459</v>
      </c>
      <c r="H38" s="715" t="s">
        <v>621</v>
      </c>
      <c r="I38" s="712" t="s">
        <v>120</v>
      </c>
      <c r="J38" s="712" t="s">
        <v>655</v>
      </c>
      <c r="K38" s="716" t="e">
        <f>VLOOKUP(G38,#REF!,5,0)</f>
        <v>#REF!</v>
      </c>
      <c r="L38" s="716"/>
      <c r="M38" s="716"/>
      <c r="N38" s="716"/>
      <c r="O38" s="716"/>
      <c r="P38" s="716"/>
      <c r="Q38" s="716"/>
      <c r="R38" s="716"/>
      <c r="S38" s="716"/>
      <c r="T38" s="716"/>
      <c r="U38" s="716"/>
      <c r="V38" s="716"/>
      <c r="W38" s="716"/>
      <c r="X38" s="716"/>
      <c r="Y38" s="716"/>
      <c r="Z38" s="716"/>
      <c r="AA38" s="716"/>
      <c r="AB38" s="716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20">
        <f t="shared" si="1"/>
        <v>0</v>
      </c>
      <c r="AR38" s="720" t="e">
        <f t="shared" si="2"/>
        <v>#REF!</v>
      </c>
    </row>
    <row r="39" spans="1:44" ht="24" customHeight="1">
      <c r="A39" s="714" t="str">
        <f t="shared" si="0"/>
        <v>충청</v>
      </c>
      <c r="B39" s="710">
        <v>38</v>
      </c>
      <c r="C39" s="711" t="s">
        <v>605</v>
      </c>
      <c r="D39" s="715" t="s">
        <v>606</v>
      </c>
      <c r="E39" s="711" t="s">
        <v>615</v>
      </c>
      <c r="F39" s="715" t="s">
        <v>650</v>
      </c>
      <c r="G39" s="711" t="s">
        <v>455</v>
      </c>
      <c r="H39" s="715" t="s">
        <v>622</v>
      </c>
      <c r="I39" s="712" t="s">
        <v>120</v>
      </c>
      <c r="J39" s="712" t="s">
        <v>655</v>
      </c>
      <c r="K39" s="716" t="e">
        <f>VLOOKUP(G39,#REF!,5,0)</f>
        <v>#REF!</v>
      </c>
      <c r="L39" s="716"/>
      <c r="M39" s="716"/>
      <c r="N39" s="716"/>
      <c r="O39" s="716"/>
      <c r="P39" s="716"/>
      <c r="Q39" s="716"/>
      <c r="R39" s="716"/>
      <c r="S39" s="716"/>
      <c r="T39" s="716"/>
      <c r="U39" s="716"/>
      <c r="V39" s="716"/>
      <c r="W39" s="716"/>
      <c r="X39" s="716"/>
      <c r="Y39" s="716"/>
      <c r="Z39" s="716"/>
      <c r="AA39" s="716"/>
      <c r="AB39" s="716"/>
      <c r="AC39" s="716"/>
      <c r="AD39" s="716"/>
      <c r="AE39" s="716"/>
      <c r="AF39" s="716"/>
      <c r="AG39" s="716"/>
      <c r="AH39" s="716"/>
      <c r="AI39" s="716"/>
      <c r="AJ39" s="716"/>
      <c r="AK39" s="716"/>
      <c r="AL39" s="716"/>
      <c r="AM39" s="716"/>
      <c r="AN39" s="716"/>
      <c r="AO39" s="716"/>
      <c r="AP39" s="716"/>
      <c r="AQ39" s="720">
        <f t="shared" si="1"/>
        <v>0</v>
      </c>
      <c r="AR39" s="720" t="e">
        <f t="shared" si="2"/>
        <v>#REF!</v>
      </c>
    </row>
    <row r="40" spans="1:44" ht="24" customHeight="1">
      <c r="A40" s="714" t="str">
        <f t="shared" si="0"/>
        <v>부산</v>
      </c>
      <c r="B40" s="710">
        <v>39</v>
      </c>
      <c r="C40" s="711" t="s">
        <v>623</v>
      </c>
      <c r="D40" s="715" t="s">
        <v>624</v>
      </c>
      <c r="E40" s="711" t="s">
        <v>625</v>
      </c>
      <c r="F40" s="715" t="s">
        <v>651</v>
      </c>
      <c r="G40" s="711" t="s">
        <v>425</v>
      </c>
      <c r="H40" s="715" t="s">
        <v>627</v>
      </c>
      <c r="I40" s="712" t="s">
        <v>120</v>
      </c>
      <c r="J40" s="712" t="s">
        <v>655</v>
      </c>
      <c r="K40" s="716" t="e">
        <f>VLOOKUP(G40,#REF!,5,0)</f>
        <v>#REF!</v>
      </c>
      <c r="L40" s="716"/>
      <c r="M40" s="716"/>
      <c r="N40" s="716"/>
      <c r="O40" s="716"/>
      <c r="P40" s="716"/>
      <c r="Q40" s="716"/>
      <c r="R40" s="716"/>
      <c r="S40" s="716"/>
      <c r="T40" s="716"/>
      <c r="U40" s="716"/>
      <c r="V40" s="716"/>
      <c r="W40" s="716"/>
      <c r="X40" s="716"/>
      <c r="Y40" s="716"/>
      <c r="Z40" s="716"/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20">
        <f t="shared" si="1"/>
        <v>0</v>
      </c>
      <c r="AR40" s="720" t="e">
        <f t="shared" si="2"/>
        <v>#REF!</v>
      </c>
    </row>
    <row r="41" spans="1:44" ht="24" customHeight="1">
      <c r="A41" s="714" t="str">
        <f t="shared" si="0"/>
        <v>부산</v>
      </c>
      <c r="B41" s="710">
        <v>40</v>
      </c>
      <c r="C41" s="711" t="s">
        <v>623</v>
      </c>
      <c r="D41" s="715" t="s">
        <v>624</v>
      </c>
      <c r="E41" s="711" t="s">
        <v>625</v>
      </c>
      <c r="F41" s="715" t="s">
        <v>651</v>
      </c>
      <c r="G41" s="711" t="s">
        <v>429</v>
      </c>
      <c r="H41" s="715" t="s">
        <v>628</v>
      </c>
      <c r="I41" s="712" t="s">
        <v>120</v>
      </c>
      <c r="J41" s="712" t="s">
        <v>655</v>
      </c>
      <c r="K41" s="716" t="e">
        <f>VLOOKUP(G41,#REF!,5,0)</f>
        <v>#REF!</v>
      </c>
      <c r="L41" s="716"/>
      <c r="M41" s="716"/>
      <c r="N41" s="716"/>
      <c r="O41" s="716"/>
      <c r="P41" s="716"/>
      <c r="Q41" s="716"/>
      <c r="R41" s="716"/>
      <c r="S41" s="716"/>
      <c r="T41" s="716"/>
      <c r="U41" s="716"/>
      <c r="V41" s="716"/>
      <c r="W41" s="716"/>
      <c r="X41" s="716"/>
      <c r="Y41" s="716"/>
      <c r="Z41" s="716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20">
        <f t="shared" si="1"/>
        <v>0</v>
      </c>
      <c r="AR41" s="720" t="e">
        <f t="shared" si="2"/>
        <v>#REF!</v>
      </c>
    </row>
    <row r="42" spans="1:44" ht="24" customHeight="1">
      <c r="A42" s="714" t="str">
        <f t="shared" si="0"/>
        <v>부산</v>
      </c>
      <c r="B42" s="710">
        <v>42</v>
      </c>
      <c r="C42" s="711" t="s">
        <v>623</v>
      </c>
      <c r="D42" s="715" t="s">
        <v>624</v>
      </c>
      <c r="E42" s="711" t="s">
        <v>625</v>
      </c>
      <c r="F42" s="715" t="s">
        <v>651</v>
      </c>
      <c r="G42" s="711" t="s">
        <v>421</v>
      </c>
      <c r="H42" s="715" t="s">
        <v>630</v>
      </c>
      <c r="I42" s="712" t="s">
        <v>120</v>
      </c>
      <c r="J42" s="712" t="s">
        <v>655</v>
      </c>
      <c r="K42" s="716" t="e">
        <f>VLOOKUP(G42,#REF!,5,0)</f>
        <v>#REF!</v>
      </c>
      <c r="L42" s="716"/>
      <c r="M42" s="716"/>
      <c r="N42" s="716"/>
      <c r="O42" s="716"/>
      <c r="P42" s="716"/>
      <c r="Q42" s="716"/>
      <c r="R42" s="716"/>
      <c r="S42" s="716"/>
      <c r="T42" s="716"/>
      <c r="U42" s="716"/>
      <c r="V42" s="716"/>
      <c r="W42" s="716"/>
      <c r="X42" s="716"/>
      <c r="Y42" s="716"/>
      <c r="Z42" s="716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20">
        <f t="shared" si="1"/>
        <v>0</v>
      </c>
      <c r="AR42" s="720" t="e">
        <f t="shared" si="2"/>
        <v>#REF!</v>
      </c>
    </row>
    <row r="43" spans="1:44" ht="24" customHeight="1">
      <c r="A43" s="714" t="str">
        <f t="shared" si="0"/>
        <v>부산</v>
      </c>
      <c r="B43" s="710">
        <v>43</v>
      </c>
      <c r="C43" s="711" t="s">
        <v>623</v>
      </c>
      <c r="D43" s="715" t="s">
        <v>624</v>
      </c>
      <c r="E43" s="711" t="s">
        <v>625</v>
      </c>
      <c r="F43" s="715" t="s">
        <v>651</v>
      </c>
      <c r="G43" s="711" t="s">
        <v>435</v>
      </c>
      <c r="H43" s="715" t="s">
        <v>631</v>
      </c>
      <c r="I43" s="712" t="s">
        <v>120</v>
      </c>
      <c r="J43" s="712" t="s">
        <v>655</v>
      </c>
      <c r="K43" s="716" t="e">
        <f>VLOOKUP(G43,#REF!,5,0)</f>
        <v>#REF!</v>
      </c>
      <c r="L43" s="716"/>
      <c r="M43" s="716"/>
      <c r="N43" s="716"/>
      <c r="O43" s="716"/>
      <c r="P43" s="716"/>
      <c r="Q43" s="716"/>
      <c r="R43" s="716"/>
      <c r="S43" s="716"/>
      <c r="T43" s="716"/>
      <c r="U43" s="716"/>
      <c r="V43" s="716"/>
      <c r="W43" s="716"/>
      <c r="X43" s="716"/>
      <c r="Y43" s="716"/>
      <c r="Z43" s="716"/>
      <c r="AA43" s="716"/>
      <c r="AB43" s="716"/>
      <c r="AC43" s="716"/>
      <c r="AD43" s="716"/>
      <c r="AE43" s="716"/>
      <c r="AF43" s="716"/>
      <c r="AG43" s="716"/>
      <c r="AH43" s="716"/>
      <c r="AI43" s="716"/>
      <c r="AJ43" s="716"/>
      <c r="AK43" s="716"/>
      <c r="AL43" s="716"/>
      <c r="AM43" s="716"/>
      <c r="AN43" s="716"/>
      <c r="AO43" s="716"/>
      <c r="AP43" s="716"/>
      <c r="AQ43" s="720">
        <f t="shared" si="1"/>
        <v>0</v>
      </c>
      <c r="AR43" s="720" t="e">
        <f t="shared" si="2"/>
        <v>#REF!</v>
      </c>
    </row>
    <row r="44" spans="1:44" ht="24" customHeight="1">
      <c r="A44" s="714" t="str">
        <f t="shared" si="0"/>
        <v>부산</v>
      </c>
      <c r="B44" s="710">
        <v>44</v>
      </c>
      <c r="C44" s="711" t="s">
        <v>623</v>
      </c>
      <c r="D44" s="715" t="s">
        <v>624</v>
      </c>
      <c r="E44" s="711" t="s">
        <v>625</v>
      </c>
      <c r="F44" s="715" t="s">
        <v>651</v>
      </c>
      <c r="G44" s="711" t="s">
        <v>438</v>
      </c>
      <c r="H44" s="715" t="s">
        <v>632</v>
      </c>
      <c r="I44" s="712" t="s">
        <v>120</v>
      </c>
      <c r="J44" s="712" t="s">
        <v>655</v>
      </c>
      <c r="K44" s="716" t="e">
        <f>VLOOKUP(G44,#REF!,5,0)</f>
        <v>#REF!</v>
      </c>
      <c r="L44" s="716"/>
      <c r="M44" s="716"/>
      <c r="N44" s="716"/>
      <c r="O44" s="716"/>
      <c r="P44" s="716"/>
      <c r="Q44" s="716"/>
      <c r="R44" s="716"/>
      <c r="S44" s="716"/>
      <c r="T44" s="716"/>
      <c r="U44" s="716"/>
      <c r="V44" s="716"/>
      <c r="W44" s="716"/>
      <c r="X44" s="716"/>
      <c r="Y44" s="716"/>
      <c r="Z44" s="716"/>
      <c r="AA44" s="716"/>
      <c r="AB44" s="716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20">
        <f t="shared" si="1"/>
        <v>0</v>
      </c>
      <c r="AR44" s="720" t="e">
        <f t="shared" si="2"/>
        <v>#REF!</v>
      </c>
    </row>
    <row r="45" spans="1:44" ht="24" customHeight="1">
      <c r="A45" s="714" t="str">
        <f t="shared" si="0"/>
        <v>부산</v>
      </c>
      <c r="B45" s="710">
        <v>45</v>
      </c>
      <c r="C45" s="711" t="s">
        <v>623</v>
      </c>
      <c r="D45" s="715" t="s">
        <v>624</v>
      </c>
      <c r="E45" s="711" t="s">
        <v>625</v>
      </c>
      <c r="F45" s="715" t="s">
        <v>651</v>
      </c>
      <c r="G45" s="711" t="s">
        <v>427</v>
      </c>
      <c r="H45" s="715" t="s">
        <v>633</v>
      </c>
      <c r="I45" s="712" t="s">
        <v>120</v>
      </c>
      <c r="J45" s="712" t="s">
        <v>655</v>
      </c>
      <c r="K45" s="716" t="e">
        <f>VLOOKUP(G45,#REF!,5,0)</f>
        <v>#REF!</v>
      </c>
      <c r="L45" s="716"/>
      <c r="M45" s="716"/>
      <c r="N45" s="716"/>
      <c r="O45" s="716"/>
      <c r="P45" s="716"/>
      <c r="Q45" s="716"/>
      <c r="R45" s="716"/>
      <c r="S45" s="716"/>
      <c r="T45" s="716"/>
      <c r="U45" s="716"/>
      <c r="V45" s="716"/>
      <c r="W45" s="716"/>
      <c r="X45" s="716"/>
      <c r="Y45" s="716"/>
      <c r="Z45" s="716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20">
        <f t="shared" si="1"/>
        <v>0</v>
      </c>
      <c r="AR45" s="720" t="e">
        <f t="shared" si="2"/>
        <v>#REF!</v>
      </c>
    </row>
    <row r="46" spans="1:44" ht="24" customHeight="1">
      <c r="A46" s="714" t="str">
        <f t="shared" si="0"/>
        <v>부산</v>
      </c>
      <c r="B46" s="710">
        <v>46</v>
      </c>
      <c r="C46" s="711" t="s">
        <v>623</v>
      </c>
      <c r="D46" s="715" t="s">
        <v>624</v>
      </c>
      <c r="E46" s="711" t="s">
        <v>625</v>
      </c>
      <c r="F46" s="715" t="s">
        <v>651</v>
      </c>
      <c r="G46" s="711" t="s">
        <v>423</v>
      </c>
      <c r="H46" s="715" t="s">
        <v>634</v>
      </c>
      <c r="I46" s="712" t="s">
        <v>120</v>
      </c>
      <c r="J46" s="712" t="s">
        <v>655</v>
      </c>
      <c r="K46" s="716" t="e">
        <f>VLOOKUP(G46,#REF!,5,0)</f>
        <v>#REF!</v>
      </c>
      <c r="L46" s="716"/>
      <c r="M46" s="716"/>
      <c r="N46" s="716"/>
      <c r="O46" s="716"/>
      <c r="P46" s="716"/>
      <c r="Q46" s="716"/>
      <c r="R46" s="716"/>
      <c r="S46" s="716"/>
      <c r="T46" s="716"/>
      <c r="U46" s="716"/>
      <c r="V46" s="716"/>
      <c r="W46" s="716"/>
      <c r="X46" s="716"/>
      <c r="Y46" s="716"/>
      <c r="Z46" s="716"/>
      <c r="AA46" s="716"/>
      <c r="AB46" s="716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20">
        <f t="shared" si="1"/>
        <v>0</v>
      </c>
      <c r="AR46" s="720" t="e">
        <f t="shared" si="2"/>
        <v>#REF!</v>
      </c>
    </row>
    <row r="47" spans="1:44" ht="24" customHeight="1">
      <c r="A47" s="714" t="str">
        <f t="shared" si="0"/>
        <v>대구</v>
      </c>
      <c r="B47" s="710">
        <v>47</v>
      </c>
      <c r="C47" s="711" t="s">
        <v>623</v>
      </c>
      <c r="D47" s="715" t="s">
        <v>624</v>
      </c>
      <c r="E47" s="711" t="s">
        <v>635</v>
      </c>
      <c r="F47" s="715" t="s">
        <v>652</v>
      </c>
      <c r="G47" s="711" t="s">
        <v>442</v>
      </c>
      <c r="H47" s="715" t="s">
        <v>636</v>
      </c>
      <c r="I47" s="712" t="s">
        <v>120</v>
      </c>
      <c r="J47" s="712" t="s">
        <v>655</v>
      </c>
      <c r="K47" s="716" t="e">
        <f>VLOOKUP(G47,#REF!,5,0)</f>
        <v>#REF!</v>
      </c>
      <c r="L47" s="716"/>
      <c r="M47" s="716"/>
      <c r="N47" s="716"/>
      <c r="O47" s="716"/>
      <c r="P47" s="716"/>
      <c r="Q47" s="716"/>
      <c r="R47" s="716"/>
      <c r="S47" s="716"/>
      <c r="T47" s="716"/>
      <c r="U47" s="716"/>
      <c r="V47" s="716"/>
      <c r="W47" s="716"/>
      <c r="X47" s="716"/>
      <c r="Y47" s="716"/>
      <c r="Z47" s="716"/>
      <c r="AA47" s="716"/>
      <c r="AB47" s="716"/>
      <c r="AC47" s="716"/>
      <c r="AD47" s="716"/>
      <c r="AE47" s="716"/>
      <c r="AF47" s="716"/>
      <c r="AG47" s="716"/>
      <c r="AH47" s="716"/>
      <c r="AI47" s="716"/>
      <c r="AJ47" s="716"/>
      <c r="AK47" s="716"/>
      <c r="AL47" s="716"/>
      <c r="AM47" s="716"/>
      <c r="AN47" s="716"/>
      <c r="AO47" s="716"/>
      <c r="AP47" s="716"/>
      <c r="AQ47" s="720">
        <f t="shared" si="1"/>
        <v>0</v>
      </c>
      <c r="AR47" s="720" t="e">
        <f t="shared" si="2"/>
        <v>#REF!</v>
      </c>
    </row>
    <row r="48" spans="1:44" ht="24" customHeight="1">
      <c r="A48" s="714" t="str">
        <f t="shared" si="0"/>
        <v>대구</v>
      </c>
      <c r="B48" s="710">
        <v>48</v>
      </c>
      <c r="C48" s="711" t="s">
        <v>623</v>
      </c>
      <c r="D48" s="715" t="s">
        <v>624</v>
      </c>
      <c r="E48" s="711" t="s">
        <v>635</v>
      </c>
      <c r="F48" s="715" t="s">
        <v>652</v>
      </c>
      <c r="G48" s="711" t="s">
        <v>450</v>
      </c>
      <c r="H48" s="715" t="s">
        <v>637</v>
      </c>
      <c r="I48" s="712" t="s">
        <v>120</v>
      </c>
      <c r="J48" s="712" t="s">
        <v>655</v>
      </c>
      <c r="K48" s="716" t="e">
        <f>VLOOKUP(G48,#REF!,5,0)</f>
        <v>#REF!</v>
      </c>
      <c r="L48" s="716"/>
      <c r="M48" s="716"/>
      <c r="N48" s="716"/>
      <c r="O48" s="716"/>
      <c r="P48" s="716"/>
      <c r="Q48" s="716"/>
      <c r="R48" s="716"/>
      <c r="S48" s="716"/>
      <c r="T48" s="716"/>
      <c r="U48" s="716"/>
      <c r="V48" s="716"/>
      <c r="W48" s="716"/>
      <c r="X48" s="716"/>
      <c r="Y48" s="716"/>
      <c r="Z48" s="716"/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20">
        <f t="shared" si="1"/>
        <v>0</v>
      </c>
      <c r="AR48" s="720" t="e">
        <f t="shared" si="2"/>
        <v>#REF!</v>
      </c>
    </row>
    <row r="49" spans="1:44" ht="24" customHeight="1">
      <c r="A49" s="714" t="str">
        <f t="shared" si="0"/>
        <v>대구</v>
      </c>
      <c r="B49" s="710">
        <v>49</v>
      </c>
      <c r="C49" s="711" t="s">
        <v>623</v>
      </c>
      <c r="D49" s="715" t="s">
        <v>624</v>
      </c>
      <c r="E49" s="711" t="s">
        <v>635</v>
      </c>
      <c r="F49" s="715" t="s">
        <v>652</v>
      </c>
      <c r="G49" s="711" t="s">
        <v>446</v>
      </c>
      <c r="H49" s="715" t="s">
        <v>638</v>
      </c>
      <c r="I49" s="712" t="s">
        <v>120</v>
      </c>
      <c r="J49" s="712" t="s">
        <v>655</v>
      </c>
      <c r="K49" s="716" t="e">
        <f>VLOOKUP(G49,#REF!,5,0)</f>
        <v>#REF!</v>
      </c>
      <c r="L49" s="716"/>
      <c r="M49" s="716"/>
      <c r="N49" s="716"/>
      <c r="O49" s="716"/>
      <c r="P49" s="716"/>
      <c r="Q49" s="716"/>
      <c r="R49" s="716"/>
      <c r="S49" s="716"/>
      <c r="T49" s="716"/>
      <c r="U49" s="716"/>
      <c r="V49" s="716"/>
      <c r="W49" s="716"/>
      <c r="X49" s="716"/>
      <c r="Y49" s="716"/>
      <c r="Z49" s="716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20">
        <f t="shared" si="1"/>
        <v>0</v>
      </c>
      <c r="AR49" s="720" t="e">
        <f t="shared" si="2"/>
        <v>#REF!</v>
      </c>
    </row>
    <row r="50" spans="1:44" ht="24" customHeight="1">
      <c r="A50" s="714" t="str">
        <f t="shared" si="0"/>
        <v>대구</v>
      </c>
      <c r="B50" s="710">
        <v>50</v>
      </c>
      <c r="C50" s="711" t="s">
        <v>623</v>
      </c>
      <c r="D50" s="715" t="s">
        <v>624</v>
      </c>
      <c r="E50" s="711" t="s">
        <v>635</v>
      </c>
      <c r="F50" s="715" t="s">
        <v>652</v>
      </c>
      <c r="G50" s="711" t="s">
        <v>440</v>
      </c>
      <c r="H50" s="715" t="s">
        <v>639</v>
      </c>
      <c r="I50" s="712" t="s">
        <v>120</v>
      </c>
      <c r="J50" s="712" t="s">
        <v>655</v>
      </c>
      <c r="K50" s="716" t="e">
        <f>VLOOKUP(G50,#REF!,5,0)</f>
        <v>#REF!</v>
      </c>
      <c r="L50" s="716"/>
      <c r="M50" s="716"/>
      <c r="N50" s="716"/>
      <c r="O50" s="716"/>
      <c r="P50" s="716"/>
      <c r="Q50" s="716"/>
      <c r="R50" s="716"/>
      <c r="S50" s="716"/>
      <c r="T50" s="716"/>
      <c r="U50" s="716"/>
      <c r="V50" s="716"/>
      <c r="W50" s="716"/>
      <c r="X50" s="716"/>
      <c r="Y50" s="716"/>
      <c r="Z50" s="716"/>
      <c r="AA50" s="716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20">
        <f t="shared" si="1"/>
        <v>0</v>
      </c>
      <c r="AR50" s="720" t="e">
        <f t="shared" si="2"/>
        <v>#REF!</v>
      </c>
    </row>
    <row r="51" spans="1:44" ht="24" customHeight="1">
      <c r="A51" s="714" t="str">
        <f t="shared" si="0"/>
        <v>대구</v>
      </c>
      <c r="B51" s="710">
        <v>51</v>
      </c>
      <c r="C51" s="711" t="s">
        <v>623</v>
      </c>
      <c r="D51" s="715" t="s">
        <v>624</v>
      </c>
      <c r="E51" s="711" t="s">
        <v>635</v>
      </c>
      <c r="F51" s="715" t="s">
        <v>652</v>
      </c>
      <c r="G51" s="711" t="s">
        <v>448</v>
      </c>
      <c r="H51" s="715" t="s">
        <v>640</v>
      </c>
      <c r="I51" s="712" t="s">
        <v>120</v>
      </c>
      <c r="J51" s="712" t="s">
        <v>655</v>
      </c>
      <c r="K51" s="716" t="e">
        <f>VLOOKUP(G51,#REF!,5,0)</f>
        <v>#REF!</v>
      </c>
      <c r="L51" s="716"/>
      <c r="M51" s="716"/>
      <c r="N51" s="716"/>
      <c r="O51" s="716"/>
      <c r="P51" s="716"/>
      <c r="Q51" s="716"/>
      <c r="R51" s="716"/>
      <c r="S51" s="716"/>
      <c r="T51" s="716"/>
      <c r="U51" s="716"/>
      <c r="V51" s="716"/>
      <c r="W51" s="716"/>
      <c r="X51" s="716"/>
      <c r="Y51" s="716"/>
      <c r="Z51" s="716"/>
      <c r="AA51" s="716"/>
      <c r="AB51" s="716"/>
      <c r="AC51" s="716"/>
      <c r="AD51" s="716"/>
      <c r="AE51" s="716"/>
      <c r="AF51" s="716"/>
      <c r="AG51" s="716"/>
      <c r="AH51" s="716"/>
      <c r="AI51" s="716"/>
      <c r="AJ51" s="716"/>
      <c r="AK51" s="716"/>
      <c r="AL51" s="716"/>
      <c r="AM51" s="716"/>
      <c r="AN51" s="716"/>
      <c r="AO51" s="716"/>
      <c r="AP51" s="716"/>
      <c r="AQ51" s="720">
        <f t="shared" si="1"/>
        <v>0</v>
      </c>
      <c r="AR51" s="720" t="e">
        <f t="shared" si="2"/>
        <v>#REF!</v>
      </c>
    </row>
    <row r="52" spans="1:44" ht="24" customHeight="1">
      <c r="A52" s="714" t="str">
        <f t="shared" si="0"/>
        <v>대구</v>
      </c>
      <c r="B52" s="710">
        <v>52</v>
      </c>
      <c r="C52" s="711" t="s">
        <v>623</v>
      </c>
      <c r="D52" s="715" t="s">
        <v>624</v>
      </c>
      <c r="E52" s="711" t="s">
        <v>635</v>
      </c>
      <c r="F52" s="715" t="s">
        <v>652</v>
      </c>
      <c r="G52" s="711" t="s">
        <v>444</v>
      </c>
      <c r="H52" s="715" t="s">
        <v>641</v>
      </c>
      <c r="I52" s="712" t="s">
        <v>120</v>
      </c>
      <c r="J52" s="712" t="s">
        <v>655</v>
      </c>
      <c r="K52" s="716" t="e">
        <f>VLOOKUP(G52,#REF!,5,0)</f>
        <v>#REF!</v>
      </c>
      <c r="L52" s="716"/>
      <c r="M52" s="716"/>
      <c r="N52" s="716"/>
      <c r="O52" s="716"/>
      <c r="P52" s="716"/>
      <c r="Q52" s="716"/>
      <c r="R52" s="716"/>
      <c r="S52" s="716"/>
      <c r="T52" s="716"/>
      <c r="U52" s="716"/>
      <c r="V52" s="716"/>
      <c r="W52" s="716"/>
      <c r="X52" s="716"/>
      <c r="Y52" s="716"/>
      <c r="Z52" s="716"/>
      <c r="AA52" s="716"/>
      <c r="AB52" s="716"/>
      <c r="AC52" s="716"/>
      <c r="AD52" s="716"/>
      <c r="AE52" s="716"/>
      <c r="AF52" s="716"/>
      <c r="AG52" s="716"/>
      <c r="AH52" s="716"/>
      <c r="AI52" s="716"/>
      <c r="AJ52" s="716"/>
      <c r="AK52" s="716"/>
      <c r="AL52" s="716"/>
      <c r="AM52" s="716"/>
      <c r="AN52" s="716"/>
      <c r="AO52" s="716"/>
      <c r="AP52" s="716"/>
      <c r="AQ52" s="720">
        <f t="shared" si="1"/>
        <v>0</v>
      </c>
      <c r="AR52" s="720" t="e">
        <f t="shared" si="2"/>
        <v>#REF!</v>
      </c>
    </row>
  </sheetData>
  <mergeCells count="10">
    <mergeCell ref="H2:H3"/>
    <mergeCell ref="I2:I3"/>
    <mergeCell ref="J2:J3"/>
    <mergeCell ref="K2:K3"/>
    <mergeCell ref="B2:B3"/>
    <mergeCell ref="C2:C3"/>
    <mergeCell ref="D2:D3"/>
    <mergeCell ref="E2:E3"/>
    <mergeCell ref="F2:F3"/>
    <mergeCell ref="G2:G3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1"/>
  </sheetPr>
  <dimension ref="A1:AF10"/>
  <sheetViews>
    <sheetView tabSelected="1" zoomScale="85" zoomScaleNormal="85" workbookViewId="0">
      <selection activeCell="G29" sqref="G29"/>
    </sheetView>
  </sheetViews>
  <sheetFormatPr defaultColWidth="9" defaultRowHeight="12.5"/>
  <cols>
    <col min="1" max="1" width="8.1640625" style="826" customWidth="1"/>
    <col min="2" max="2" width="4.75" style="826" bestFit="1" customWidth="1"/>
    <col min="3" max="10" width="5.08203125" style="826" bestFit="1" customWidth="1"/>
    <col min="11" max="11" width="5.58203125" style="826" bestFit="1" customWidth="1"/>
    <col min="12" max="12" width="5.25" style="826" bestFit="1" customWidth="1"/>
    <col min="13" max="20" width="5.58203125" style="826" bestFit="1" customWidth="1"/>
    <col min="21" max="21" width="6" style="826" bestFit="1" customWidth="1"/>
    <col min="22" max="22" width="5.58203125" style="826" bestFit="1" customWidth="1"/>
    <col min="23" max="29" width="6" style="826" bestFit="1" customWidth="1"/>
    <col min="30" max="31" width="6" style="826" customWidth="1"/>
    <col min="32" max="16384" width="9" style="826"/>
  </cols>
  <sheetData>
    <row r="1" spans="1:31">
      <c r="A1" s="855" t="s">
        <v>663</v>
      </c>
      <c r="B1" s="827">
        <v>46113</v>
      </c>
      <c r="C1" s="827">
        <v>46114</v>
      </c>
      <c r="D1" s="827">
        <v>46115</v>
      </c>
      <c r="E1" s="827">
        <v>46116</v>
      </c>
      <c r="F1" s="827">
        <v>46117</v>
      </c>
      <c r="G1" s="827">
        <v>46118</v>
      </c>
      <c r="H1" s="827">
        <v>46119</v>
      </c>
      <c r="I1" s="827">
        <v>46120</v>
      </c>
      <c r="J1" s="827">
        <v>46121</v>
      </c>
      <c r="K1" s="827">
        <v>46122</v>
      </c>
      <c r="L1" s="827">
        <v>46123</v>
      </c>
      <c r="M1" s="827">
        <v>46124</v>
      </c>
      <c r="N1" s="827">
        <v>46125</v>
      </c>
      <c r="O1" s="827">
        <v>46126</v>
      </c>
      <c r="P1" s="827">
        <v>46127</v>
      </c>
      <c r="Q1" s="827">
        <v>46128</v>
      </c>
      <c r="R1" s="827">
        <v>46129</v>
      </c>
      <c r="S1" s="827">
        <v>46130</v>
      </c>
      <c r="T1" s="827">
        <v>46131</v>
      </c>
      <c r="U1" s="827">
        <v>46132</v>
      </c>
      <c r="V1" s="827">
        <v>46133</v>
      </c>
      <c r="W1" s="827">
        <v>46134</v>
      </c>
      <c r="X1" s="827">
        <v>46135</v>
      </c>
      <c r="Y1" s="827">
        <v>46136</v>
      </c>
      <c r="Z1" s="827">
        <v>46137</v>
      </c>
      <c r="AA1" s="827">
        <v>46138</v>
      </c>
      <c r="AB1" s="827">
        <v>46139</v>
      </c>
      <c r="AC1" s="827">
        <v>46140</v>
      </c>
      <c r="AD1" s="827">
        <v>46141</v>
      </c>
      <c r="AE1" s="827">
        <v>46142</v>
      </c>
    </row>
    <row r="2" spans="1:31">
      <c r="A2" s="828" t="s">
        <v>371</v>
      </c>
      <c r="B2" s="829">
        <v>19</v>
      </c>
      <c r="C2" s="829">
        <v>19</v>
      </c>
      <c r="D2" s="829">
        <v>19</v>
      </c>
      <c r="E2" s="829">
        <v>26</v>
      </c>
      <c r="F2" s="829">
        <v>0</v>
      </c>
      <c r="G2" s="829">
        <v>29</v>
      </c>
      <c r="H2" s="829">
        <v>19</v>
      </c>
      <c r="I2" s="829">
        <v>19</v>
      </c>
      <c r="J2" s="829">
        <v>19</v>
      </c>
      <c r="K2" s="829">
        <v>19</v>
      </c>
      <c r="L2" s="829">
        <v>26</v>
      </c>
      <c r="M2" s="829">
        <v>0</v>
      </c>
      <c r="N2" s="829">
        <v>29</v>
      </c>
      <c r="O2" s="829">
        <v>19</v>
      </c>
      <c r="P2" s="829">
        <v>19</v>
      </c>
      <c r="Q2" s="829">
        <v>19</v>
      </c>
      <c r="R2" s="829">
        <v>20</v>
      </c>
      <c r="S2" s="829">
        <v>27</v>
      </c>
      <c r="T2" s="829">
        <v>0</v>
      </c>
      <c r="U2" s="829">
        <v>30</v>
      </c>
      <c r="V2" s="829">
        <v>20</v>
      </c>
      <c r="W2" s="829">
        <v>20</v>
      </c>
      <c r="X2" s="829">
        <v>20</v>
      </c>
      <c r="Y2" s="829">
        <v>20</v>
      </c>
      <c r="Z2" s="829">
        <v>27</v>
      </c>
      <c r="AA2" s="829">
        <v>0</v>
      </c>
      <c r="AB2" s="829">
        <v>31</v>
      </c>
      <c r="AC2" s="829">
        <v>21</v>
      </c>
      <c r="AD2" s="829">
        <v>21</v>
      </c>
      <c r="AE2" s="829">
        <v>21</v>
      </c>
    </row>
    <row r="3" spans="1:31">
      <c r="A3" s="828" t="s">
        <v>375</v>
      </c>
      <c r="B3" s="829">
        <v>16</v>
      </c>
      <c r="C3" s="829">
        <v>16</v>
      </c>
      <c r="D3" s="829">
        <v>16</v>
      </c>
      <c r="E3" s="829">
        <v>21</v>
      </c>
      <c r="F3" s="829">
        <v>0</v>
      </c>
      <c r="G3" s="829">
        <v>24</v>
      </c>
      <c r="H3" s="829">
        <v>16</v>
      </c>
      <c r="I3" s="829">
        <v>16</v>
      </c>
      <c r="J3" s="829">
        <v>16</v>
      </c>
      <c r="K3" s="829">
        <v>16</v>
      </c>
      <c r="L3" s="829">
        <v>21</v>
      </c>
      <c r="M3" s="829">
        <v>0</v>
      </c>
      <c r="N3" s="829">
        <v>24</v>
      </c>
      <c r="O3" s="829">
        <v>16</v>
      </c>
      <c r="P3" s="829">
        <v>16</v>
      </c>
      <c r="Q3" s="829">
        <v>16</v>
      </c>
      <c r="R3" s="829">
        <v>16</v>
      </c>
      <c r="S3" s="829">
        <v>21</v>
      </c>
      <c r="T3" s="829">
        <v>0</v>
      </c>
      <c r="U3" s="829">
        <v>24</v>
      </c>
      <c r="V3" s="829">
        <v>16</v>
      </c>
      <c r="W3" s="829">
        <v>16</v>
      </c>
      <c r="X3" s="829">
        <v>17</v>
      </c>
      <c r="Y3" s="829">
        <v>17</v>
      </c>
      <c r="Z3" s="829">
        <v>22</v>
      </c>
      <c r="AA3" s="829">
        <v>0</v>
      </c>
      <c r="AB3" s="829">
        <v>25</v>
      </c>
      <c r="AC3" s="829">
        <v>17</v>
      </c>
      <c r="AD3" s="829">
        <v>17</v>
      </c>
      <c r="AE3" s="829">
        <v>17</v>
      </c>
    </row>
    <row r="4" spans="1:31">
      <c r="A4" s="828" t="s">
        <v>367</v>
      </c>
      <c r="B4" s="829">
        <v>21</v>
      </c>
      <c r="C4" s="829">
        <v>21</v>
      </c>
      <c r="D4" s="829">
        <v>21</v>
      </c>
      <c r="E4" s="829">
        <v>28</v>
      </c>
      <c r="F4" s="829">
        <v>0</v>
      </c>
      <c r="G4" s="829">
        <v>32</v>
      </c>
      <c r="H4" s="829">
        <v>21</v>
      </c>
      <c r="I4" s="829">
        <v>21</v>
      </c>
      <c r="J4" s="829">
        <v>21</v>
      </c>
      <c r="K4" s="829">
        <v>21</v>
      </c>
      <c r="L4" s="829">
        <v>28</v>
      </c>
      <c r="M4" s="829">
        <v>0</v>
      </c>
      <c r="N4" s="829">
        <v>32</v>
      </c>
      <c r="O4" s="829">
        <v>21</v>
      </c>
      <c r="P4" s="829">
        <v>21</v>
      </c>
      <c r="Q4" s="829">
        <v>21</v>
      </c>
      <c r="R4" s="829">
        <v>21</v>
      </c>
      <c r="S4" s="829">
        <v>29</v>
      </c>
      <c r="T4" s="829">
        <v>0</v>
      </c>
      <c r="U4" s="829">
        <v>33</v>
      </c>
      <c r="V4" s="829">
        <v>22</v>
      </c>
      <c r="W4" s="829">
        <v>22</v>
      </c>
      <c r="X4" s="829">
        <v>22</v>
      </c>
      <c r="Y4" s="829">
        <v>22</v>
      </c>
      <c r="Z4" s="829">
        <v>29</v>
      </c>
      <c r="AA4" s="829">
        <v>0</v>
      </c>
      <c r="AB4" s="829">
        <v>33</v>
      </c>
      <c r="AC4" s="829">
        <v>23</v>
      </c>
      <c r="AD4" s="829">
        <v>23</v>
      </c>
      <c r="AE4" s="829">
        <v>23</v>
      </c>
    </row>
    <row r="5" spans="1:31">
      <c r="A5" s="828" t="s">
        <v>378</v>
      </c>
      <c r="B5" s="829">
        <v>22</v>
      </c>
      <c r="C5" s="829">
        <v>22</v>
      </c>
      <c r="D5" s="829">
        <v>22</v>
      </c>
      <c r="E5" s="829">
        <v>30</v>
      </c>
      <c r="F5" s="829">
        <v>0</v>
      </c>
      <c r="G5" s="829">
        <v>34</v>
      </c>
      <c r="H5" s="829">
        <v>22</v>
      </c>
      <c r="I5" s="829">
        <v>22</v>
      </c>
      <c r="J5" s="829">
        <v>22</v>
      </c>
      <c r="K5" s="829">
        <v>23</v>
      </c>
      <c r="L5" s="829">
        <v>31</v>
      </c>
      <c r="M5" s="829">
        <v>0</v>
      </c>
      <c r="N5" s="829">
        <v>35</v>
      </c>
      <c r="O5" s="829">
        <v>23</v>
      </c>
      <c r="P5" s="829">
        <v>23</v>
      </c>
      <c r="Q5" s="829">
        <v>23</v>
      </c>
      <c r="R5" s="829">
        <v>23</v>
      </c>
      <c r="S5" s="829">
        <v>31</v>
      </c>
      <c r="T5" s="829">
        <v>0</v>
      </c>
      <c r="U5" s="829">
        <v>35</v>
      </c>
      <c r="V5" s="829">
        <v>23</v>
      </c>
      <c r="W5" s="829">
        <v>23</v>
      </c>
      <c r="X5" s="829">
        <v>23</v>
      </c>
      <c r="Y5" s="829">
        <v>23</v>
      </c>
      <c r="Z5" s="829">
        <v>31</v>
      </c>
      <c r="AA5" s="829">
        <v>0</v>
      </c>
      <c r="AB5" s="829">
        <v>36</v>
      </c>
      <c r="AC5" s="829">
        <v>24</v>
      </c>
      <c r="AD5" s="829">
        <v>24</v>
      </c>
      <c r="AE5" s="829">
        <v>24</v>
      </c>
    </row>
    <row r="6" spans="1:31">
      <c r="A6" s="828" t="s">
        <v>382</v>
      </c>
      <c r="B6" s="829">
        <v>26</v>
      </c>
      <c r="C6" s="829">
        <v>26</v>
      </c>
      <c r="D6" s="829">
        <v>26</v>
      </c>
      <c r="E6" s="829">
        <v>35</v>
      </c>
      <c r="F6" s="829">
        <v>0</v>
      </c>
      <c r="G6" s="829">
        <v>40</v>
      </c>
      <c r="H6" s="829">
        <v>26</v>
      </c>
      <c r="I6" s="829">
        <v>26</v>
      </c>
      <c r="J6" s="829">
        <v>26</v>
      </c>
      <c r="K6" s="829">
        <v>27</v>
      </c>
      <c r="L6" s="829">
        <v>36</v>
      </c>
      <c r="M6" s="829">
        <v>0</v>
      </c>
      <c r="N6" s="829">
        <v>41</v>
      </c>
      <c r="O6" s="829">
        <v>27</v>
      </c>
      <c r="P6" s="829">
        <v>27</v>
      </c>
      <c r="Q6" s="829">
        <v>27</v>
      </c>
      <c r="R6" s="829">
        <v>27</v>
      </c>
      <c r="S6" s="829">
        <v>36</v>
      </c>
      <c r="T6" s="829">
        <v>0</v>
      </c>
      <c r="U6" s="829">
        <v>41</v>
      </c>
      <c r="V6" s="829">
        <v>27</v>
      </c>
      <c r="W6" s="829">
        <v>27</v>
      </c>
      <c r="X6" s="829">
        <v>27</v>
      </c>
      <c r="Y6" s="829">
        <v>27</v>
      </c>
      <c r="Z6" s="829">
        <v>36</v>
      </c>
      <c r="AA6" s="829">
        <v>0</v>
      </c>
      <c r="AB6" s="829">
        <v>42</v>
      </c>
      <c r="AC6" s="829">
        <v>28</v>
      </c>
      <c r="AD6" s="829">
        <v>28</v>
      </c>
      <c r="AE6" s="829">
        <v>28</v>
      </c>
    </row>
    <row r="7" spans="1:31">
      <c r="A7" s="828" t="s">
        <v>380</v>
      </c>
      <c r="B7" s="829">
        <v>19</v>
      </c>
      <c r="C7" s="829">
        <v>19</v>
      </c>
      <c r="D7" s="829">
        <v>19</v>
      </c>
      <c r="E7" s="829">
        <v>25</v>
      </c>
      <c r="F7" s="829">
        <v>0</v>
      </c>
      <c r="G7" s="829">
        <v>28</v>
      </c>
      <c r="H7" s="829">
        <v>19</v>
      </c>
      <c r="I7" s="829">
        <v>19</v>
      </c>
      <c r="J7" s="829">
        <v>19</v>
      </c>
      <c r="K7" s="829">
        <v>19</v>
      </c>
      <c r="L7" s="829">
        <v>25</v>
      </c>
      <c r="M7" s="829">
        <v>0</v>
      </c>
      <c r="N7" s="829">
        <v>28</v>
      </c>
      <c r="O7" s="829">
        <v>19</v>
      </c>
      <c r="P7" s="829">
        <v>19</v>
      </c>
      <c r="Q7" s="829">
        <v>19</v>
      </c>
      <c r="R7" s="829">
        <v>19</v>
      </c>
      <c r="S7" s="829">
        <v>25</v>
      </c>
      <c r="T7" s="829">
        <v>0</v>
      </c>
      <c r="U7" s="829">
        <v>28</v>
      </c>
      <c r="V7" s="829">
        <v>19</v>
      </c>
      <c r="W7" s="829">
        <v>19</v>
      </c>
      <c r="X7" s="829">
        <v>19</v>
      </c>
      <c r="Y7" s="829">
        <v>20</v>
      </c>
      <c r="Z7" s="829">
        <v>26</v>
      </c>
      <c r="AA7" s="829">
        <v>0</v>
      </c>
      <c r="AB7" s="829">
        <v>30</v>
      </c>
      <c r="AC7" s="829">
        <v>20</v>
      </c>
      <c r="AD7" s="829">
        <v>20</v>
      </c>
      <c r="AE7" s="829">
        <v>20</v>
      </c>
    </row>
    <row r="8" spans="1:31">
      <c r="A8" s="828" t="s">
        <v>386</v>
      </c>
      <c r="B8" s="829">
        <v>16</v>
      </c>
      <c r="C8" s="829">
        <v>16</v>
      </c>
      <c r="D8" s="829">
        <v>16</v>
      </c>
      <c r="E8" s="829">
        <v>22</v>
      </c>
      <c r="F8" s="829">
        <v>0</v>
      </c>
      <c r="G8" s="829">
        <v>25</v>
      </c>
      <c r="H8" s="829">
        <v>16</v>
      </c>
      <c r="I8" s="829">
        <v>17</v>
      </c>
      <c r="J8" s="829">
        <v>17</v>
      </c>
      <c r="K8" s="829">
        <v>17</v>
      </c>
      <c r="L8" s="829">
        <v>23</v>
      </c>
      <c r="M8" s="829">
        <v>0</v>
      </c>
      <c r="N8" s="829">
        <v>26</v>
      </c>
      <c r="O8" s="829">
        <v>17</v>
      </c>
      <c r="P8" s="829">
        <v>17</v>
      </c>
      <c r="Q8" s="829">
        <v>17</v>
      </c>
      <c r="R8" s="829">
        <v>17</v>
      </c>
      <c r="S8" s="829">
        <v>23</v>
      </c>
      <c r="T8" s="829">
        <v>0</v>
      </c>
      <c r="U8" s="829">
        <v>26</v>
      </c>
      <c r="V8" s="829">
        <v>17</v>
      </c>
      <c r="W8" s="829">
        <v>17</v>
      </c>
      <c r="X8" s="829">
        <v>17</v>
      </c>
      <c r="Y8" s="829">
        <v>17</v>
      </c>
      <c r="Z8" s="829">
        <v>23</v>
      </c>
      <c r="AA8" s="829">
        <v>0</v>
      </c>
      <c r="AB8" s="829">
        <v>26</v>
      </c>
      <c r="AC8" s="829">
        <v>18</v>
      </c>
      <c r="AD8" s="829">
        <v>18</v>
      </c>
      <c r="AE8" s="829">
        <v>18</v>
      </c>
    </row>
    <row r="9" spans="1:31">
      <c r="A9" s="828" t="s">
        <v>384</v>
      </c>
      <c r="B9" s="829">
        <v>18</v>
      </c>
      <c r="C9" s="829">
        <v>18</v>
      </c>
      <c r="D9" s="829">
        <v>18</v>
      </c>
      <c r="E9" s="829">
        <v>24</v>
      </c>
      <c r="F9" s="829">
        <v>0</v>
      </c>
      <c r="G9" s="829">
        <v>28</v>
      </c>
      <c r="H9" s="829">
        <v>18</v>
      </c>
      <c r="I9" s="829">
        <v>19</v>
      </c>
      <c r="J9" s="829">
        <v>19</v>
      </c>
      <c r="K9" s="829">
        <v>19</v>
      </c>
      <c r="L9" s="829">
        <v>25</v>
      </c>
      <c r="M9" s="829">
        <v>0</v>
      </c>
      <c r="N9" s="829">
        <v>29</v>
      </c>
      <c r="O9" s="829">
        <v>19</v>
      </c>
      <c r="P9" s="829">
        <v>19</v>
      </c>
      <c r="Q9" s="829">
        <v>19</v>
      </c>
      <c r="R9" s="829">
        <v>19</v>
      </c>
      <c r="S9" s="829">
        <v>25</v>
      </c>
      <c r="T9" s="829">
        <v>0</v>
      </c>
      <c r="U9" s="829">
        <v>29</v>
      </c>
      <c r="V9" s="829">
        <v>19</v>
      </c>
      <c r="W9" s="829">
        <v>19</v>
      </c>
      <c r="X9" s="829">
        <v>19</v>
      </c>
      <c r="Y9" s="829">
        <v>19</v>
      </c>
      <c r="Z9" s="829">
        <v>25</v>
      </c>
      <c r="AA9" s="829">
        <v>0</v>
      </c>
      <c r="AB9" s="829">
        <v>29</v>
      </c>
      <c r="AC9" s="829">
        <v>20</v>
      </c>
      <c r="AD9" s="829">
        <v>20</v>
      </c>
      <c r="AE9" s="829">
        <v>20</v>
      </c>
    </row>
    <row r="10" spans="1:31">
      <c r="A10" s="828" t="s">
        <v>388</v>
      </c>
      <c r="B10" s="829">
        <v>17</v>
      </c>
      <c r="C10" s="829">
        <v>17</v>
      </c>
      <c r="D10" s="829">
        <v>17</v>
      </c>
      <c r="E10" s="829">
        <v>23</v>
      </c>
      <c r="F10" s="829">
        <v>0</v>
      </c>
      <c r="G10" s="829">
        <v>26</v>
      </c>
      <c r="H10" s="829">
        <v>17</v>
      </c>
      <c r="I10" s="829">
        <v>17</v>
      </c>
      <c r="J10" s="829">
        <v>17</v>
      </c>
      <c r="K10" s="829">
        <v>17</v>
      </c>
      <c r="L10" s="829">
        <v>24</v>
      </c>
      <c r="M10" s="829">
        <v>0</v>
      </c>
      <c r="N10" s="829">
        <v>27</v>
      </c>
      <c r="O10" s="829">
        <v>18</v>
      </c>
      <c r="P10" s="829">
        <v>18</v>
      </c>
      <c r="Q10" s="829">
        <v>18</v>
      </c>
      <c r="R10" s="829">
        <v>18</v>
      </c>
      <c r="S10" s="829">
        <v>24</v>
      </c>
      <c r="T10" s="829">
        <v>0</v>
      </c>
      <c r="U10" s="829">
        <v>27</v>
      </c>
      <c r="V10" s="829">
        <v>18</v>
      </c>
      <c r="W10" s="829">
        <v>18</v>
      </c>
      <c r="X10" s="829">
        <v>18</v>
      </c>
      <c r="Y10" s="829">
        <v>18</v>
      </c>
      <c r="Z10" s="829">
        <v>24</v>
      </c>
      <c r="AA10" s="829">
        <v>0</v>
      </c>
      <c r="AB10" s="829">
        <v>28</v>
      </c>
      <c r="AC10" s="829">
        <v>19</v>
      </c>
      <c r="AD10" s="829">
        <v>19</v>
      </c>
      <c r="AE10" s="829">
        <v>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AM45"/>
  <sheetViews>
    <sheetView zoomScale="85" zoomScaleNormal="85" workbookViewId="0">
      <selection activeCell="G4" sqref="G4:AJ45"/>
    </sheetView>
  </sheetViews>
  <sheetFormatPr defaultColWidth="9" defaultRowHeight="16"/>
  <cols>
    <col min="1" max="1" width="5.33203125" style="801" bestFit="1" customWidth="1"/>
    <col min="2" max="2" width="4.25" style="801" bestFit="1" customWidth="1"/>
    <col min="3" max="3" width="7" style="801" bestFit="1" customWidth="1"/>
    <col min="4" max="4" width="8.75" style="801" bestFit="1" customWidth="1"/>
    <col min="5" max="5" width="18.25" style="801" bestFit="1" customWidth="1"/>
    <col min="6" max="6" width="5.33203125" style="801" bestFit="1" customWidth="1"/>
    <col min="7" max="15" width="4.58203125" style="801" bestFit="1" customWidth="1"/>
    <col min="16" max="35" width="5.58203125" style="801" bestFit="1" customWidth="1"/>
    <col min="36" max="36" width="5.58203125" style="801" customWidth="1"/>
    <col min="37" max="37" width="5.58203125" style="801" hidden="1" customWidth="1"/>
    <col min="38" max="38" width="9" style="801" bestFit="1" customWidth="1"/>
    <col min="39" max="39" width="5.33203125" style="801" bestFit="1" customWidth="1"/>
    <col min="40" max="16384" width="9" style="801"/>
  </cols>
  <sheetData>
    <row r="1" spans="1:39">
      <c r="G1" s="802">
        <v>3</v>
      </c>
      <c r="H1" s="802">
        <v>4</v>
      </c>
      <c r="I1" s="802">
        <v>5</v>
      </c>
      <c r="J1" s="802">
        <v>6</v>
      </c>
      <c r="K1" s="802">
        <v>7</v>
      </c>
      <c r="L1" s="802">
        <v>8</v>
      </c>
      <c r="M1" s="802">
        <v>9</v>
      </c>
      <c r="N1" s="802">
        <v>10</v>
      </c>
      <c r="O1" s="802">
        <v>11</v>
      </c>
      <c r="P1" s="802">
        <v>12</v>
      </c>
      <c r="Q1" s="802">
        <v>13</v>
      </c>
      <c r="R1" s="802">
        <v>14</v>
      </c>
      <c r="S1" s="802">
        <v>15</v>
      </c>
      <c r="T1" s="802">
        <v>16</v>
      </c>
      <c r="U1" s="802">
        <v>17</v>
      </c>
      <c r="V1" s="802">
        <v>18</v>
      </c>
      <c r="W1" s="802">
        <v>19</v>
      </c>
      <c r="X1" s="802">
        <v>20</v>
      </c>
      <c r="Y1" s="802">
        <v>21</v>
      </c>
      <c r="Z1" s="802">
        <v>22</v>
      </c>
      <c r="AA1" s="802">
        <v>23</v>
      </c>
      <c r="AB1" s="802">
        <v>24</v>
      </c>
      <c r="AC1" s="802">
        <v>25</v>
      </c>
      <c r="AD1" s="802">
        <v>26</v>
      </c>
      <c r="AE1" s="802">
        <v>27</v>
      </c>
      <c r="AF1" s="802">
        <v>28</v>
      </c>
      <c r="AG1" s="802">
        <v>29</v>
      </c>
      <c r="AH1" s="802">
        <v>30</v>
      </c>
      <c r="AI1" s="802">
        <v>31</v>
      </c>
      <c r="AJ1" s="802">
        <v>32</v>
      </c>
      <c r="AK1" s="802">
        <v>33</v>
      </c>
    </row>
    <row r="2" spans="1:39" ht="26">
      <c r="B2" s="973" t="s">
        <v>522</v>
      </c>
      <c r="C2" s="973" t="s">
        <v>526</v>
      </c>
      <c r="D2" s="973" t="s">
        <v>528</v>
      </c>
      <c r="E2" s="973" t="s">
        <v>527</v>
      </c>
      <c r="F2" s="973" t="s">
        <v>531</v>
      </c>
      <c r="G2" s="803">
        <f>무선목표!B1</f>
        <v>46113</v>
      </c>
      <c r="H2" s="803">
        <f>무선목표!C1</f>
        <v>46114</v>
      </c>
      <c r="I2" s="803">
        <f>무선목표!D1</f>
        <v>46115</v>
      </c>
      <c r="J2" s="803">
        <f>무선목표!E1</f>
        <v>46116</v>
      </c>
      <c r="K2" s="803">
        <f>무선목표!F1</f>
        <v>46117</v>
      </c>
      <c r="L2" s="803">
        <f>무선목표!G1</f>
        <v>46118</v>
      </c>
      <c r="M2" s="803">
        <f>무선목표!H1</f>
        <v>46119</v>
      </c>
      <c r="N2" s="803">
        <f>무선목표!I1</f>
        <v>46120</v>
      </c>
      <c r="O2" s="803">
        <f>무선목표!J1</f>
        <v>46121</v>
      </c>
      <c r="P2" s="803">
        <f>무선목표!K1</f>
        <v>46122</v>
      </c>
      <c r="Q2" s="803">
        <f>무선목표!L1</f>
        <v>46123</v>
      </c>
      <c r="R2" s="803">
        <f>무선목표!M1</f>
        <v>46124</v>
      </c>
      <c r="S2" s="803">
        <f>무선목표!N1</f>
        <v>46125</v>
      </c>
      <c r="T2" s="803">
        <f>무선목표!O1</f>
        <v>46126</v>
      </c>
      <c r="U2" s="803">
        <f>무선목표!P1</f>
        <v>46127</v>
      </c>
      <c r="V2" s="803">
        <f>무선목표!Q1</f>
        <v>46128</v>
      </c>
      <c r="W2" s="803">
        <f>무선목표!R1</f>
        <v>46129</v>
      </c>
      <c r="X2" s="803">
        <f>무선목표!S1</f>
        <v>46130</v>
      </c>
      <c r="Y2" s="803">
        <f>무선목표!T1</f>
        <v>46131</v>
      </c>
      <c r="Z2" s="803">
        <f>무선목표!U1</f>
        <v>46132</v>
      </c>
      <c r="AA2" s="803">
        <f>무선목표!V1</f>
        <v>46133</v>
      </c>
      <c r="AB2" s="803">
        <f>무선목표!W1</f>
        <v>46134</v>
      </c>
      <c r="AC2" s="803">
        <f>무선목표!X1</f>
        <v>46135</v>
      </c>
      <c r="AD2" s="803">
        <f>무선목표!Y1</f>
        <v>46136</v>
      </c>
      <c r="AE2" s="803">
        <f>무선목표!Z1</f>
        <v>46137</v>
      </c>
      <c r="AF2" s="803">
        <f>무선목표!AA1</f>
        <v>46138</v>
      </c>
      <c r="AG2" s="803">
        <f>무선목표!AB1</f>
        <v>46139</v>
      </c>
      <c r="AH2" s="803">
        <f>무선목표!AC1</f>
        <v>46140</v>
      </c>
      <c r="AI2" s="803">
        <f>무선목표!AD1</f>
        <v>46141</v>
      </c>
      <c r="AJ2" s="803">
        <f>무선목표!AE1</f>
        <v>46142</v>
      </c>
      <c r="AK2" s="803" t="e">
        <f>무선목표!#REF!</f>
        <v>#REF!</v>
      </c>
    </row>
    <row r="3" spans="1:39" ht="26">
      <c r="B3" s="973" t="s">
        <v>522</v>
      </c>
      <c r="C3" s="973" t="s">
        <v>526</v>
      </c>
      <c r="D3" s="973" t="s">
        <v>528</v>
      </c>
      <c r="E3" s="973" t="s">
        <v>527</v>
      </c>
      <c r="F3" s="973" t="s">
        <v>531</v>
      </c>
      <c r="G3" s="804" t="str">
        <f>TEXT(G2,"aaa")</f>
        <v>수</v>
      </c>
      <c r="H3" s="804" t="str">
        <f t="shared" ref="H3:AK3" si="0">TEXT(H2,"aaa")</f>
        <v>목</v>
      </c>
      <c r="I3" s="804" t="str">
        <f t="shared" si="0"/>
        <v>금</v>
      </c>
      <c r="J3" s="804" t="str">
        <f t="shared" si="0"/>
        <v>토</v>
      </c>
      <c r="K3" s="804" t="str">
        <f t="shared" si="0"/>
        <v>일</v>
      </c>
      <c r="L3" s="804" t="str">
        <f t="shared" si="0"/>
        <v>월</v>
      </c>
      <c r="M3" s="804" t="str">
        <f t="shared" si="0"/>
        <v>화</v>
      </c>
      <c r="N3" s="804" t="str">
        <f t="shared" si="0"/>
        <v>수</v>
      </c>
      <c r="O3" s="804" t="str">
        <f t="shared" si="0"/>
        <v>목</v>
      </c>
      <c r="P3" s="804" t="str">
        <f t="shared" si="0"/>
        <v>금</v>
      </c>
      <c r="Q3" s="804" t="str">
        <f t="shared" si="0"/>
        <v>토</v>
      </c>
      <c r="R3" s="804" t="str">
        <f t="shared" si="0"/>
        <v>일</v>
      </c>
      <c r="S3" s="804" t="str">
        <f t="shared" si="0"/>
        <v>월</v>
      </c>
      <c r="T3" s="804" t="str">
        <f t="shared" si="0"/>
        <v>화</v>
      </c>
      <c r="U3" s="804" t="str">
        <f t="shared" si="0"/>
        <v>수</v>
      </c>
      <c r="V3" s="804" t="str">
        <f t="shared" si="0"/>
        <v>목</v>
      </c>
      <c r="W3" s="804" t="str">
        <f t="shared" si="0"/>
        <v>금</v>
      </c>
      <c r="X3" s="804" t="str">
        <f t="shared" si="0"/>
        <v>토</v>
      </c>
      <c r="Y3" s="804" t="str">
        <f t="shared" si="0"/>
        <v>일</v>
      </c>
      <c r="Z3" s="804" t="str">
        <f t="shared" si="0"/>
        <v>월</v>
      </c>
      <c r="AA3" s="804" t="str">
        <f t="shared" si="0"/>
        <v>화</v>
      </c>
      <c r="AB3" s="804" t="str">
        <f t="shared" si="0"/>
        <v>수</v>
      </c>
      <c r="AC3" s="804" t="str">
        <f t="shared" si="0"/>
        <v>목</v>
      </c>
      <c r="AD3" s="804" t="str">
        <f t="shared" si="0"/>
        <v>금</v>
      </c>
      <c r="AE3" s="804" t="str">
        <f t="shared" si="0"/>
        <v>토</v>
      </c>
      <c r="AF3" s="804" t="str">
        <f t="shared" si="0"/>
        <v>일</v>
      </c>
      <c r="AG3" s="804" t="str">
        <f t="shared" si="0"/>
        <v>월</v>
      </c>
      <c r="AH3" s="804" t="str">
        <f t="shared" si="0"/>
        <v>화</v>
      </c>
      <c r="AI3" s="804" t="str">
        <f t="shared" si="0"/>
        <v>수</v>
      </c>
      <c r="AJ3" s="804" t="str">
        <f t="shared" si="0"/>
        <v>목</v>
      </c>
      <c r="AK3" s="804" t="e">
        <f t="shared" si="0"/>
        <v>#REF!</v>
      </c>
      <c r="AL3" s="801" t="s">
        <v>653</v>
      </c>
      <c r="AM3" s="801" t="s">
        <v>654</v>
      </c>
    </row>
    <row r="4" spans="1:39">
      <c r="A4" s="801" t="str">
        <f>LEFT(C4,2)</f>
        <v>강북</v>
      </c>
      <c r="B4" s="805">
        <v>1</v>
      </c>
      <c r="C4" s="806" t="str">
        <f>VLOOKUP(D4,이익목표!$B$20:$H$61,7,0)</f>
        <v>강북</v>
      </c>
      <c r="D4" s="807" t="s">
        <v>370</v>
      </c>
      <c r="E4" s="808" t="s">
        <v>573</v>
      </c>
      <c r="F4" s="810">
        <f>SUM(G4:AK4)</f>
        <v>0</v>
      </c>
      <c r="G4" s="810"/>
      <c r="H4" s="810"/>
      <c r="I4" s="810"/>
      <c r="J4" s="810"/>
      <c r="K4" s="810"/>
      <c r="L4" s="810"/>
      <c r="M4" s="810"/>
      <c r="N4" s="810"/>
      <c r="O4" s="810"/>
      <c r="P4" s="810"/>
      <c r="Q4" s="810"/>
      <c r="R4" s="810"/>
      <c r="S4" s="810"/>
      <c r="T4" s="810"/>
      <c r="U4" s="810"/>
      <c r="V4" s="810"/>
      <c r="W4" s="810"/>
      <c r="X4" s="810"/>
      <c r="Y4" s="810"/>
      <c r="Z4" s="810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1" t="e">
        <f>유선목표!#REF!+유선_약갱!AL4</f>
        <v>#REF!</v>
      </c>
      <c r="AM4" s="811" t="e">
        <f>AL4-F4</f>
        <v>#REF!</v>
      </c>
    </row>
    <row r="5" spans="1:39">
      <c r="A5" s="801" t="str">
        <f t="shared" ref="A5:A45" si="1">LEFT(C5,2)</f>
        <v>강북</v>
      </c>
      <c r="B5" s="805">
        <v>2</v>
      </c>
      <c r="C5" s="806" t="str">
        <f>VLOOKUP(D5,이익목표!$B$20:$H$61,7,0)</f>
        <v>강북</v>
      </c>
      <c r="D5" s="807" t="s">
        <v>374</v>
      </c>
      <c r="E5" s="808" t="s">
        <v>574</v>
      </c>
      <c r="F5" s="810">
        <f t="shared" ref="F5:F45" si="2">SUM(G5:AK5)</f>
        <v>0</v>
      </c>
      <c r="G5" s="810"/>
      <c r="H5" s="810"/>
      <c r="I5" s="810"/>
      <c r="J5" s="810"/>
      <c r="K5" s="810"/>
      <c r="L5" s="810"/>
      <c r="M5" s="810"/>
      <c r="N5" s="810"/>
      <c r="O5" s="810"/>
      <c r="P5" s="810"/>
      <c r="Q5" s="810"/>
      <c r="R5" s="810"/>
      <c r="S5" s="810"/>
      <c r="T5" s="810"/>
      <c r="U5" s="810"/>
      <c r="V5" s="810"/>
      <c r="W5" s="810"/>
      <c r="X5" s="810"/>
      <c r="Y5" s="810"/>
      <c r="Z5" s="810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1" t="e">
        <f>유선목표!#REF!+유선_약갱!AL5</f>
        <v>#REF!</v>
      </c>
      <c r="AM5" s="811" t="e">
        <f t="shared" ref="AM5:AM45" si="3">AL5-F5</f>
        <v>#REF!</v>
      </c>
    </row>
    <row r="6" spans="1:39">
      <c r="A6" s="801" t="str">
        <f t="shared" si="1"/>
        <v>강북</v>
      </c>
      <c r="B6" s="805">
        <v>4</v>
      </c>
      <c r="C6" s="806" t="str">
        <f>VLOOKUP(D6,이익목표!$B$20:$H$61,7,0)</f>
        <v>강북</v>
      </c>
      <c r="D6" s="807" t="s">
        <v>366</v>
      </c>
      <c r="E6" s="808" t="s">
        <v>576</v>
      </c>
      <c r="F6" s="810">
        <f t="shared" si="2"/>
        <v>0</v>
      </c>
      <c r="G6" s="810"/>
      <c r="H6" s="810"/>
      <c r="I6" s="810"/>
      <c r="J6" s="810"/>
      <c r="K6" s="810"/>
      <c r="L6" s="810"/>
      <c r="M6" s="810"/>
      <c r="N6" s="810"/>
      <c r="O6" s="810"/>
      <c r="P6" s="810"/>
      <c r="Q6" s="810"/>
      <c r="R6" s="810"/>
      <c r="S6" s="810"/>
      <c r="T6" s="810"/>
      <c r="U6" s="810"/>
      <c r="V6" s="810"/>
      <c r="W6" s="810"/>
      <c r="X6" s="810"/>
      <c r="Y6" s="810"/>
      <c r="Z6" s="810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1" t="e">
        <f>유선목표!#REF!+유선_약갱!AL6</f>
        <v>#REF!</v>
      </c>
      <c r="AM6" s="811" t="e">
        <f t="shared" si="3"/>
        <v>#REF!</v>
      </c>
    </row>
    <row r="7" spans="1:39">
      <c r="A7" s="801" t="str">
        <f t="shared" si="1"/>
        <v>강북</v>
      </c>
      <c r="B7" s="805">
        <v>5</v>
      </c>
      <c r="C7" s="806" t="str">
        <f>VLOOKUP(D7,이익목표!$B$20:$H$61,7,0)</f>
        <v>강북</v>
      </c>
      <c r="D7" s="807" t="s">
        <v>377</v>
      </c>
      <c r="E7" s="808" t="s">
        <v>577</v>
      </c>
      <c r="F7" s="810">
        <f t="shared" si="2"/>
        <v>0</v>
      </c>
      <c r="G7" s="810"/>
      <c r="H7" s="810"/>
      <c r="I7" s="810"/>
      <c r="J7" s="810"/>
      <c r="K7" s="810"/>
      <c r="L7" s="810"/>
      <c r="M7" s="810"/>
      <c r="N7" s="810"/>
      <c r="O7" s="810"/>
      <c r="P7" s="810"/>
      <c r="Q7" s="810"/>
      <c r="R7" s="810"/>
      <c r="S7" s="810"/>
      <c r="T7" s="810"/>
      <c r="U7" s="810"/>
      <c r="V7" s="810"/>
      <c r="W7" s="810"/>
      <c r="X7" s="810"/>
      <c r="Y7" s="810"/>
      <c r="Z7" s="810"/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1" t="e">
        <f>유선목표!#REF!+유선_약갱!AL7</f>
        <v>#REF!</v>
      </c>
      <c r="AM7" s="811" t="e">
        <f t="shared" si="3"/>
        <v>#REF!</v>
      </c>
    </row>
    <row r="8" spans="1:39">
      <c r="A8" s="801" t="str">
        <f t="shared" si="1"/>
        <v>강북</v>
      </c>
      <c r="B8" s="805">
        <v>6</v>
      </c>
      <c r="C8" s="806" t="str">
        <f>VLOOKUP(D8,이익목표!$B$20:$H$61,7,0)</f>
        <v>강북</v>
      </c>
      <c r="D8" s="807" t="s">
        <v>381</v>
      </c>
      <c r="E8" s="808" t="s">
        <v>578</v>
      </c>
      <c r="F8" s="810">
        <f t="shared" si="2"/>
        <v>0</v>
      </c>
      <c r="G8" s="810"/>
      <c r="H8" s="810"/>
      <c r="I8" s="810"/>
      <c r="J8" s="810"/>
      <c r="K8" s="810"/>
      <c r="L8" s="810"/>
      <c r="M8" s="810"/>
      <c r="N8" s="810"/>
      <c r="O8" s="810"/>
      <c r="P8" s="810"/>
      <c r="Q8" s="810"/>
      <c r="R8" s="810"/>
      <c r="S8" s="810"/>
      <c r="T8" s="810"/>
      <c r="U8" s="810"/>
      <c r="V8" s="810"/>
      <c r="W8" s="810"/>
      <c r="X8" s="810"/>
      <c r="Y8" s="810"/>
      <c r="Z8" s="810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1" t="e">
        <f>유선목표!#REF!+유선_약갱!AL8</f>
        <v>#REF!</v>
      </c>
      <c r="AM8" s="811" t="e">
        <f t="shared" si="3"/>
        <v>#REF!</v>
      </c>
    </row>
    <row r="9" spans="1:39">
      <c r="A9" s="801" t="str">
        <f t="shared" si="1"/>
        <v>강북</v>
      </c>
      <c r="B9" s="805">
        <v>7</v>
      </c>
      <c r="C9" s="806" t="str">
        <f>VLOOKUP(D9,이익목표!$B$20:$H$61,7,0)</f>
        <v>강북</v>
      </c>
      <c r="D9" s="807" t="s">
        <v>379</v>
      </c>
      <c r="E9" s="808" t="s">
        <v>579</v>
      </c>
      <c r="F9" s="810">
        <f t="shared" si="2"/>
        <v>0</v>
      </c>
      <c r="G9" s="810"/>
      <c r="H9" s="810"/>
      <c r="I9" s="810"/>
      <c r="J9" s="810"/>
      <c r="K9" s="810"/>
      <c r="L9" s="810"/>
      <c r="M9" s="810"/>
      <c r="N9" s="810"/>
      <c r="O9" s="810"/>
      <c r="P9" s="810"/>
      <c r="Q9" s="810"/>
      <c r="R9" s="810"/>
      <c r="S9" s="810"/>
      <c r="T9" s="810"/>
      <c r="U9" s="810"/>
      <c r="V9" s="810"/>
      <c r="W9" s="810"/>
      <c r="X9" s="810"/>
      <c r="Y9" s="810"/>
      <c r="Z9" s="810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1" t="e">
        <f>유선목표!#REF!+유선_약갱!AL9</f>
        <v>#REF!</v>
      </c>
      <c r="AM9" s="811" t="e">
        <f t="shared" si="3"/>
        <v>#REF!</v>
      </c>
    </row>
    <row r="10" spans="1:39">
      <c r="A10" s="801" t="str">
        <f t="shared" si="1"/>
        <v>강원</v>
      </c>
      <c r="B10" s="805">
        <v>8.4666666666666703</v>
      </c>
      <c r="C10" s="806" t="str">
        <f>VLOOKUP(D10,이익목표!$B$20:$H$61,7,0)</f>
        <v>강원</v>
      </c>
      <c r="D10" s="807" t="s">
        <v>385</v>
      </c>
      <c r="E10" s="808" t="s">
        <v>582</v>
      </c>
      <c r="F10" s="810">
        <f t="shared" si="2"/>
        <v>0</v>
      </c>
      <c r="G10" s="810"/>
      <c r="H10" s="810"/>
      <c r="I10" s="810"/>
      <c r="J10" s="810"/>
      <c r="K10" s="810"/>
      <c r="L10" s="810"/>
      <c r="M10" s="810"/>
      <c r="N10" s="810"/>
      <c r="O10" s="810"/>
      <c r="P10" s="810"/>
      <c r="Q10" s="810"/>
      <c r="R10" s="810"/>
      <c r="S10" s="810"/>
      <c r="T10" s="810"/>
      <c r="U10" s="810"/>
      <c r="V10" s="810"/>
      <c r="W10" s="810"/>
      <c r="X10" s="810"/>
      <c r="Y10" s="810"/>
      <c r="Z10" s="810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1" t="e">
        <f>유선목표!#REF!+유선_약갱!AL10</f>
        <v>#REF!</v>
      </c>
      <c r="AM10" s="811" t="e">
        <f t="shared" si="3"/>
        <v>#REF!</v>
      </c>
    </row>
    <row r="11" spans="1:39">
      <c r="A11" s="801" t="str">
        <f t="shared" si="1"/>
        <v>강원</v>
      </c>
      <c r="B11" s="805">
        <v>9.6952380952380892</v>
      </c>
      <c r="C11" s="806" t="str">
        <f>VLOOKUP(D11,이익목표!$B$20:$H$61,7,0)</f>
        <v>강원</v>
      </c>
      <c r="D11" s="807" t="s">
        <v>383</v>
      </c>
      <c r="E11" s="808" t="s">
        <v>583</v>
      </c>
      <c r="F11" s="810">
        <f t="shared" si="2"/>
        <v>0</v>
      </c>
      <c r="G11" s="810"/>
      <c r="H11" s="810"/>
      <c r="I11" s="810"/>
      <c r="J11" s="810"/>
      <c r="K11" s="810"/>
      <c r="L11" s="810"/>
      <c r="M11" s="810"/>
      <c r="N11" s="810"/>
      <c r="O11" s="810"/>
      <c r="P11" s="810"/>
      <c r="Q11" s="810"/>
      <c r="R11" s="810"/>
      <c r="S11" s="810"/>
      <c r="T11" s="810"/>
      <c r="U11" s="810"/>
      <c r="V11" s="810"/>
      <c r="W11" s="810"/>
      <c r="X11" s="810"/>
      <c r="Y11" s="810"/>
      <c r="Z11" s="810"/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1" t="e">
        <f>유선목표!#REF!+유선_약갱!AL11</f>
        <v>#REF!</v>
      </c>
      <c r="AM11" s="811" t="e">
        <f t="shared" si="3"/>
        <v>#REF!</v>
      </c>
    </row>
    <row r="12" spans="1:39">
      <c r="A12" s="801" t="str">
        <f t="shared" si="1"/>
        <v>강원</v>
      </c>
      <c r="B12" s="805">
        <v>10.923809523809499</v>
      </c>
      <c r="C12" s="806" t="str">
        <f>VLOOKUP(D12,이익목표!$B$20:$H$61,7,0)</f>
        <v>강원</v>
      </c>
      <c r="D12" s="807" t="s">
        <v>387</v>
      </c>
      <c r="E12" s="808" t="s">
        <v>584</v>
      </c>
      <c r="F12" s="810">
        <f t="shared" si="2"/>
        <v>0</v>
      </c>
      <c r="G12" s="810"/>
      <c r="H12" s="810"/>
      <c r="I12" s="810"/>
      <c r="J12" s="810"/>
      <c r="K12" s="810"/>
      <c r="L12" s="810"/>
      <c r="M12" s="810"/>
      <c r="N12" s="810"/>
      <c r="O12" s="810"/>
      <c r="P12" s="810"/>
      <c r="Q12" s="810"/>
      <c r="R12" s="810"/>
      <c r="S12" s="810"/>
      <c r="T12" s="810"/>
      <c r="U12" s="810"/>
      <c r="V12" s="810"/>
      <c r="W12" s="810"/>
      <c r="X12" s="810"/>
      <c r="Y12" s="810"/>
      <c r="Z12" s="810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1" t="e">
        <f>유선목표!#REF!+유선_약갱!AL12</f>
        <v>#REF!</v>
      </c>
      <c r="AM12" s="811" t="e">
        <f t="shared" si="3"/>
        <v>#REF!</v>
      </c>
    </row>
    <row r="13" spans="1:39">
      <c r="A13" s="801" t="str">
        <f t="shared" si="1"/>
        <v>강남</v>
      </c>
      <c r="B13" s="805">
        <v>12.152380952381</v>
      </c>
      <c r="C13" s="806" t="str">
        <f>VLOOKUP(D13,이익목표!$B$20:$H$61,7,0)</f>
        <v>강남</v>
      </c>
      <c r="D13" s="807" t="s">
        <v>399</v>
      </c>
      <c r="E13" s="808" t="s">
        <v>589</v>
      </c>
      <c r="F13" s="810">
        <f t="shared" si="2"/>
        <v>0</v>
      </c>
      <c r="G13" s="810"/>
      <c r="H13" s="810"/>
      <c r="I13" s="810"/>
      <c r="J13" s="810"/>
      <c r="K13" s="810"/>
      <c r="L13" s="810"/>
      <c r="M13" s="810"/>
      <c r="N13" s="810"/>
      <c r="O13" s="810"/>
      <c r="P13" s="810"/>
      <c r="Q13" s="810"/>
      <c r="R13" s="810"/>
      <c r="S13" s="810"/>
      <c r="T13" s="810"/>
      <c r="U13" s="810"/>
      <c r="V13" s="810"/>
      <c r="W13" s="810"/>
      <c r="X13" s="810"/>
      <c r="Y13" s="810"/>
      <c r="Z13" s="810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1" t="e">
        <f>유선목표!#REF!+유선_약갱!AL13</f>
        <v>#REF!</v>
      </c>
      <c r="AM13" s="811" t="e">
        <f t="shared" si="3"/>
        <v>#REF!</v>
      </c>
    </row>
    <row r="14" spans="1:39">
      <c r="A14" s="801" t="str">
        <f t="shared" si="1"/>
        <v>강남</v>
      </c>
      <c r="B14" s="805">
        <v>13.380952380952399</v>
      </c>
      <c r="C14" s="806" t="str">
        <f>VLOOKUP(D14,이익목표!$B$20:$H$61,7,0)</f>
        <v>강남</v>
      </c>
      <c r="D14" s="807" t="s">
        <v>389</v>
      </c>
      <c r="E14" s="808" t="s">
        <v>590</v>
      </c>
      <c r="F14" s="810">
        <f t="shared" si="2"/>
        <v>0</v>
      </c>
      <c r="G14" s="810"/>
      <c r="H14" s="810"/>
      <c r="I14" s="810"/>
      <c r="J14" s="810"/>
      <c r="K14" s="810"/>
      <c r="L14" s="810"/>
      <c r="M14" s="810"/>
      <c r="N14" s="810"/>
      <c r="O14" s="810"/>
      <c r="P14" s="810"/>
      <c r="Q14" s="810"/>
      <c r="R14" s="810"/>
      <c r="S14" s="810"/>
      <c r="T14" s="810"/>
      <c r="U14" s="810"/>
      <c r="V14" s="810"/>
      <c r="W14" s="810"/>
      <c r="X14" s="810"/>
      <c r="Y14" s="810"/>
      <c r="Z14" s="810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1" t="e">
        <f>유선목표!#REF!+유선_약갱!AL14</f>
        <v>#REF!</v>
      </c>
      <c r="AM14" s="811" t="e">
        <f t="shared" si="3"/>
        <v>#REF!</v>
      </c>
    </row>
    <row r="15" spans="1:39">
      <c r="A15" s="801" t="str">
        <f t="shared" si="1"/>
        <v>강남</v>
      </c>
      <c r="B15" s="805">
        <v>14.6095238095238</v>
      </c>
      <c r="C15" s="806" t="str">
        <f>VLOOKUP(D15,이익목표!$B$20:$H$61,7,0)</f>
        <v>강남</v>
      </c>
      <c r="D15" s="807" t="s">
        <v>392</v>
      </c>
      <c r="E15" s="808" t="s">
        <v>591</v>
      </c>
      <c r="F15" s="810">
        <f t="shared" si="2"/>
        <v>0</v>
      </c>
      <c r="G15" s="810"/>
      <c r="H15" s="810"/>
      <c r="I15" s="810"/>
      <c r="J15" s="810"/>
      <c r="K15" s="810"/>
      <c r="L15" s="810"/>
      <c r="M15" s="810"/>
      <c r="N15" s="810"/>
      <c r="O15" s="810"/>
      <c r="P15" s="810"/>
      <c r="Q15" s="810"/>
      <c r="R15" s="810"/>
      <c r="S15" s="810"/>
      <c r="T15" s="810"/>
      <c r="U15" s="810"/>
      <c r="V15" s="810"/>
      <c r="W15" s="810"/>
      <c r="X15" s="810"/>
      <c r="Y15" s="810"/>
      <c r="Z15" s="810"/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1" t="e">
        <f>유선목표!#REF!+유선_약갱!AL15</f>
        <v>#REF!</v>
      </c>
      <c r="AM15" s="811" t="e">
        <f t="shared" si="3"/>
        <v>#REF!</v>
      </c>
    </row>
    <row r="16" spans="1:39">
      <c r="A16" s="801" t="str">
        <f t="shared" si="1"/>
        <v>강남</v>
      </c>
      <c r="B16" s="805">
        <v>15.8380952380952</v>
      </c>
      <c r="C16" s="806" t="str">
        <f>VLOOKUP(D16,이익목표!$B$20:$H$61,7,0)</f>
        <v>강남</v>
      </c>
      <c r="D16" s="807" t="s">
        <v>397</v>
      </c>
      <c r="E16" s="808" t="s">
        <v>593</v>
      </c>
      <c r="F16" s="810">
        <f t="shared" si="2"/>
        <v>0</v>
      </c>
      <c r="G16" s="810"/>
      <c r="H16" s="810"/>
      <c r="I16" s="810"/>
      <c r="J16" s="810"/>
      <c r="K16" s="810"/>
      <c r="L16" s="810"/>
      <c r="M16" s="810"/>
      <c r="N16" s="810"/>
      <c r="O16" s="810"/>
      <c r="P16" s="810"/>
      <c r="Q16" s="810"/>
      <c r="R16" s="810"/>
      <c r="S16" s="810"/>
      <c r="T16" s="810"/>
      <c r="U16" s="810"/>
      <c r="V16" s="810"/>
      <c r="W16" s="810"/>
      <c r="X16" s="810"/>
      <c r="Y16" s="810"/>
      <c r="Z16" s="810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1" t="e">
        <f>유선목표!#REF!+유선_약갱!AL16</f>
        <v>#REF!</v>
      </c>
      <c r="AM16" s="811" t="e">
        <f t="shared" si="3"/>
        <v>#REF!</v>
      </c>
    </row>
    <row r="17" spans="1:39">
      <c r="A17" s="801" t="str">
        <f t="shared" si="1"/>
        <v>강남</v>
      </c>
      <c r="B17" s="805">
        <v>17.066666666666698</v>
      </c>
      <c r="C17" s="806" t="str">
        <f>VLOOKUP(D17,이익목표!$B$20:$H$61,7,0)</f>
        <v>강남</v>
      </c>
      <c r="D17" s="807" t="s">
        <v>401</v>
      </c>
      <c r="E17" s="808" t="s">
        <v>594</v>
      </c>
      <c r="F17" s="810">
        <f t="shared" si="2"/>
        <v>0</v>
      </c>
      <c r="G17" s="810"/>
      <c r="H17" s="810"/>
      <c r="I17" s="810"/>
      <c r="J17" s="810"/>
      <c r="K17" s="810"/>
      <c r="L17" s="810"/>
      <c r="M17" s="810"/>
      <c r="N17" s="810"/>
      <c r="O17" s="810"/>
      <c r="P17" s="810"/>
      <c r="Q17" s="810"/>
      <c r="R17" s="810"/>
      <c r="S17" s="810"/>
      <c r="T17" s="810"/>
      <c r="U17" s="810"/>
      <c r="V17" s="810"/>
      <c r="W17" s="810"/>
      <c r="X17" s="810"/>
      <c r="Y17" s="810"/>
      <c r="Z17" s="810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1" t="e">
        <f>유선목표!#REF!+유선_약갱!AL17</f>
        <v>#REF!</v>
      </c>
      <c r="AM17" s="811" t="e">
        <f t="shared" si="3"/>
        <v>#REF!</v>
      </c>
    </row>
    <row r="18" spans="1:39">
      <c r="A18" s="801" t="str">
        <f t="shared" si="1"/>
        <v>강남</v>
      </c>
      <c r="B18" s="805">
        <v>18.295238095238101</v>
      </c>
      <c r="C18" s="806" t="str">
        <f>VLOOKUP(D18,이익목표!$B$20:$H$61,7,0)</f>
        <v>강남</v>
      </c>
      <c r="D18" s="807" t="s">
        <v>403</v>
      </c>
      <c r="E18" s="808" t="s">
        <v>595</v>
      </c>
      <c r="F18" s="810">
        <f t="shared" si="2"/>
        <v>0</v>
      </c>
      <c r="G18" s="810"/>
      <c r="H18" s="810"/>
      <c r="I18" s="810"/>
      <c r="J18" s="810"/>
      <c r="K18" s="810"/>
      <c r="L18" s="810"/>
      <c r="M18" s="810"/>
      <c r="N18" s="810"/>
      <c r="O18" s="810"/>
      <c r="P18" s="810"/>
      <c r="Q18" s="810"/>
      <c r="R18" s="810"/>
      <c r="S18" s="810"/>
      <c r="T18" s="810"/>
      <c r="U18" s="810"/>
      <c r="V18" s="810"/>
      <c r="W18" s="810"/>
      <c r="X18" s="810"/>
      <c r="Y18" s="810"/>
      <c r="Z18" s="810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1" t="e">
        <f>유선목표!#REF!+유선_약갱!AL18</f>
        <v>#REF!</v>
      </c>
      <c r="AM18" s="811" t="e">
        <f t="shared" si="3"/>
        <v>#REF!</v>
      </c>
    </row>
    <row r="19" spans="1:39">
      <c r="A19" s="801" t="str">
        <f t="shared" si="1"/>
        <v>강서</v>
      </c>
      <c r="B19" s="805">
        <v>19.523809523809501</v>
      </c>
      <c r="C19" s="806" t="str">
        <f>VLOOKUP(D19,이익목표!$B$20:$H$61,7,0)</f>
        <v>강서</v>
      </c>
      <c r="D19" s="807" t="s">
        <v>419</v>
      </c>
      <c r="E19" s="808" t="s">
        <v>597</v>
      </c>
      <c r="F19" s="810">
        <f t="shared" si="2"/>
        <v>0</v>
      </c>
      <c r="G19" s="810"/>
      <c r="H19" s="810"/>
      <c r="I19" s="810"/>
      <c r="J19" s="810"/>
      <c r="K19" s="810"/>
      <c r="L19" s="810"/>
      <c r="M19" s="810"/>
      <c r="N19" s="810"/>
      <c r="O19" s="810"/>
      <c r="P19" s="810"/>
      <c r="Q19" s="810"/>
      <c r="R19" s="810"/>
      <c r="S19" s="810"/>
      <c r="T19" s="810"/>
      <c r="U19" s="810"/>
      <c r="V19" s="810"/>
      <c r="W19" s="810"/>
      <c r="X19" s="810"/>
      <c r="Y19" s="810"/>
      <c r="Z19" s="810"/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1" t="e">
        <f>유선목표!#REF!+유선_약갱!AL19</f>
        <v>#REF!</v>
      </c>
      <c r="AM19" s="811" t="e">
        <f t="shared" si="3"/>
        <v>#REF!</v>
      </c>
    </row>
    <row r="20" spans="1:39">
      <c r="A20" s="801" t="str">
        <f t="shared" si="1"/>
        <v>강서</v>
      </c>
      <c r="B20" s="805">
        <v>20.752380952380999</v>
      </c>
      <c r="C20" s="806" t="str">
        <f>VLOOKUP(D20,이익목표!$B$20:$H$61,7,0)</f>
        <v>강서</v>
      </c>
      <c r="D20" s="807" t="s">
        <v>407</v>
      </c>
      <c r="E20" s="808" t="s">
        <v>599</v>
      </c>
      <c r="F20" s="810">
        <f t="shared" si="2"/>
        <v>0</v>
      </c>
      <c r="G20" s="810"/>
      <c r="H20" s="810"/>
      <c r="I20" s="810"/>
      <c r="J20" s="810"/>
      <c r="K20" s="810"/>
      <c r="L20" s="810"/>
      <c r="M20" s="810"/>
      <c r="N20" s="810"/>
      <c r="O20" s="810"/>
      <c r="P20" s="810"/>
      <c r="Q20" s="810"/>
      <c r="R20" s="810"/>
      <c r="S20" s="810"/>
      <c r="T20" s="810"/>
      <c r="U20" s="810"/>
      <c r="V20" s="810"/>
      <c r="W20" s="810"/>
      <c r="X20" s="810"/>
      <c r="Y20" s="810"/>
      <c r="Z20" s="810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1" t="e">
        <f>유선목표!#REF!+유선_약갱!AL20</f>
        <v>#REF!</v>
      </c>
      <c r="AM20" s="811" t="e">
        <f t="shared" si="3"/>
        <v>#REF!</v>
      </c>
    </row>
    <row r="21" spans="1:39">
      <c r="A21" s="801" t="str">
        <f t="shared" si="1"/>
        <v>강서</v>
      </c>
      <c r="B21" s="805">
        <v>21.980952380952399</v>
      </c>
      <c r="C21" s="806" t="str">
        <f>VLOOKUP(D21,이익목표!$B$20:$H$61,7,0)</f>
        <v>강서</v>
      </c>
      <c r="D21" s="807" t="s">
        <v>413</v>
      </c>
      <c r="E21" s="808" t="s">
        <v>600</v>
      </c>
      <c r="F21" s="810">
        <f t="shared" si="2"/>
        <v>0</v>
      </c>
      <c r="G21" s="810"/>
      <c r="H21" s="810"/>
      <c r="I21" s="810"/>
      <c r="J21" s="810"/>
      <c r="K21" s="810"/>
      <c r="L21" s="810"/>
      <c r="M21" s="810"/>
      <c r="N21" s="810"/>
      <c r="O21" s="810"/>
      <c r="P21" s="810"/>
      <c r="Q21" s="810"/>
      <c r="R21" s="810"/>
      <c r="S21" s="810"/>
      <c r="T21" s="810"/>
      <c r="U21" s="810"/>
      <c r="V21" s="810"/>
      <c r="W21" s="810"/>
      <c r="X21" s="810"/>
      <c r="Y21" s="810"/>
      <c r="Z21" s="810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1" t="e">
        <f>유선목표!#REF!+유선_약갱!AL21</f>
        <v>#REF!</v>
      </c>
      <c r="AM21" s="811" t="e">
        <f t="shared" si="3"/>
        <v>#REF!</v>
      </c>
    </row>
    <row r="22" spans="1:39">
      <c r="A22" s="801" t="str">
        <f t="shared" si="1"/>
        <v>강서</v>
      </c>
      <c r="B22" s="805">
        <v>23.209523809523802</v>
      </c>
      <c r="C22" s="806" t="str">
        <f>VLOOKUP(D22,이익목표!$B$20:$H$61,7,0)</f>
        <v>강서</v>
      </c>
      <c r="D22" s="807" t="s">
        <v>415</v>
      </c>
      <c r="E22" s="808" t="s">
        <v>601</v>
      </c>
      <c r="F22" s="810">
        <f t="shared" si="2"/>
        <v>0</v>
      </c>
      <c r="G22" s="810"/>
      <c r="H22" s="810"/>
      <c r="I22" s="810"/>
      <c r="J22" s="810"/>
      <c r="K22" s="810"/>
      <c r="L22" s="810"/>
      <c r="M22" s="810"/>
      <c r="N22" s="810"/>
      <c r="O22" s="810"/>
      <c r="P22" s="810"/>
      <c r="Q22" s="810"/>
      <c r="R22" s="810"/>
      <c r="S22" s="810"/>
      <c r="T22" s="810"/>
      <c r="U22" s="810"/>
      <c r="V22" s="810"/>
      <c r="W22" s="810"/>
      <c r="X22" s="810"/>
      <c r="Y22" s="810"/>
      <c r="Z22" s="810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1" t="e">
        <f>유선목표!#REF!+유선_약갱!AL22</f>
        <v>#REF!</v>
      </c>
      <c r="AM22" s="811" t="e">
        <f t="shared" si="3"/>
        <v>#REF!</v>
      </c>
    </row>
    <row r="23" spans="1:39">
      <c r="A23" s="801" t="str">
        <f t="shared" si="1"/>
        <v>강서</v>
      </c>
      <c r="B23" s="805">
        <v>24.438095238095201</v>
      </c>
      <c r="C23" s="806" t="str">
        <f>VLOOKUP(D23,이익목표!$B$20:$H$61,7,0)</f>
        <v>강서</v>
      </c>
      <c r="D23" s="807" t="s">
        <v>417</v>
      </c>
      <c r="E23" s="808" t="s">
        <v>602</v>
      </c>
      <c r="F23" s="810">
        <f t="shared" si="2"/>
        <v>0</v>
      </c>
      <c r="G23" s="810"/>
      <c r="H23" s="810"/>
      <c r="I23" s="810"/>
      <c r="J23" s="810"/>
      <c r="K23" s="810"/>
      <c r="L23" s="810"/>
      <c r="M23" s="810"/>
      <c r="N23" s="810"/>
      <c r="O23" s="810"/>
      <c r="P23" s="810"/>
      <c r="Q23" s="810"/>
      <c r="R23" s="810"/>
      <c r="S23" s="810"/>
      <c r="T23" s="810"/>
      <c r="U23" s="810"/>
      <c r="V23" s="810"/>
      <c r="W23" s="810"/>
      <c r="X23" s="810"/>
      <c r="Y23" s="810"/>
      <c r="Z23" s="810"/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1" t="e">
        <f>유선목표!#REF!+유선_약갱!AL23</f>
        <v>#REF!</v>
      </c>
      <c r="AM23" s="811" t="e">
        <f t="shared" si="3"/>
        <v>#REF!</v>
      </c>
    </row>
    <row r="24" spans="1:39">
      <c r="A24" s="801" t="str">
        <f t="shared" si="1"/>
        <v>강서</v>
      </c>
      <c r="B24" s="805">
        <v>25.6666666666667</v>
      </c>
      <c r="C24" s="806" t="str">
        <f>VLOOKUP(D24,이익목표!$B$20:$H$61,7,0)</f>
        <v>강서</v>
      </c>
      <c r="D24" s="807" t="s">
        <v>405</v>
      </c>
      <c r="E24" s="808" t="s">
        <v>1228</v>
      </c>
      <c r="F24" s="810">
        <f t="shared" si="2"/>
        <v>0</v>
      </c>
      <c r="G24" s="810"/>
      <c r="H24" s="810"/>
      <c r="I24" s="810"/>
      <c r="J24" s="810"/>
      <c r="K24" s="810"/>
      <c r="L24" s="810"/>
      <c r="M24" s="810"/>
      <c r="N24" s="810"/>
      <c r="O24" s="810"/>
      <c r="P24" s="810"/>
      <c r="Q24" s="810"/>
      <c r="R24" s="810"/>
      <c r="S24" s="810"/>
      <c r="T24" s="810"/>
      <c r="U24" s="810"/>
      <c r="V24" s="810"/>
      <c r="W24" s="810"/>
      <c r="X24" s="810"/>
      <c r="Y24" s="810"/>
      <c r="Z24" s="810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1" t="e">
        <f>유선목표!#REF!+유선_약갱!AL24</f>
        <v>#REF!</v>
      </c>
      <c r="AM24" s="811" t="e">
        <f t="shared" si="3"/>
        <v>#REF!</v>
      </c>
    </row>
    <row r="25" spans="1:39">
      <c r="A25" s="801" t="str">
        <f t="shared" si="1"/>
        <v>호남</v>
      </c>
      <c r="B25" s="805">
        <v>26.895238095238099</v>
      </c>
      <c r="C25" s="806" t="str">
        <f>VLOOKUP(D25,이익목표!$B$20:$H$61,7,0)</f>
        <v>호남</v>
      </c>
      <c r="D25" s="807" t="s">
        <v>480</v>
      </c>
      <c r="E25" s="808" t="s">
        <v>609</v>
      </c>
      <c r="F25" s="810">
        <f t="shared" si="2"/>
        <v>0</v>
      </c>
      <c r="G25" s="810"/>
      <c r="H25" s="810"/>
      <c r="I25" s="810"/>
      <c r="J25" s="810"/>
      <c r="K25" s="810"/>
      <c r="L25" s="810"/>
      <c r="M25" s="810"/>
      <c r="N25" s="810"/>
      <c r="O25" s="810"/>
      <c r="P25" s="810"/>
      <c r="Q25" s="810"/>
      <c r="R25" s="810"/>
      <c r="S25" s="810"/>
      <c r="T25" s="810"/>
      <c r="U25" s="810"/>
      <c r="V25" s="810"/>
      <c r="W25" s="810"/>
      <c r="X25" s="810"/>
      <c r="Y25" s="810"/>
      <c r="Z25" s="810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1" t="e">
        <f>유선목표!#REF!+유선_약갱!AL25</f>
        <v>#REF!</v>
      </c>
      <c r="AM25" s="811" t="e">
        <f t="shared" si="3"/>
        <v>#REF!</v>
      </c>
    </row>
    <row r="26" spans="1:39">
      <c r="A26" s="801" t="str">
        <f t="shared" si="1"/>
        <v>호남</v>
      </c>
      <c r="B26" s="805">
        <v>28.123809523809499</v>
      </c>
      <c r="C26" s="806" t="str">
        <f>VLOOKUP(D26,이익목표!$B$20:$H$61,7,0)</f>
        <v>호남</v>
      </c>
      <c r="D26" s="807" t="s">
        <v>473</v>
      </c>
      <c r="E26" s="808" t="s">
        <v>610</v>
      </c>
      <c r="F26" s="810">
        <f t="shared" si="2"/>
        <v>0</v>
      </c>
      <c r="G26" s="810"/>
      <c r="H26" s="810"/>
      <c r="I26" s="810"/>
      <c r="J26" s="810"/>
      <c r="K26" s="810"/>
      <c r="L26" s="810"/>
      <c r="M26" s="810"/>
      <c r="N26" s="810"/>
      <c r="O26" s="810"/>
      <c r="P26" s="810"/>
      <c r="Q26" s="810"/>
      <c r="R26" s="810"/>
      <c r="S26" s="810"/>
      <c r="T26" s="810"/>
      <c r="U26" s="810"/>
      <c r="V26" s="810"/>
      <c r="W26" s="810"/>
      <c r="X26" s="810"/>
      <c r="Y26" s="810"/>
      <c r="Z26" s="810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1" t="e">
        <f>유선목표!#REF!+유선_약갱!AL26</f>
        <v>#REF!</v>
      </c>
      <c r="AM26" s="811" t="e">
        <f t="shared" si="3"/>
        <v>#REF!</v>
      </c>
    </row>
    <row r="27" spans="1:39">
      <c r="A27" s="801" t="str">
        <f t="shared" si="1"/>
        <v>호남</v>
      </c>
      <c r="B27" s="805">
        <v>29.352380952381001</v>
      </c>
      <c r="C27" s="806" t="str">
        <f>VLOOKUP(D27,이익목표!$B$20:$H$61,7,0)</f>
        <v>호남</v>
      </c>
      <c r="D27" s="807" t="s">
        <v>471</v>
      </c>
      <c r="E27" s="808" t="s">
        <v>1229</v>
      </c>
      <c r="F27" s="810">
        <f t="shared" si="2"/>
        <v>0</v>
      </c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10"/>
      <c r="V27" s="810"/>
      <c r="W27" s="810"/>
      <c r="X27" s="810"/>
      <c r="Y27" s="810"/>
      <c r="Z27" s="810"/>
      <c r="AA27" s="810"/>
      <c r="AB27" s="810"/>
      <c r="AC27" s="810"/>
      <c r="AD27" s="810"/>
      <c r="AE27" s="810"/>
      <c r="AF27" s="810"/>
      <c r="AG27" s="810"/>
      <c r="AH27" s="810"/>
      <c r="AI27" s="810"/>
      <c r="AJ27" s="810"/>
      <c r="AK27" s="810"/>
      <c r="AL27" s="811" t="e">
        <f>유선목표!#REF!+유선_약갱!AL27</f>
        <v>#REF!</v>
      </c>
      <c r="AM27" s="811" t="e">
        <f t="shared" si="3"/>
        <v>#REF!</v>
      </c>
    </row>
    <row r="28" spans="1:39">
      <c r="A28" s="801" t="str">
        <f t="shared" si="1"/>
        <v>호남</v>
      </c>
      <c r="B28" s="805">
        <v>30.5809523809524</v>
      </c>
      <c r="C28" s="806" t="str">
        <f>VLOOKUP(D28,이익목표!$B$20:$H$61,7,0)</f>
        <v>호남</v>
      </c>
      <c r="D28" s="807" t="s">
        <v>477</v>
      </c>
      <c r="E28" s="808" t="s">
        <v>1230</v>
      </c>
      <c r="F28" s="810">
        <f t="shared" si="2"/>
        <v>0</v>
      </c>
      <c r="G28" s="810"/>
      <c r="H28" s="810"/>
      <c r="I28" s="810"/>
      <c r="J28" s="810"/>
      <c r="K28" s="810"/>
      <c r="L28" s="810"/>
      <c r="M28" s="810"/>
      <c r="N28" s="810"/>
      <c r="O28" s="810"/>
      <c r="P28" s="810"/>
      <c r="Q28" s="810"/>
      <c r="R28" s="810"/>
      <c r="S28" s="810"/>
      <c r="T28" s="810"/>
      <c r="U28" s="810"/>
      <c r="V28" s="810"/>
      <c r="W28" s="810"/>
      <c r="X28" s="810"/>
      <c r="Y28" s="810"/>
      <c r="Z28" s="810"/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1" t="e">
        <f>유선목표!#REF!+유선_약갱!AL28</f>
        <v>#REF!</v>
      </c>
      <c r="AM28" s="811" t="e">
        <f t="shared" si="3"/>
        <v>#REF!</v>
      </c>
    </row>
    <row r="29" spans="1:39">
      <c r="A29" s="801" t="str">
        <f t="shared" si="1"/>
        <v>호남</v>
      </c>
      <c r="B29" s="805">
        <v>31.8095238095238</v>
      </c>
      <c r="C29" s="806" t="str">
        <f>VLOOKUP(D29,이익목표!$B$20:$H$61,7,0)</f>
        <v>호남</v>
      </c>
      <c r="D29" s="807" t="s">
        <v>467</v>
      </c>
      <c r="E29" s="808" t="s">
        <v>614</v>
      </c>
      <c r="F29" s="810">
        <f t="shared" si="2"/>
        <v>0</v>
      </c>
      <c r="G29" s="810"/>
      <c r="H29" s="810"/>
      <c r="I29" s="810"/>
      <c r="J29" s="810"/>
      <c r="K29" s="810"/>
      <c r="L29" s="810"/>
      <c r="M29" s="810"/>
      <c r="N29" s="810"/>
      <c r="O29" s="810"/>
      <c r="P29" s="810"/>
      <c r="Q29" s="810"/>
      <c r="R29" s="810"/>
      <c r="S29" s="810"/>
      <c r="T29" s="810"/>
      <c r="U29" s="810"/>
      <c r="V29" s="810"/>
      <c r="W29" s="810"/>
      <c r="X29" s="810"/>
      <c r="Y29" s="810"/>
      <c r="Z29" s="810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1" t="e">
        <f>유선목표!#REF!+유선_약갱!AL29</f>
        <v>#REF!</v>
      </c>
      <c r="AM29" s="811" t="e">
        <f t="shared" si="3"/>
        <v>#REF!</v>
      </c>
    </row>
    <row r="30" spans="1:39">
      <c r="A30" s="801" t="str">
        <f t="shared" si="1"/>
        <v>충청</v>
      </c>
      <c r="B30" s="805">
        <v>33.038095238095202</v>
      </c>
      <c r="C30" s="806" t="str">
        <f>VLOOKUP(D30,이익목표!$B$20:$H$61,7,0)</f>
        <v>충청</v>
      </c>
      <c r="D30" s="807" t="s">
        <v>457</v>
      </c>
      <c r="E30" s="808" t="s">
        <v>616</v>
      </c>
      <c r="F30" s="810">
        <f t="shared" si="2"/>
        <v>0</v>
      </c>
      <c r="G30" s="810"/>
      <c r="H30" s="810"/>
      <c r="I30" s="810"/>
      <c r="J30" s="810"/>
      <c r="K30" s="810"/>
      <c r="L30" s="810"/>
      <c r="M30" s="810"/>
      <c r="N30" s="810"/>
      <c r="O30" s="810"/>
      <c r="P30" s="810"/>
      <c r="Q30" s="810"/>
      <c r="R30" s="810"/>
      <c r="S30" s="810"/>
      <c r="T30" s="810"/>
      <c r="U30" s="810"/>
      <c r="V30" s="810"/>
      <c r="W30" s="810"/>
      <c r="X30" s="810"/>
      <c r="Y30" s="810"/>
      <c r="Z30" s="810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1" t="e">
        <f>유선목표!#REF!+유선_약갱!AL30</f>
        <v>#REF!</v>
      </c>
      <c r="AM30" s="811" t="e">
        <f t="shared" si="3"/>
        <v>#REF!</v>
      </c>
    </row>
    <row r="31" spans="1:39">
      <c r="A31" s="801" t="str">
        <f t="shared" si="1"/>
        <v>충청</v>
      </c>
      <c r="B31" s="805">
        <v>34.266666666666701</v>
      </c>
      <c r="C31" s="806" t="str">
        <f>VLOOKUP(D31,이익목표!$B$20:$H$61,7,0)</f>
        <v>충청</v>
      </c>
      <c r="D31" s="807" t="s">
        <v>461</v>
      </c>
      <c r="E31" s="808" t="s">
        <v>617</v>
      </c>
      <c r="F31" s="810">
        <f t="shared" si="2"/>
        <v>0</v>
      </c>
      <c r="G31" s="810"/>
      <c r="H31" s="810"/>
      <c r="I31" s="810"/>
      <c r="J31" s="810"/>
      <c r="K31" s="810"/>
      <c r="L31" s="810"/>
      <c r="M31" s="810"/>
      <c r="N31" s="810"/>
      <c r="O31" s="810"/>
      <c r="P31" s="810"/>
      <c r="Q31" s="810"/>
      <c r="R31" s="810"/>
      <c r="S31" s="810"/>
      <c r="T31" s="810"/>
      <c r="U31" s="810"/>
      <c r="V31" s="810"/>
      <c r="W31" s="810"/>
      <c r="X31" s="810"/>
      <c r="Y31" s="810"/>
      <c r="Z31" s="810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1" t="e">
        <f>유선목표!#REF!+유선_약갱!AL31</f>
        <v>#REF!</v>
      </c>
      <c r="AM31" s="811" t="e">
        <f t="shared" si="3"/>
        <v>#REF!</v>
      </c>
    </row>
    <row r="32" spans="1:39">
      <c r="A32" s="801" t="str">
        <f t="shared" si="1"/>
        <v>충청</v>
      </c>
      <c r="B32" s="805">
        <v>35.495238095238101</v>
      </c>
      <c r="C32" s="806" t="str">
        <f>VLOOKUP(D32,이익목표!$B$20:$H$61,7,0)</f>
        <v>충청</v>
      </c>
      <c r="D32" s="807" t="s">
        <v>463</v>
      </c>
      <c r="E32" s="808" t="s">
        <v>1231</v>
      </c>
      <c r="F32" s="810">
        <f t="shared" si="2"/>
        <v>0</v>
      </c>
      <c r="G32" s="810"/>
      <c r="H32" s="810"/>
      <c r="I32" s="810"/>
      <c r="J32" s="810"/>
      <c r="K32" s="810"/>
      <c r="L32" s="810"/>
      <c r="M32" s="810"/>
      <c r="N32" s="810"/>
      <c r="O32" s="810"/>
      <c r="P32" s="810"/>
      <c r="Q32" s="810"/>
      <c r="R32" s="810"/>
      <c r="S32" s="810"/>
      <c r="T32" s="810"/>
      <c r="U32" s="810"/>
      <c r="V32" s="810"/>
      <c r="W32" s="810"/>
      <c r="X32" s="810"/>
      <c r="Y32" s="810"/>
      <c r="Z32" s="810"/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1" t="e">
        <f>유선목표!#REF!+유선_약갱!AL32</f>
        <v>#REF!</v>
      </c>
      <c r="AM32" s="811" t="e">
        <f t="shared" si="3"/>
        <v>#REF!</v>
      </c>
    </row>
    <row r="33" spans="1:39">
      <c r="A33" s="801" t="str">
        <f t="shared" si="1"/>
        <v>충청</v>
      </c>
      <c r="B33" s="805">
        <v>36.7238095238095</v>
      </c>
      <c r="C33" s="806" t="str">
        <f>VLOOKUP(D33,이익목표!$B$20:$H$61,7,0)</f>
        <v>충청</v>
      </c>
      <c r="D33" s="807" t="s">
        <v>459</v>
      </c>
      <c r="E33" s="808" t="s">
        <v>621</v>
      </c>
      <c r="F33" s="810">
        <f t="shared" si="2"/>
        <v>0</v>
      </c>
      <c r="G33" s="810"/>
      <c r="H33" s="810"/>
      <c r="I33" s="810"/>
      <c r="J33" s="810"/>
      <c r="K33" s="810"/>
      <c r="L33" s="810"/>
      <c r="M33" s="810"/>
      <c r="N33" s="810"/>
      <c r="O33" s="810"/>
      <c r="P33" s="810"/>
      <c r="Q33" s="810"/>
      <c r="R33" s="810"/>
      <c r="S33" s="810"/>
      <c r="T33" s="810"/>
      <c r="U33" s="810"/>
      <c r="V33" s="810"/>
      <c r="W33" s="810"/>
      <c r="X33" s="810"/>
      <c r="Y33" s="810"/>
      <c r="Z33" s="810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1" t="e">
        <f>유선목표!#REF!+유선_약갱!AL33</f>
        <v>#REF!</v>
      </c>
      <c r="AM33" s="811" t="e">
        <f t="shared" si="3"/>
        <v>#REF!</v>
      </c>
    </row>
    <row r="34" spans="1:39">
      <c r="A34" s="801" t="str">
        <f t="shared" si="1"/>
        <v>충청</v>
      </c>
      <c r="B34" s="805">
        <v>37.952380952380999</v>
      </c>
      <c r="C34" s="806" t="str">
        <f>VLOOKUP(D34,이익목표!$B$20:$H$61,7,0)</f>
        <v>충청</v>
      </c>
      <c r="D34" s="807" t="s">
        <v>455</v>
      </c>
      <c r="E34" s="808" t="s">
        <v>622</v>
      </c>
      <c r="F34" s="810">
        <f t="shared" si="2"/>
        <v>0</v>
      </c>
      <c r="G34" s="810"/>
      <c r="H34" s="810"/>
      <c r="I34" s="810"/>
      <c r="J34" s="810"/>
      <c r="K34" s="810"/>
      <c r="L34" s="810"/>
      <c r="M34" s="810"/>
      <c r="N34" s="810"/>
      <c r="O34" s="810"/>
      <c r="P34" s="810"/>
      <c r="Q34" s="810"/>
      <c r="R34" s="810"/>
      <c r="S34" s="810"/>
      <c r="T34" s="810"/>
      <c r="U34" s="810"/>
      <c r="V34" s="810"/>
      <c r="W34" s="810"/>
      <c r="X34" s="810"/>
      <c r="Y34" s="810"/>
      <c r="Z34" s="810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1" t="e">
        <f>유선목표!#REF!+유선_약갱!AL34</f>
        <v>#REF!</v>
      </c>
      <c r="AM34" s="811" t="e">
        <f t="shared" si="3"/>
        <v>#REF!</v>
      </c>
    </row>
    <row r="35" spans="1:39">
      <c r="A35" s="801" t="str">
        <f t="shared" si="1"/>
        <v>부산</v>
      </c>
      <c r="B35" s="805">
        <v>39.180952380952398</v>
      </c>
      <c r="C35" s="806" t="str">
        <f>VLOOKUP(D35,이익목표!$B$20:$H$61,7,0)</f>
        <v>부산</v>
      </c>
      <c r="D35" s="807" t="s">
        <v>425</v>
      </c>
      <c r="E35" s="808" t="s">
        <v>627</v>
      </c>
      <c r="F35" s="810">
        <f t="shared" si="2"/>
        <v>0</v>
      </c>
      <c r="G35" s="810"/>
      <c r="H35" s="810"/>
      <c r="I35" s="810"/>
      <c r="J35" s="810"/>
      <c r="K35" s="810"/>
      <c r="L35" s="810"/>
      <c r="M35" s="810"/>
      <c r="N35" s="810"/>
      <c r="O35" s="810"/>
      <c r="P35" s="810"/>
      <c r="Q35" s="810"/>
      <c r="R35" s="810"/>
      <c r="S35" s="810"/>
      <c r="T35" s="810"/>
      <c r="U35" s="810"/>
      <c r="V35" s="810"/>
      <c r="W35" s="810"/>
      <c r="X35" s="810"/>
      <c r="Y35" s="810"/>
      <c r="Z35" s="810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1" t="e">
        <f>유선목표!#REF!+유선_약갱!AL35</f>
        <v>#REF!</v>
      </c>
      <c r="AM35" s="811" t="e">
        <f t="shared" si="3"/>
        <v>#REF!</v>
      </c>
    </row>
    <row r="36" spans="1:39">
      <c r="A36" s="801" t="str">
        <f t="shared" si="1"/>
        <v>부산</v>
      </c>
      <c r="B36" s="805">
        <v>40.409523809523797</v>
      </c>
      <c r="C36" s="806" t="str">
        <f>VLOOKUP(D36,이익목표!$B$20:$H$61,7,0)</f>
        <v>부산</v>
      </c>
      <c r="D36" s="807" t="s">
        <v>429</v>
      </c>
      <c r="E36" s="808" t="s">
        <v>628</v>
      </c>
      <c r="F36" s="810">
        <f t="shared" si="2"/>
        <v>0</v>
      </c>
      <c r="G36" s="810"/>
      <c r="H36" s="810"/>
      <c r="I36" s="810"/>
      <c r="J36" s="810"/>
      <c r="K36" s="810"/>
      <c r="L36" s="810"/>
      <c r="M36" s="810"/>
      <c r="N36" s="810"/>
      <c r="O36" s="810"/>
      <c r="P36" s="810"/>
      <c r="Q36" s="810"/>
      <c r="R36" s="810"/>
      <c r="S36" s="810"/>
      <c r="T36" s="810"/>
      <c r="U36" s="810"/>
      <c r="V36" s="810"/>
      <c r="W36" s="810"/>
      <c r="X36" s="810"/>
      <c r="Y36" s="810"/>
      <c r="Z36" s="810"/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1" t="e">
        <f>유선목표!#REF!+유선_약갱!AL36</f>
        <v>#REF!</v>
      </c>
      <c r="AM36" s="811" t="e">
        <f t="shared" si="3"/>
        <v>#REF!</v>
      </c>
    </row>
    <row r="37" spans="1:39">
      <c r="A37" s="801" t="str">
        <f t="shared" si="1"/>
        <v>부산</v>
      </c>
      <c r="B37" s="805">
        <v>41.638095238095197</v>
      </c>
      <c r="C37" s="806" t="str">
        <f>VLOOKUP(D37,이익목표!$B$20:$H$61,7,0)</f>
        <v>부산</v>
      </c>
      <c r="D37" s="807" t="s">
        <v>421</v>
      </c>
      <c r="E37" s="808" t="s">
        <v>630</v>
      </c>
      <c r="F37" s="810">
        <f t="shared" si="2"/>
        <v>0</v>
      </c>
      <c r="G37" s="810"/>
      <c r="H37" s="810"/>
      <c r="I37" s="810"/>
      <c r="J37" s="810"/>
      <c r="K37" s="810"/>
      <c r="L37" s="810"/>
      <c r="M37" s="810"/>
      <c r="N37" s="810"/>
      <c r="O37" s="810"/>
      <c r="P37" s="810"/>
      <c r="Q37" s="810"/>
      <c r="R37" s="810"/>
      <c r="S37" s="810"/>
      <c r="T37" s="810"/>
      <c r="U37" s="810"/>
      <c r="V37" s="810"/>
      <c r="W37" s="810"/>
      <c r="X37" s="810"/>
      <c r="Y37" s="810"/>
      <c r="Z37" s="810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1" t="e">
        <f>유선목표!#REF!+유선_약갱!AL37</f>
        <v>#REF!</v>
      </c>
      <c r="AM37" s="811" t="e">
        <f t="shared" si="3"/>
        <v>#REF!</v>
      </c>
    </row>
    <row r="38" spans="1:39">
      <c r="A38" s="801" t="str">
        <f t="shared" si="1"/>
        <v>부산</v>
      </c>
      <c r="B38" s="805">
        <v>42.866666666666703</v>
      </c>
      <c r="C38" s="806" t="str">
        <f>VLOOKUP(D38,이익목표!$B$20:$H$61,7,0)</f>
        <v>부산</v>
      </c>
      <c r="D38" s="807" t="s">
        <v>435</v>
      </c>
      <c r="E38" s="808" t="s">
        <v>631</v>
      </c>
      <c r="F38" s="810">
        <f t="shared" si="2"/>
        <v>0</v>
      </c>
      <c r="G38" s="810"/>
      <c r="H38" s="810"/>
      <c r="I38" s="810"/>
      <c r="J38" s="810"/>
      <c r="K38" s="810"/>
      <c r="L38" s="810"/>
      <c r="M38" s="810"/>
      <c r="N38" s="810"/>
      <c r="O38" s="810"/>
      <c r="P38" s="810"/>
      <c r="Q38" s="810"/>
      <c r="R38" s="810"/>
      <c r="S38" s="810"/>
      <c r="T38" s="810"/>
      <c r="U38" s="810"/>
      <c r="V38" s="810"/>
      <c r="W38" s="810"/>
      <c r="X38" s="810"/>
      <c r="Y38" s="810"/>
      <c r="Z38" s="810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1" t="e">
        <f>유선목표!#REF!+유선_약갱!AL38</f>
        <v>#REF!</v>
      </c>
      <c r="AM38" s="811" t="e">
        <f t="shared" si="3"/>
        <v>#REF!</v>
      </c>
    </row>
    <row r="39" spans="1:39">
      <c r="A39" s="801" t="str">
        <f t="shared" si="1"/>
        <v>부산</v>
      </c>
      <c r="B39" s="805">
        <v>44.095238095238102</v>
      </c>
      <c r="C39" s="806" t="str">
        <f>VLOOKUP(D39,이익목표!$B$20:$H$61,7,0)</f>
        <v>부산</v>
      </c>
      <c r="D39" s="807" t="s">
        <v>438</v>
      </c>
      <c r="E39" s="808" t="s">
        <v>632</v>
      </c>
      <c r="F39" s="810">
        <f t="shared" si="2"/>
        <v>0</v>
      </c>
      <c r="G39" s="810"/>
      <c r="H39" s="810"/>
      <c r="I39" s="810"/>
      <c r="J39" s="810"/>
      <c r="K39" s="810"/>
      <c r="L39" s="810"/>
      <c r="M39" s="810"/>
      <c r="N39" s="810"/>
      <c r="O39" s="810"/>
      <c r="P39" s="810"/>
      <c r="Q39" s="810"/>
      <c r="R39" s="810"/>
      <c r="S39" s="810"/>
      <c r="T39" s="810"/>
      <c r="U39" s="810"/>
      <c r="V39" s="810"/>
      <c r="W39" s="810"/>
      <c r="X39" s="810"/>
      <c r="Y39" s="810"/>
      <c r="Z39" s="810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1" t="e">
        <f>유선목표!#REF!+유선_약갱!AL39</f>
        <v>#REF!</v>
      </c>
      <c r="AM39" s="811" t="e">
        <f t="shared" si="3"/>
        <v>#REF!</v>
      </c>
    </row>
    <row r="40" spans="1:39">
      <c r="A40" s="801" t="str">
        <f t="shared" si="1"/>
        <v>부산</v>
      </c>
      <c r="B40" s="805">
        <v>45.323809523809501</v>
      </c>
      <c r="C40" s="806" t="str">
        <f>VLOOKUP(D40,이익목표!$B$20:$H$61,7,0)</f>
        <v>부산</v>
      </c>
      <c r="D40" s="807" t="s">
        <v>423</v>
      </c>
      <c r="E40" s="808" t="s">
        <v>634</v>
      </c>
      <c r="F40" s="810">
        <f t="shared" si="2"/>
        <v>0</v>
      </c>
      <c r="G40" s="810"/>
      <c r="H40" s="810"/>
      <c r="I40" s="810"/>
      <c r="J40" s="810"/>
      <c r="K40" s="810"/>
      <c r="L40" s="810"/>
      <c r="M40" s="810"/>
      <c r="N40" s="810"/>
      <c r="O40" s="810"/>
      <c r="P40" s="810"/>
      <c r="Q40" s="810"/>
      <c r="R40" s="810"/>
      <c r="S40" s="810"/>
      <c r="T40" s="810"/>
      <c r="U40" s="810"/>
      <c r="V40" s="810"/>
      <c r="W40" s="810"/>
      <c r="X40" s="810"/>
      <c r="Y40" s="810"/>
      <c r="Z40" s="810"/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1" t="e">
        <f>유선목표!#REF!+유선_약갱!AL40</f>
        <v>#REF!</v>
      </c>
      <c r="AM40" s="811" t="e">
        <f t="shared" si="3"/>
        <v>#REF!</v>
      </c>
    </row>
    <row r="41" spans="1:39">
      <c r="A41" s="801" t="str">
        <f t="shared" si="1"/>
        <v>대구</v>
      </c>
      <c r="B41" s="805">
        <v>46.552380952381</v>
      </c>
      <c r="C41" s="806" t="str">
        <f>VLOOKUP(D41,이익목표!$B$20:$H$61,7,0)</f>
        <v>대구</v>
      </c>
      <c r="D41" s="807" t="s">
        <v>442</v>
      </c>
      <c r="E41" s="808" t="s">
        <v>638</v>
      </c>
      <c r="F41" s="810">
        <f t="shared" si="2"/>
        <v>0</v>
      </c>
      <c r="G41" s="810"/>
      <c r="H41" s="810"/>
      <c r="I41" s="810"/>
      <c r="J41" s="810"/>
      <c r="K41" s="810"/>
      <c r="L41" s="810"/>
      <c r="M41" s="810"/>
      <c r="N41" s="810"/>
      <c r="O41" s="810"/>
      <c r="P41" s="810"/>
      <c r="Q41" s="810"/>
      <c r="R41" s="810"/>
      <c r="S41" s="810"/>
      <c r="T41" s="810"/>
      <c r="U41" s="810"/>
      <c r="V41" s="810"/>
      <c r="W41" s="810"/>
      <c r="X41" s="810"/>
      <c r="Y41" s="810"/>
      <c r="Z41" s="810"/>
      <c r="AA41" s="810"/>
      <c r="AB41" s="810"/>
      <c r="AC41" s="810"/>
      <c r="AD41" s="810"/>
      <c r="AE41" s="810"/>
      <c r="AF41" s="810"/>
      <c r="AG41" s="810"/>
      <c r="AH41" s="810"/>
      <c r="AI41" s="810"/>
      <c r="AJ41" s="810"/>
      <c r="AK41" s="810"/>
      <c r="AL41" s="811" t="e">
        <f>유선목표!#REF!+유선_약갱!AL41</f>
        <v>#REF!</v>
      </c>
      <c r="AM41" s="811" t="e">
        <f t="shared" si="3"/>
        <v>#REF!</v>
      </c>
    </row>
    <row r="42" spans="1:39">
      <c r="A42" s="801" t="str">
        <f t="shared" si="1"/>
        <v>대구</v>
      </c>
      <c r="B42" s="805">
        <v>47.780952380952399</v>
      </c>
      <c r="C42" s="806" t="str">
        <f>VLOOKUP(D42,이익목표!$B$20:$H$61,7,0)</f>
        <v>대구</v>
      </c>
      <c r="D42" s="807" t="s">
        <v>450</v>
      </c>
      <c r="E42" s="808" t="s">
        <v>637</v>
      </c>
      <c r="F42" s="810">
        <f t="shared" si="2"/>
        <v>0</v>
      </c>
      <c r="G42" s="810"/>
      <c r="H42" s="810"/>
      <c r="I42" s="810"/>
      <c r="J42" s="810"/>
      <c r="K42" s="810"/>
      <c r="L42" s="810"/>
      <c r="M42" s="810"/>
      <c r="N42" s="810"/>
      <c r="O42" s="810"/>
      <c r="P42" s="810"/>
      <c r="Q42" s="810"/>
      <c r="R42" s="810"/>
      <c r="S42" s="810"/>
      <c r="T42" s="810"/>
      <c r="U42" s="810"/>
      <c r="V42" s="810"/>
      <c r="W42" s="810"/>
      <c r="X42" s="810"/>
      <c r="Y42" s="810"/>
      <c r="Z42" s="810"/>
      <c r="AA42" s="810"/>
      <c r="AB42" s="810"/>
      <c r="AC42" s="810"/>
      <c r="AD42" s="810"/>
      <c r="AE42" s="810"/>
      <c r="AF42" s="810"/>
      <c r="AG42" s="810"/>
      <c r="AH42" s="810"/>
      <c r="AI42" s="810"/>
      <c r="AJ42" s="810"/>
      <c r="AK42" s="810"/>
      <c r="AL42" s="811" t="e">
        <f>유선목표!#REF!+유선_약갱!AL42</f>
        <v>#REF!</v>
      </c>
      <c r="AM42" s="811" t="e">
        <f t="shared" si="3"/>
        <v>#REF!</v>
      </c>
    </row>
    <row r="43" spans="1:39">
      <c r="A43" s="801" t="str">
        <f t="shared" si="1"/>
        <v>대구</v>
      </c>
      <c r="B43" s="805">
        <v>49.009523809523799</v>
      </c>
      <c r="C43" s="806" t="str">
        <f>VLOOKUP(D43,이익목표!$B$20:$H$61,7,0)</f>
        <v>대구</v>
      </c>
      <c r="D43" s="807" t="s">
        <v>440</v>
      </c>
      <c r="E43" s="808" t="s">
        <v>639</v>
      </c>
      <c r="F43" s="810">
        <f t="shared" si="2"/>
        <v>0</v>
      </c>
      <c r="G43" s="810"/>
      <c r="H43" s="810"/>
      <c r="I43" s="810"/>
      <c r="J43" s="810"/>
      <c r="K43" s="810"/>
      <c r="L43" s="810"/>
      <c r="M43" s="810"/>
      <c r="N43" s="810"/>
      <c r="O43" s="810"/>
      <c r="P43" s="810"/>
      <c r="Q43" s="810"/>
      <c r="R43" s="810"/>
      <c r="S43" s="810"/>
      <c r="T43" s="810"/>
      <c r="U43" s="810"/>
      <c r="V43" s="810"/>
      <c r="W43" s="810"/>
      <c r="X43" s="810"/>
      <c r="Y43" s="810"/>
      <c r="Z43" s="810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1" t="e">
        <f>유선목표!#REF!+유선_약갱!AL43</f>
        <v>#REF!</v>
      </c>
      <c r="AM43" s="811" t="e">
        <f t="shared" si="3"/>
        <v>#REF!</v>
      </c>
    </row>
    <row r="44" spans="1:39">
      <c r="A44" s="801" t="str">
        <f t="shared" si="1"/>
        <v>대구</v>
      </c>
      <c r="B44" s="805">
        <v>50.238095238095198</v>
      </c>
      <c r="C44" s="806" t="str">
        <f>VLOOKUP(D44,이익목표!$B$20:$H$61,7,0)</f>
        <v>대구</v>
      </c>
      <c r="D44" s="807" t="s">
        <v>448</v>
      </c>
      <c r="E44" s="808" t="s">
        <v>640</v>
      </c>
      <c r="F44" s="810">
        <f t="shared" si="2"/>
        <v>0</v>
      </c>
      <c r="G44" s="810"/>
      <c r="H44" s="810"/>
      <c r="I44" s="810"/>
      <c r="J44" s="810"/>
      <c r="K44" s="810"/>
      <c r="L44" s="810"/>
      <c r="M44" s="810"/>
      <c r="N44" s="810"/>
      <c r="O44" s="810"/>
      <c r="P44" s="810"/>
      <c r="Q44" s="810"/>
      <c r="R44" s="810"/>
      <c r="S44" s="810"/>
      <c r="T44" s="810"/>
      <c r="U44" s="810"/>
      <c r="V44" s="810"/>
      <c r="W44" s="810"/>
      <c r="X44" s="810"/>
      <c r="Y44" s="810"/>
      <c r="Z44" s="810"/>
      <c r="AA44" s="810"/>
      <c r="AB44" s="810"/>
      <c r="AC44" s="810"/>
      <c r="AD44" s="810"/>
      <c r="AE44" s="810"/>
      <c r="AF44" s="810"/>
      <c r="AG44" s="810"/>
      <c r="AH44" s="810"/>
      <c r="AI44" s="810"/>
      <c r="AJ44" s="810"/>
      <c r="AK44" s="810"/>
      <c r="AL44" s="811" t="e">
        <f>유선목표!#REF!+유선_약갱!AL44</f>
        <v>#REF!</v>
      </c>
      <c r="AM44" s="811" t="e">
        <f t="shared" si="3"/>
        <v>#REF!</v>
      </c>
    </row>
    <row r="45" spans="1:39">
      <c r="A45" s="801" t="str">
        <f t="shared" si="1"/>
        <v>대구</v>
      </c>
      <c r="B45" s="805">
        <v>51.466666666666697</v>
      </c>
      <c r="C45" s="806" t="str">
        <f>VLOOKUP(D45,이익목표!$B$20:$H$61,7,0)</f>
        <v>대구</v>
      </c>
      <c r="D45" s="807" t="s">
        <v>444</v>
      </c>
      <c r="E45" s="808" t="s">
        <v>641</v>
      </c>
      <c r="F45" s="810">
        <f t="shared" si="2"/>
        <v>0</v>
      </c>
      <c r="G45" s="810"/>
      <c r="H45" s="810"/>
      <c r="I45" s="810"/>
      <c r="J45" s="810"/>
      <c r="K45" s="810"/>
      <c r="L45" s="810"/>
      <c r="M45" s="810"/>
      <c r="N45" s="810"/>
      <c r="O45" s="810"/>
      <c r="P45" s="810"/>
      <c r="Q45" s="810"/>
      <c r="R45" s="810"/>
      <c r="S45" s="810"/>
      <c r="T45" s="810"/>
      <c r="U45" s="810"/>
      <c r="V45" s="810"/>
      <c r="W45" s="810"/>
      <c r="X45" s="810"/>
      <c r="Y45" s="810"/>
      <c r="Z45" s="810"/>
      <c r="AA45" s="810"/>
      <c r="AB45" s="810"/>
      <c r="AC45" s="810"/>
      <c r="AD45" s="810"/>
      <c r="AE45" s="810"/>
      <c r="AF45" s="810"/>
      <c r="AG45" s="810"/>
      <c r="AH45" s="810"/>
      <c r="AI45" s="810"/>
      <c r="AJ45" s="810"/>
      <c r="AK45" s="810"/>
      <c r="AL45" s="811" t="e">
        <f>유선목표!#REF!+유선_약갱!AL45</f>
        <v>#REF!</v>
      </c>
      <c r="AM45" s="811" t="e">
        <f t="shared" si="3"/>
        <v>#REF!</v>
      </c>
    </row>
  </sheetData>
  <mergeCells count="5">
    <mergeCell ref="B2:B3"/>
    <mergeCell ref="C2:C3"/>
    <mergeCell ref="E2:E3"/>
    <mergeCell ref="D2:D3"/>
    <mergeCell ref="F2:F3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AE10"/>
  <sheetViews>
    <sheetView zoomScale="85" zoomScaleNormal="85" workbookViewId="0">
      <selection activeCell="N15" sqref="N15"/>
    </sheetView>
  </sheetViews>
  <sheetFormatPr defaultColWidth="9" defaultRowHeight="12.5"/>
  <cols>
    <col min="1" max="1" width="8.5" style="822" customWidth="1"/>
    <col min="2" max="2" width="4.75" style="822" bestFit="1" customWidth="1"/>
    <col min="3" max="10" width="5.08203125" style="822" bestFit="1" customWidth="1"/>
    <col min="11" max="11" width="5.58203125" style="822" bestFit="1" customWidth="1"/>
    <col min="12" max="12" width="5.25" style="822" bestFit="1" customWidth="1"/>
    <col min="13" max="20" width="5.58203125" style="822" bestFit="1" customWidth="1"/>
    <col min="21" max="21" width="6" style="822" bestFit="1" customWidth="1"/>
    <col min="22" max="22" width="5.58203125" style="822" bestFit="1" customWidth="1"/>
    <col min="23" max="29" width="6" style="822" bestFit="1" customWidth="1"/>
    <col min="30" max="31" width="6" style="822" customWidth="1"/>
    <col min="32" max="16384" width="9" style="822"/>
  </cols>
  <sheetData>
    <row r="1" spans="1:31">
      <c r="A1" s="856" t="s">
        <v>663</v>
      </c>
      <c r="B1" s="823">
        <v>46113</v>
      </c>
      <c r="C1" s="823">
        <v>46114</v>
      </c>
      <c r="D1" s="823">
        <v>46115</v>
      </c>
      <c r="E1" s="823">
        <v>46116</v>
      </c>
      <c r="F1" s="823">
        <v>46117</v>
      </c>
      <c r="G1" s="823">
        <v>46118</v>
      </c>
      <c r="H1" s="823">
        <v>46119</v>
      </c>
      <c r="I1" s="823">
        <v>46120</v>
      </c>
      <c r="J1" s="823">
        <v>46121</v>
      </c>
      <c r="K1" s="823">
        <v>46122</v>
      </c>
      <c r="L1" s="823">
        <v>46123</v>
      </c>
      <c r="M1" s="823">
        <v>46124</v>
      </c>
      <c r="N1" s="823">
        <v>46125</v>
      </c>
      <c r="O1" s="823">
        <v>46126</v>
      </c>
      <c r="P1" s="823">
        <v>46127</v>
      </c>
      <c r="Q1" s="823">
        <v>46128</v>
      </c>
      <c r="R1" s="823">
        <v>46129</v>
      </c>
      <c r="S1" s="823">
        <v>46130</v>
      </c>
      <c r="T1" s="823">
        <v>46131</v>
      </c>
      <c r="U1" s="823">
        <v>46132</v>
      </c>
      <c r="V1" s="823">
        <v>46133</v>
      </c>
      <c r="W1" s="823">
        <v>46134</v>
      </c>
      <c r="X1" s="823">
        <v>46135</v>
      </c>
      <c r="Y1" s="823">
        <v>46136</v>
      </c>
      <c r="Z1" s="823">
        <v>46137</v>
      </c>
      <c r="AA1" s="823">
        <v>46138</v>
      </c>
      <c r="AB1" s="823">
        <v>46139</v>
      </c>
      <c r="AC1" s="823">
        <v>46140</v>
      </c>
      <c r="AD1" s="823">
        <v>46141</v>
      </c>
      <c r="AE1" s="823">
        <v>46142</v>
      </c>
    </row>
    <row r="2" spans="1:31">
      <c r="A2" s="824" t="s">
        <v>371</v>
      </c>
      <c r="B2" s="825">
        <v>4</v>
      </c>
      <c r="C2" s="825">
        <v>4</v>
      </c>
      <c r="D2" s="825">
        <v>4</v>
      </c>
      <c r="E2" s="825">
        <v>6</v>
      </c>
      <c r="F2" s="825">
        <v>0</v>
      </c>
      <c r="G2" s="825">
        <v>6</v>
      </c>
      <c r="H2" s="825">
        <v>4</v>
      </c>
      <c r="I2" s="825">
        <v>4</v>
      </c>
      <c r="J2" s="825">
        <v>4</v>
      </c>
      <c r="K2" s="825">
        <v>4</v>
      </c>
      <c r="L2" s="825">
        <v>6</v>
      </c>
      <c r="M2" s="825">
        <v>0</v>
      </c>
      <c r="N2" s="825">
        <v>6</v>
      </c>
      <c r="O2" s="825">
        <v>4</v>
      </c>
      <c r="P2" s="825">
        <v>4</v>
      </c>
      <c r="Q2" s="825">
        <v>4</v>
      </c>
      <c r="R2" s="825">
        <v>4</v>
      </c>
      <c r="S2" s="825">
        <v>6</v>
      </c>
      <c r="T2" s="825">
        <v>0</v>
      </c>
      <c r="U2" s="825">
        <v>6</v>
      </c>
      <c r="V2" s="825">
        <v>4</v>
      </c>
      <c r="W2" s="825">
        <v>4</v>
      </c>
      <c r="X2" s="825">
        <v>4</v>
      </c>
      <c r="Y2" s="825">
        <v>4</v>
      </c>
      <c r="Z2" s="825">
        <v>6</v>
      </c>
      <c r="AA2" s="825">
        <v>0</v>
      </c>
      <c r="AB2" s="825">
        <v>7</v>
      </c>
      <c r="AC2" s="825">
        <v>5</v>
      </c>
      <c r="AD2" s="825">
        <v>5</v>
      </c>
      <c r="AE2" s="825">
        <v>5</v>
      </c>
    </row>
    <row r="3" spans="1:31">
      <c r="A3" s="824" t="s">
        <v>375</v>
      </c>
      <c r="B3" s="825">
        <v>4</v>
      </c>
      <c r="C3" s="825">
        <v>4</v>
      </c>
      <c r="D3" s="825">
        <v>4</v>
      </c>
      <c r="E3" s="825">
        <v>5</v>
      </c>
      <c r="F3" s="825">
        <v>0</v>
      </c>
      <c r="G3" s="825">
        <v>5</v>
      </c>
      <c r="H3" s="825">
        <v>4</v>
      </c>
      <c r="I3" s="825">
        <v>4</v>
      </c>
      <c r="J3" s="825">
        <v>4</v>
      </c>
      <c r="K3" s="825">
        <v>4</v>
      </c>
      <c r="L3" s="825">
        <v>5</v>
      </c>
      <c r="M3" s="825">
        <v>0</v>
      </c>
      <c r="N3" s="825">
        <v>5</v>
      </c>
      <c r="O3" s="825">
        <v>4</v>
      </c>
      <c r="P3" s="825">
        <v>4</v>
      </c>
      <c r="Q3" s="825">
        <v>4</v>
      </c>
      <c r="R3" s="825">
        <v>4</v>
      </c>
      <c r="S3" s="825">
        <v>5</v>
      </c>
      <c r="T3" s="825">
        <v>0</v>
      </c>
      <c r="U3" s="825">
        <v>5</v>
      </c>
      <c r="V3" s="825">
        <v>3</v>
      </c>
      <c r="W3" s="825">
        <v>3</v>
      </c>
      <c r="X3" s="825">
        <v>3</v>
      </c>
      <c r="Y3" s="825">
        <v>3</v>
      </c>
      <c r="Z3" s="825">
        <v>4</v>
      </c>
      <c r="AA3" s="825">
        <v>0</v>
      </c>
      <c r="AB3" s="825">
        <v>4</v>
      </c>
      <c r="AC3" s="825">
        <v>3</v>
      </c>
      <c r="AD3" s="825">
        <v>3</v>
      </c>
      <c r="AE3" s="825">
        <v>3</v>
      </c>
    </row>
    <row r="4" spans="1:31">
      <c r="A4" s="824" t="s">
        <v>367</v>
      </c>
      <c r="B4" s="825">
        <v>4</v>
      </c>
      <c r="C4" s="825">
        <v>4</v>
      </c>
      <c r="D4" s="825">
        <v>4</v>
      </c>
      <c r="E4" s="825">
        <v>5</v>
      </c>
      <c r="F4" s="825">
        <v>0</v>
      </c>
      <c r="G4" s="825">
        <v>5</v>
      </c>
      <c r="H4" s="825">
        <v>4</v>
      </c>
      <c r="I4" s="825">
        <v>4</v>
      </c>
      <c r="J4" s="825">
        <v>4</v>
      </c>
      <c r="K4" s="825">
        <v>4</v>
      </c>
      <c r="L4" s="825">
        <v>5</v>
      </c>
      <c r="M4" s="825">
        <v>0</v>
      </c>
      <c r="N4" s="825">
        <v>5</v>
      </c>
      <c r="O4" s="825">
        <v>4</v>
      </c>
      <c r="P4" s="825">
        <v>4</v>
      </c>
      <c r="Q4" s="825">
        <v>4</v>
      </c>
      <c r="R4" s="825">
        <v>4</v>
      </c>
      <c r="S4" s="825">
        <v>5</v>
      </c>
      <c r="T4" s="825">
        <v>0</v>
      </c>
      <c r="U4" s="825">
        <v>5</v>
      </c>
      <c r="V4" s="825">
        <v>4</v>
      </c>
      <c r="W4" s="825">
        <v>4</v>
      </c>
      <c r="X4" s="825">
        <v>4</v>
      </c>
      <c r="Y4" s="825">
        <v>3</v>
      </c>
      <c r="Z4" s="825">
        <v>4</v>
      </c>
      <c r="AA4" s="825">
        <v>0</v>
      </c>
      <c r="AB4" s="825">
        <v>5</v>
      </c>
      <c r="AC4" s="825">
        <v>3</v>
      </c>
      <c r="AD4" s="825">
        <v>3</v>
      </c>
      <c r="AE4" s="825">
        <v>3</v>
      </c>
    </row>
    <row r="5" spans="1:31">
      <c r="A5" s="824" t="s">
        <v>378</v>
      </c>
      <c r="B5" s="825">
        <v>4</v>
      </c>
      <c r="C5" s="825">
        <v>4</v>
      </c>
      <c r="D5" s="825">
        <v>4</v>
      </c>
      <c r="E5" s="825">
        <v>5</v>
      </c>
      <c r="F5" s="825">
        <v>0</v>
      </c>
      <c r="G5" s="825">
        <v>6</v>
      </c>
      <c r="H5" s="825">
        <v>4</v>
      </c>
      <c r="I5" s="825">
        <v>4</v>
      </c>
      <c r="J5" s="825">
        <v>4</v>
      </c>
      <c r="K5" s="825">
        <v>4</v>
      </c>
      <c r="L5" s="825">
        <v>5</v>
      </c>
      <c r="M5" s="825">
        <v>0</v>
      </c>
      <c r="N5" s="825">
        <v>6</v>
      </c>
      <c r="O5" s="825">
        <v>4</v>
      </c>
      <c r="P5" s="825">
        <v>4</v>
      </c>
      <c r="Q5" s="825">
        <v>4</v>
      </c>
      <c r="R5" s="825">
        <v>4</v>
      </c>
      <c r="S5" s="825">
        <v>5</v>
      </c>
      <c r="T5" s="825">
        <v>0</v>
      </c>
      <c r="U5" s="825">
        <v>6</v>
      </c>
      <c r="V5" s="825">
        <v>4</v>
      </c>
      <c r="W5" s="825">
        <v>4</v>
      </c>
      <c r="X5" s="825">
        <v>4</v>
      </c>
      <c r="Y5" s="825">
        <v>4</v>
      </c>
      <c r="Z5" s="825">
        <v>5</v>
      </c>
      <c r="AA5" s="825">
        <v>0</v>
      </c>
      <c r="AB5" s="825">
        <v>6</v>
      </c>
      <c r="AC5" s="825">
        <v>4</v>
      </c>
      <c r="AD5" s="825">
        <v>3</v>
      </c>
      <c r="AE5" s="825">
        <v>3</v>
      </c>
    </row>
    <row r="6" spans="1:31">
      <c r="A6" s="824" t="s">
        <v>382</v>
      </c>
      <c r="B6" s="825">
        <v>5</v>
      </c>
      <c r="C6" s="825">
        <v>5</v>
      </c>
      <c r="D6" s="825">
        <v>5</v>
      </c>
      <c r="E6" s="825">
        <v>6</v>
      </c>
      <c r="F6" s="825">
        <v>0</v>
      </c>
      <c r="G6" s="825">
        <v>7</v>
      </c>
      <c r="H6" s="825">
        <v>5</v>
      </c>
      <c r="I6" s="825">
        <v>5</v>
      </c>
      <c r="J6" s="825">
        <v>5</v>
      </c>
      <c r="K6" s="825">
        <v>5</v>
      </c>
      <c r="L6" s="825">
        <v>6</v>
      </c>
      <c r="M6" s="825">
        <v>0</v>
      </c>
      <c r="N6" s="825">
        <v>7</v>
      </c>
      <c r="O6" s="825">
        <v>5</v>
      </c>
      <c r="P6" s="825">
        <v>5</v>
      </c>
      <c r="Q6" s="825">
        <v>5</v>
      </c>
      <c r="R6" s="825">
        <v>5</v>
      </c>
      <c r="S6" s="825">
        <v>6</v>
      </c>
      <c r="T6" s="825">
        <v>0</v>
      </c>
      <c r="U6" s="825">
        <v>7</v>
      </c>
      <c r="V6" s="825">
        <v>5</v>
      </c>
      <c r="W6" s="825">
        <v>5</v>
      </c>
      <c r="X6" s="825">
        <v>5</v>
      </c>
      <c r="Y6" s="825">
        <v>5</v>
      </c>
      <c r="Z6" s="825">
        <v>6</v>
      </c>
      <c r="AA6" s="825">
        <v>0</v>
      </c>
      <c r="AB6" s="825">
        <v>7</v>
      </c>
      <c r="AC6" s="825">
        <v>4</v>
      </c>
      <c r="AD6" s="825">
        <v>4</v>
      </c>
      <c r="AE6" s="825">
        <v>4</v>
      </c>
    </row>
    <row r="7" spans="1:31">
      <c r="A7" s="824" t="s">
        <v>380</v>
      </c>
      <c r="B7" s="825">
        <v>4</v>
      </c>
      <c r="C7" s="825">
        <v>4</v>
      </c>
      <c r="D7" s="825">
        <v>4</v>
      </c>
      <c r="E7" s="825">
        <v>5</v>
      </c>
      <c r="F7" s="825">
        <v>0</v>
      </c>
      <c r="G7" s="825">
        <v>6</v>
      </c>
      <c r="H7" s="825">
        <v>4</v>
      </c>
      <c r="I7" s="825">
        <v>4</v>
      </c>
      <c r="J7" s="825">
        <v>4</v>
      </c>
      <c r="K7" s="825">
        <v>4</v>
      </c>
      <c r="L7" s="825">
        <v>5</v>
      </c>
      <c r="M7" s="825">
        <v>0</v>
      </c>
      <c r="N7" s="825">
        <v>6</v>
      </c>
      <c r="O7" s="825">
        <v>4</v>
      </c>
      <c r="P7" s="825">
        <v>4</v>
      </c>
      <c r="Q7" s="825">
        <v>4</v>
      </c>
      <c r="R7" s="825">
        <v>4</v>
      </c>
      <c r="S7" s="825">
        <v>5</v>
      </c>
      <c r="T7" s="825">
        <v>0</v>
      </c>
      <c r="U7" s="825">
        <v>6</v>
      </c>
      <c r="V7" s="825">
        <v>4</v>
      </c>
      <c r="W7" s="825">
        <v>3</v>
      </c>
      <c r="X7" s="825">
        <v>3</v>
      </c>
      <c r="Y7" s="825">
        <v>3</v>
      </c>
      <c r="Z7" s="825">
        <v>4</v>
      </c>
      <c r="AA7" s="825">
        <v>0</v>
      </c>
      <c r="AB7" s="825">
        <v>5</v>
      </c>
      <c r="AC7" s="825">
        <v>3</v>
      </c>
      <c r="AD7" s="825">
        <v>3</v>
      </c>
      <c r="AE7" s="825">
        <v>3</v>
      </c>
    </row>
    <row r="8" spans="1:31">
      <c r="A8" s="824" t="s">
        <v>386</v>
      </c>
      <c r="B8" s="825">
        <v>3</v>
      </c>
      <c r="C8" s="825">
        <v>3</v>
      </c>
      <c r="D8" s="825">
        <v>3</v>
      </c>
      <c r="E8" s="825">
        <v>5</v>
      </c>
      <c r="F8" s="825">
        <v>0</v>
      </c>
      <c r="G8" s="825">
        <v>5</v>
      </c>
      <c r="H8" s="825">
        <v>3</v>
      </c>
      <c r="I8" s="825">
        <v>3</v>
      </c>
      <c r="J8" s="825">
        <v>3</v>
      </c>
      <c r="K8" s="825">
        <v>3</v>
      </c>
      <c r="L8" s="825">
        <v>5</v>
      </c>
      <c r="M8" s="825">
        <v>0</v>
      </c>
      <c r="N8" s="825">
        <v>5</v>
      </c>
      <c r="O8" s="825">
        <v>3</v>
      </c>
      <c r="P8" s="825">
        <v>3</v>
      </c>
      <c r="Q8" s="825">
        <v>3</v>
      </c>
      <c r="R8" s="825">
        <v>3</v>
      </c>
      <c r="S8" s="825">
        <v>5</v>
      </c>
      <c r="T8" s="825">
        <v>0</v>
      </c>
      <c r="U8" s="825">
        <v>5</v>
      </c>
      <c r="V8" s="825">
        <v>3</v>
      </c>
      <c r="W8" s="825">
        <v>3</v>
      </c>
      <c r="X8" s="825">
        <v>3</v>
      </c>
      <c r="Y8" s="825">
        <v>3</v>
      </c>
      <c r="Z8" s="825">
        <v>5</v>
      </c>
      <c r="AA8" s="825">
        <v>0</v>
      </c>
      <c r="AB8" s="825">
        <v>6</v>
      </c>
      <c r="AC8" s="825">
        <v>5</v>
      </c>
      <c r="AD8" s="825">
        <v>5</v>
      </c>
      <c r="AE8" s="825">
        <v>5</v>
      </c>
    </row>
    <row r="9" spans="1:31">
      <c r="A9" s="824" t="s">
        <v>384</v>
      </c>
      <c r="B9" s="825">
        <v>3</v>
      </c>
      <c r="C9" s="825">
        <v>3</v>
      </c>
      <c r="D9" s="825">
        <v>3</v>
      </c>
      <c r="E9" s="825">
        <v>3</v>
      </c>
      <c r="F9" s="825">
        <v>0</v>
      </c>
      <c r="G9" s="825">
        <v>4</v>
      </c>
      <c r="H9" s="825">
        <v>3</v>
      </c>
      <c r="I9" s="825">
        <v>3</v>
      </c>
      <c r="J9" s="825">
        <v>3</v>
      </c>
      <c r="K9" s="825">
        <v>3</v>
      </c>
      <c r="L9" s="825">
        <v>3</v>
      </c>
      <c r="M9" s="825">
        <v>0</v>
      </c>
      <c r="N9" s="825">
        <v>4</v>
      </c>
      <c r="O9" s="825">
        <v>3</v>
      </c>
      <c r="P9" s="825">
        <v>3</v>
      </c>
      <c r="Q9" s="825">
        <v>3</v>
      </c>
      <c r="R9" s="825">
        <v>3</v>
      </c>
      <c r="S9" s="825">
        <v>3</v>
      </c>
      <c r="T9" s="825">
        <v>0</v>
      </c>
      <c r="U9" s="825">
        <v>4</v>
      </c>
      <c r="V9" s="825">
        <v>3</v>
      </c>
      <c r="W9" s="825">
        <v>3</v>
      </c>
      <c r="X9" s="825">
        <v>3</v>
      </c>
      <c r="Y9" s="825">
        <v>2</v>
      </c>
      <c r="Z9" s="825">
        <v>2</v>
      </c>
      <c r="AA9" s="825">
        <v>0</v>
      </c>
      <c r="AB9" s="825">
        <v>3</v>
      </c>
      <c r="AC9" s="825">
        <v>2</v>
      </c>
      <c r="AD9" s="825">
        <v>2</v>
      </c>
      <c r="AE9" s="825">
        <v>2</v>
      </c>
    </row>
    <row r="10" spans="1:31">
      <c r="A10" s="824" t="s">
        <v>388</v>
      </c>
      <c r="B10" s="825">
        <v>3</v>
      </c>
      <c r="C10" s="825">
        <v>3</v>
      </c>
      <c r="D10" s="825">
        <v>3</v>
      </c>
      <c r="E10" s="825">
        <v>5</v>
      </c>
      <c r="F10" s="825">
        <v>0</v>
      </c>
      <c r="G10" s="825">
        <v>5</v>
      </c>
      <c r="H10" s="825">
        <v>3</v>
      </c>
      <c r="I10" s="825">
        <v>3</v>
      </c>
      <c r="J10" s="825">
        <v>3</v>
      </c>
      <c r="K10" s="825">
        <v>3</v>
      </c>
      <c r="L10" s="825">
        <v>5</v>
      </c>
      <c r="M10" s="825">
        <v>0</v>
      </c>
      <c r="N10" s="825">
        <v>5</v>
      </c>
      <c r="O10" s="825">
        <v>3</v>
      </c>
      <c r="P10" s="825">
        <v>3</v>
      </c>
      <c r="Q10" s="825">
        <v>3</v>
      </c>
      <c r="R10" s="825">
        <v>3</v>
      </c>
      <c r="S10" s="825">
        <v>5</v>
      </c>
      <c r="T10" s="825">
        <v>0</v>
      </c>
      <c r="U10" s="825">
        <v>5</v>
      </c>
      <c r="V10" s="825">
        <v>3</v>
      </c>
      <c r="W10" s="825">
        <v>3</v>
      </c>
      <c r="X10" s="825">
        <v>3</v>
      </c>
      <c r="Y10" s="825">
        <v>3</v>
      </c>
      <c r="Z10" s="825">
        <v>6</v>
      </c>
      <c r="AA10" s="825">
        <v>0</v>
      </c>
      <c r="AB10" s="825">
        <v>6</v>
      </c>
      <c r="AC10" s="825">
        <v>5</v>
      </c>
      <c r="AD10" s="825">
        <v>5</v>
      </c>
      <c r="AE10" s="825">
        <v>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AM45"/>
  <sheetViews>
    <sheetView zoomScale="70" zoomScaleNormal="70" workbookViewId="0">
      <selection activeCell="G4" sqref="G4:AJ45"/>
    </sheetView>
  </sheetViews>
  <sheetFormatPr defaultColWidth="9" defaultRowHeight="16"/>
  <cols>
    <col min="1" max="1" width="5.75" style="801" bestFit="1" customWidth="1"/>
    <col min="2" max="2" width="5.08203125" style="801" bestFit="1" customWidth="1"/>
    <col min="3" max="3" width="8.75" style="801" bestFit="1" customWidth="1"/>
    <col min="4" max="4" width="11.25" style="801" bestFit="1" customWidth="1"/>
    <col min="5" max="5" width="21" style="801" bestFit="1" customWidth="1"/>
    <col min="6" max="6" width="7.58203125" style="801" bestFit="1" customWidth="1"/>
    <col min="7" max="15" width="5.75" style="801" bestFit="1" customWidth="1"/>
    <col min="16" max="35" width="7" style="801" bestFit="1" customWidth="1"/>
    <col min="36" max="36" width="7" style="801" customWidth="1"/>
    <col min="37" max="37" width="7" style="801" hidden="1" customWidth="1"/>
    <col min="38" max="38" width="10.08203125" style="801" bestFit="1" customWidth="1"/>
    <col min="39" max="39" width="7.33203125" style="801" bestFit="1" customWidth="1"/>
    <col min="40" max="16384" width="9" style="801"/>
  </cols>
  <sheetData>
    <row r="1" spans="1:39">
      <c r="G1" s="802">
        <v>3</v>
      </c>
      <c r="H1" s="802">
        <v>4</v>
      </c>
      <c r="I1" s="802">
        <v>5</v>
      </c>
      <c r="J1" s="802">
        <v>6</v>
      </c>
      <c r="K1" s="802">
        <v>7</v>
      </c>
      <c r="L1" s="802">
        <v>8</v>
      </c>
      <c r="M1" s="802">
        <v>9</v>
      </c>
      <c r="N1" s="802">
        <v>10</v>
      </c>
      <c r="O1" s="802">
        <v>11</v>
      </c>
      <c r="P1" s="802">
        <v>12</v>
      </c>
      <c r="Q1" s="802">
        <v>13</v>
      </c>
      <c r="R1" s="802">
        <v>14</v>
      </c>
      <c r="S1" s="802">
        <v>15</v>
      </c>
      <c r="T1" s="802">
        <v>16</v>
      </c>
      <c r="U1" s="802">
        <v>17</v>
      </c>
      <c r="V1" s="802">
        <v>18</v>
      </c>
      <c r="W1" s="802">
        <v>19</v>
      </c>
      <c r="X1" s="802">
        <v>20</v>
      </c>
      <c r="Y1" s="802">
        <v>21</v>
      </c>
      <c r="Z1" s="802">
        <v>22</v>
      </c>
      <c r="AA1" s="802">
        <v>23</v>
      </c>
      <c r="AB1" s="802">
        <v>24</v>
      </c>
      <c r="AC1" s="802">
        <v>25</v>
      </c>
      <c r="AD1" s="802">
        <v>26</v>
      </c>
      <c r="AE1" s="802">
        <v>27</v>
      </c>
      <c r="AF1" s="802">
        <v>28</v>
      </c>
      <c r="AG1" s="802">
        <v>29</v>
      </c>
      <c r="AH1" s="802">
        <v>30</v>
      </c>
      <c r="AI1" s="802">
        <v>31</v>
      </c>
      <c r="AJ1" s="802">
        <v>32</v>
      </c>
      <c r="AK1" s="802">
        <v>33</v>
      </c>
    </row>
    <row r="2" spans="1:39" ht="26">
      <c r="B2" s="973" t="s">
        <v>522</v>
      </c>
      <c r="C2" s="973" t="s">
        <v>526</v>
      </c>
      <c r="D2" s="973" t="s">
        <v>528</v>
      </c>
      <c r="E2" s="973" t="s">
        <v>527</v>
      </c>
      <c r="F2" s="973" t="s">
        <v>531</v>
      </c>
      <c r="G2" s="803">
        <f>무선목표!B1</f>
        <v>46113</v>
      </c>
      <c r="H2" s="803">
        <f>무선목표!C1</f>
        <v>46114</v>
      </c>
      <c r="I2" s="803">
        <f>무선목표!D1</f>
        <v>46115</v>
      </c>
      <c r="J2" s="803">
        <f>무선목표!E1</f>
        <v>46116</v>
      </c>
      <c r="K2" s="803">
        <f>무선목표!F1</f>
        <v>46117</v>
      </c>
      <c r="L2" s="803">
        <f>무선목표!G1</f>
        <v>46118</v>
      </c>
      <c r="M2" s="803">
        <f>무선목표!H1</f>
        <v>46119</v>
      </c>
      <c r="N2" s="803">
        <f>무선목표!I1</f>
        <v>46120</v>
      </c>
      <c r="O2" s="803">
        <f>무선목표!J1</f>
        <v>46121</v>
      </c>
      <c r="P2" s="803">
        <f>무선목표!K1</f>
        <v>46122</v>
      </c>
      <c r="Q2" s="803">
        <f>무선목표!L1</f>
        <v>46123</v>
      </c>
      <c r="R2" s="803">
        <f>무선목표!M1</f>
        <v>46124</v>
      </c>
      <c r="S2" s="803">
        <f>무선목표!N1</f>
        <v>46125</v>
      </c>
      <c r="T2" s="803">
        <f>무선목표!O1</f>
        <v>46126</v>
      </c>
      <c r="U2" s="803">
        <f>무선목표!P1</f>
        <v>46127</v>
      </c>
      <c r="V2" s="803">
        <f>무선목표!Q1</f>
        <v>46128</v>
      </c>
      <c r="W2" s="803">
        <f>무선목표!R1</f>
        <v>46129</v>
      </c>
      <c r="X2" s="803">
        <f>무선목표!S1</f>
        <v>46130</v>
      </c>
      <c r="Y2" s="803">
        <f>무선목표!T1</f>
        <v>46131</v>
      </c>
      <c r="Z2" s="803">
        <f>무선목표!U1</f>
        <v>46132</v>
      </c>
      <c r="AA2" s="803">
        <f>무선목표!V1</f>
        <v>46133</v>
      </c>
      <c r="AB2" s="803">
        <f>무선목표!W1</f>
        <v>46134</v>
      </c>
      <c r="AC2" s="803">
        <f>무선목표!X1</f>
        <v>46135</v>
      </c>
      <c r="AD2" s="803">
        <f>무선목표!Y1</f>
        <v>46136</v>
      </c>
      <c r="AE2" s="803">
        <f>무선목표!Z1</f>
        <v>46137</v>
      </c>
      <c r="AF2" s="803">
        <f>무선목표!AA1</f>
        <v>46138</v>
      </c>
      <c r="AG2" s="803">
        <f>무선목표!AB1</f>
        <v>46139</v>
      </c>
      <c r="AH2" s="803">
        <f>무선목표!AC1</f>
        <v>46140</v>
      </c>
      <c r="AI2" s="803">
        <f>무선목표!AD1</f>
        <v>46141</v>
      </c>
      <c r="AJ2" s="803">
        <f>무선목표!AE1</f>
        <v>46142</v>
      </c>
      <c r="AK2" s="803" t="e">
        <f>무선목표!#REF!</f>
        <v>#REF!</v>
      </c>
    </row>
    <row r="3" spans="1:39" ht="26">
      <c r="B3" s="973" t="s">
        <v>522</v>
      </c>
      <c r="C3" s="973" t="s">
        <v>526</v>
      </c>
      <c r="D3" s="973" t="s">
        <v>528</v>
      </c>
      <c r="E3" s="973" t="s">
        <v>527</v>
      </c>
      <c r="F3" s="973" t="s">
        <v>531</v>
      </c>
      <c r="G3" s="804" t="str">
        <f>TEXT(G2,"aaa")</f>
        <v>수</v>
      </c>
      <c r="H3" s="804" t="str">
        <f t="shared" ref="H3:AK3" si="0">TEXT(H2,"aaa")</f>
        <v>목</v>
      </c>
      <c r="I3" s="804" t="str">
        <f t="shared" si="0"/>
        <v>금</v>
      </c>
      <c r="J3" s="804" t="str">
        <f t="shared" si="0"/>
        <v>토</v>
      </c>
      <c r="K3" s="804" t="str">
        <f t="shared" si="0"/>
        <v>일</v>
      </c>
      <c r="L3" s="804" t="str">
        <f t="shared" si="0"/>
        <v>월</v>
      </c>
      <c r="M3" s="804" t="str">
        <f t="shared" si="0"/>
        <v>화</v>
      </c>
      <c r="N3" s="804" t="str">
        <f t="shared" si="0"/>
        <v>수</v>
      </c>
      <c r="O3" s="804" t="str">
        <f t="shared" si="0"/>
        <v>목</v>
      </c>
      <c r="P3" s="804" t="str">
        <f t="shared" si="0"/>
        <v>금</v>
      </c>
      <c r="Q3" s="804" t="str">
        <f t="shared" si="0"/>
        <v>토</v>
      </c>
      <c r="R3" s="804" t="str">
        <f t="shared" si="0"/>
        <v>일</v>
      </c>
      <c r="S3" s="804" t="str">
        <f t="shared" si="0"/>
        <v>월</v>
      </c>
      <c r="T3" s="804" t="str">
        <f t="shared" si="0"/>
        <v>화</v>
      </c>
      <c r="U3" s="804" t="str">
        <f t="shared" si="0"/>
        <v>수</v>
      </c>
      <c r="V3" s="804" t="str">
        <f t="shared" si="0"/>
        <v>목</v>
      </c>
      <c r="W3" s="804" t="str">
        <f t="shared" si="0"/>
        <v>금</v>
      </c>
      <c r="X3" s="804" t="str">
        <f t="shared" si="0"/>
        <v>토</v>
      </c>
      <c r="Y3" s="804" t="str">
        <f t="shared" si="0"/>
        <v>일</v>
      </c>
      <c r="Z3" s="804" t="str">
        <f t="shared" si="0"/>
        <v>월</v>
      </c>
      <c r="AA3" s="804" t="str">
        <f t="shared" si="0"/>
        <v>화</v>
      </c>
      <c r="AB3" s="804" t="str">
        <f t="shared" si="0"/>
        <v>수</v>
      </c>
      <c r="AC3" s="804" t="str">
        <f t="shared" si="0"/>
        <v>목</v>
      </c>
      <c r="AD3" s="804" t="str">
        <f t="shared" si="0"/>
        <v>금</v>
      </c>
      <c r="AE3" s="804" t="str">
        <f t="shared" si="0"/>
        <v>토</v>
      </c>
      <c r="AF3" s="804" t="str">
        <f t="shared" si="0"/>
        <v>일</v>
      </c>
      <c r="AG3" s="804" t="str">
        <f t="shared" si="0"/>
        <v>월</v>
      </c>
      <c r="AH3" s="804" t="str">
        <f t="shared" si="0"/>
        <v>화</v>
      </c>
      <c r="AI3" s="804" t="str">
        <f t="shared" si="0"/>
        <v>수</v>
      </c>
      <c r="AJ3" s="804" t="str">
        <f t="shared" si="0"/>
        <v>목</v>
      </c>
      <c r="AK3" s="804" t="e">
        <f t="shared" si="0"/>
        <v>#REF!</v>
      </c>
      <c r="AL3" s="801" t="s">
        <v>653</v>
      </c>
      <c r="AM3" s="801" t="s">
        <v>654</v>
      </c>
    </row>
    <row r="4" spans="1:39">
      <c r="A4" s="801" t="str">
        <f>LEFT(C4,2)</f>
        <v>강북</v>
      </c>
      <c r="B4" s="805">
        <v>1</v>
      </c>
      <c r="C4" s="806" t="str">
        <f>VLOOKUP(D4,이익목표!$B$20:$H$61,7,0)</f>
        <v>강북</v>
      </c>
      <c r="D4" s="807" t="s">
        <v>370</v>
      </c>
      <c r="E4" s="808" t="s">
        <v>573</v>
      </c>
      <c r="F4" s="809">
        <f>SUM(G4:AK4)</f>
        <v>0</v>
      </c>
      <c r="G4" s="810"/>
      <c r="H4" s="810"/>
      <c r="I4" s="810"/>
      <c r="J4" s="810"/>
      <c r="K4" s="810"/>
      <c r="L4" s="810"/>
      <c r="M4" s="810"/>
      <c r="N4" s="810"/>
      <c r="O4" s="810"/>
      <c r="P4" s="810"/>
      <c r="Q4" s="810"/>
      <c r="R4" s="810"/>
      <c r="S4" s="810"/>
      <c r="T4" s="810"/>
      <c r="U4" s="810"/>
      <c r="V4" s="810"/>
      <c r="W4" s="810"/>
      <c r="X4" s="810"/>
      <c r="Y4" s="810"/>
      <c r="Z4" s="810"/>
      <c r="AA4" s="810"/>
      <c r="AB4" s="810"/>
      <c r="AC4" s="810"/>
      <c r="AD4" s="810"/>
      <c r="AE4" s="810"/>
      <c r="AF4" s="810"/>
      <c r="AG4" s="810"/>
      <c r="AH4" s="810"/>
      <c r="AI4" s="810"/>
      <c r="AJ4" s="810"/>
      <c r="AK4" s="810"/>
      <c r="AL4" s="811" t="e">
        <f>VLOOKUP(D4,#REF!,8,0)+VLOOKUP($D4,#REF!,7,0)</f>
        <v>#REF!</v>
      </c>
      <c r="AM4" s="811" t="e">
        <f>AL4-F4</f>
        <v>#REF!</v>
      </c>
    </row>
    <row r="5" spans="1:39">
      <c r="A5" s="801" t="str">
        <f t="shared" ref="A5:A45" si="1">LEFT(C5,2)</f>
        <v>강북</v>
      </c>
      <c r="B5" s="805">
        <v>2</v>
      </c>
      <c r="C5" s="806" t="str">
        <f>VLOOKUP(D5,이익목표!$B$20:$H$61,7,0)</f>
        <v>강북</v>
      </c>
      <c r="D5" s="807" t="s">
        <v>374</v>
      </c>
      <c r="E5" s="808" t="s">
        <v>574</v>
      </c>
      <c r="F5" s="809">
        <f t="shared" ref="F5:F45" si="2">SUM(G5:AK5)</f>
        <v>0</v>
      </c>
      <c r="G5" s="810"/>
      <c r="H5" s="810"/>
      <c r="I5" s="810"/>
      <c r="J5" s="810"/>
      <c r="K5" s="810"/>
      <c r="L5" s="810"/>
      <c r="M5" s="810"/>
      <c r="N5" s="810"/>
      <c r="O5" s="810"/>
      <c r="P5" s="810"/>
      <c r="Q5" s="810"/>
      <c r="R5" s="810"/>
      <c r="S5" s="810"/>
      <c r="T5" s="810"/>
      <c r="U5" s="810"/>
      <c r="V5" s="810"/>
      <c r="W5" s="810"/>
      <c r="X5" s="810"/>
      <c r="Y5" s="810"/>
      <c r="Z5" s="810"/>
      <c r="AA5" s="810"/>
      <c r="AB5" s="810"/>
      <c r="AC5" s="810"/>
      <c r="AD5" s="810"/>
      <c r="AE5" s="810"/>
      <c r="AF5" s="810"/>
      <c r="AG5" s="810"/>
      <c r="AH5" s="810"/>
      <c r="AI5" s="810"/>
      <c r="AJ5" s="810"/>
      <c r="AK5" s="810"/>
      <c r="AL5" s="811" t="e">
        <f>VLOOKUP(D5,#REF!,8,0)+VLOOKUP($D5,#REF!,7,0)</f>
        <v>#REF!</v>
      </c>
      <c r="AM5" s="811" t="e">
        <f t="shared" ref="AM5:AM45" si="3">AL5-F5</f>
        <v>#REF!</v>
      </c>
    </row>
    <row r="6" spans="1:39">
      <c r="A6" s="801" t="str">
        <f t="shared" si="1"/>
        <v>강북</v>
      </c>
      <c r="B6" s="805">
        <v>4</v>
      </c>
      <c r="C6" s="806" t="str">
        <f>VLOOKUP(D6,이익목표!$B$20:$H$61,7,0)</f>
        <v>강북</v>
      </c>
      <c r="D6" s="807" t="s">
        <v>366</v>
      </c>
      <c r="E6" s="808" t="s">
        <v>576</v>
      </c>
      <c r="F6" s="809">
        <f t="shared" si="2"/>
        <v>0</v>
      </c>
      <c r="G6" s="810"/>
      <c r="H6" s="810"/>
      <c r="I6" s="810"/>
      <c r="J6" s="810"/>
      <c r="K6" s="810"/>
      <c r="L6" s="810"/>
      <c r="M6" s="810"/>
      <c r="N6" s="810"/>
      <c r="O6" s="810"/>
      <c r="P6" s="810"/>
      <c r="Q6" s="810"/>
      <c r="R6" s="810"/>
      <c r="S6" s="810"/>
      <c r="T6" s="810"/>
      <c r="U6" s="810"/>
      <c r="V6" s="810"/>
      <c r="W6" s="810"/>
      <c r="X6" s="810"/>
      <c r="Y6" s="810"/>
      <c r="Z6" s="810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0"/>
      <c r="AL6" s="811" t="e">
        <f>VLOOKUP(D6,#REF!,8,0)+VLOOKUP($D6,#REF!,7,0)</f>
        <v>#REF!</v>
      </c>
      <c r="AM6" s="811" t="e">
        <f t="shared" si="3"/>
        <v>#REF!</v>
      </c>
    </row>
    <row r="7" spans="1:39">
      <c r="A7" s="801" t="str">
        <f t="shared" si="1"/>
        <v>강북</v>
      </c>
      <c r="B7" s="805">
        <v>5</v>
      </c>
      <c r="C7" s="806" t="str">
        <f>VLOOKUP(D7,이익목표!$B$20:$H$61,7,0)</f>
        <v>강북</v>
      </c>
      <c r="D7" s="807" t="s">
        <v>377</v>
      </c>
      <c r="E7" s="808" t="s">
        <v>577</v>
      </c>
      <c r="F7" s="809">
        <f t="shared" si="2"/>
        <v>0</v>
      </c>
      <c r="G7" s="810"/>
      <c r="H7" s="810"/>
      <c r="I7" s="810"/>
      <c r="J7" s="810"/>
      <c r="K7" s="810"/>
      <c r="L7" s="810"/>
      <c r="M7" s="810"/>
      <c r="N7" s="810"/>
      <c r="O7" s="810"/>
      <c r="P7" s="810"/>
      <c r="Q7" s="810"/>
      <c r="R7" s="810"/>
      <c r="S7" s="810"/>
      <c r="T7" s="810"/>
      <c r="U7" s="810"/>
      <c r="V7" s="810"/>
      <c r="W7" s="810"/>
      <c r="X7" s="810"/>
      <c r="Y7" s="810"/>
      <c r="Z7" s="810"/>
      <c r="AA7" s="810"/>
      <c r="AB7" s="810"/>
      <c r="AC7" s="810"/>
      <c r="AD7" s="810"/>
      <c r="AE7" s="810"/>
      <c r="AF7" s="810"/>
      <c r="AG7" s="810"/>
      <c r="AH7" s="810"/>
      <c r="AI7" s="810"/>
      <c r="AJ7" s="810"/>
      <c r="AK7" s="810"/>
      <c r="AL7" s="811" t="e">
        <f>VLOOKUP(D7,#REF!,8,0)+VLOOKUP($D7,#REF!,7,0)</f>
        <v>#REF!</v>
      </c>
      <c r="AM7" s="811" t="e">
        <f t="shared" si="3"/>
        <v>#REF!</v>
      </c>
    </row>
    <row r="8" spans="1:39">
      <c r="A8" s="801" t="str">
        <f t="shared" si="1"/>
        <v>강북</v>
      </c>
      <c r="B8" s="805">
        <v>6</v>
      </c>
      <c r="C8" s="806" t="str">
        <f>VLOOKUP(D8,이익목표!$B$20:$H$61,7,0)</f>
        <v>강북</v>
      </c>
      <c r="D8" s="807" t="s">
        <v>381</v>
      </c>
      <c r="E8" s="808" t="s">
        <v>578</v>
      </c>
      <c r="F8" s="809">
        <f t="shared" si="2"/>
        <v>0</v>
      </c>
      <c r="G8" s="810"/>
      <c r="H8" s="810"/>
      <c r="I8" s="810"/>
      <c r="J8" s="810"/>
      <c r="K8" s="810"/>
      <c r="L8" s="810"/>
      <c r="M8" s="810"/>
      <c r="N8" s="810"/>
      <c r="O8" s="810"/>
      <c r="P8" s="810"/>
      <c r="Q8" s="810"/>
      <c r="R8" s="810"/>
      <c r="S8" s="810"/>
      <c r="T8" s="810"/>
      <c r="U8" s="810"/>
      <c r="V8" s="810"/>
      <c r="W8" s="810"/>
      <c r="X8" s="810"/>
      <c r="Y8" s="810"/>
      <c r="Z8" s="810"/>
      <c r="AA8" s="810"/>
      <c r="AB8" s="810"/>
      <c r="AC8" s="810"/>
      <c r="AD8" s="810"/>
      <c r="AE8" s="810"/>
      <c r="AF8" s="810"/>
      <c r="AG8" s="810"/>
      <c r="AH8" s="810"/>
      <c r="AI8" s="810"/>
      <c r="AJ8" s="810"/>
      <c r="AK8" s="810"/>
      <c r="AL8" s="811" t="e">
        <f>VLOOKUP(D8,#REF!,8,0)+VLOOKUP($D8,#REF!,7,0)</f>
        <v>#REF!</v>
      </c>
      <c r="AM8" s="811" t="e">
        <f t="shared" si="3"/>
        <v>#REF!</v>
      </c>
    </row>
    <row r="9" spans="1:39">
      <c r="A9" s="801" t="str">
        <f t="shared" si="1"/>
        <v>강북</v>
      </c>
      <c r="B9" s="805">
        <v>7</v>
      </c>
      <c r="C9" s="806" t="str">
        <f>VLOOKUP(D9,이익목표!$B$20:$H$61,7,0)</f>
        <v>강북</v>
      </c>
      <c r="D9" s="807" t="s">
        <v>379</v>
      </c>
      <c r="E9" s="808" t="s">
        <v>579</v>
      </c>
      <c r="F9" s="809">
        <f t="shared" si="2"/>
        <v>0</v>
      </c>
      <c r="G9" s="810"/>
      <c r="H9" s="810"/>
      <c r="I9" s="810"/>
      <c r="J9" s="810"/>
      <c r="K9" s="810"/>
      <c r="L9" s="810"/>
      <c r="M9" s="810"/>
      <c r="N9" s="810"/>
      <c r="O9" s="810"/>
      <c r="P9" s="810"/>
      <c r="Q9" s="810"/>
      <c r="R9" s="810"/>
      <c r="S9" s="810"/>
      <c r="T9" s="810"/>
      <c r="U9" s="810"/>
      <c r="V9" s="810"/>
      <c r="W9" s="810"/>
      <c r="X9" s="810"/>
      <c r="Y9" s="810"/>
      <c r="Z9" s="810"/>
      <c r="AA9" s="810"/>
      <c r="AB9" s="810"/>
      <c r="AC9" s="810"/>
      <c r="AD9" s="810"/>
      <c r="AE9" s="810"/>
      <c r="AF9" s="810"/>
      <c r="AG9" s="810"/>
      <c r="AH9" s="810"/>
      <c r="AI9" s="810"/>
      <c r="AJ9" s="810"/>
      <c r="AK9" s="810"/>
      <c r="AL9" s="811" t="e">
        <f>VLOOKUP(D9,#REF!,8,0)+VLOOKUP($D9,#REF!,7,0)</f>
        <v>#REF!</v>
      </c>
      <c r="AM9" s="811" t="e">
        <f t="shared" si="3"/>
        <v>#REF!</v>
      </c>
    </row>
    <row r="10" spans="1:39">
      <c r="A10" s="801" t="str">
        <f t="shared" si="1"/>
        <v>강원</v>
      </c>
      <c r="B10" s="805">
        <v>8.4666666666666703</v>
      </c>
      <c r="C10" s="806" t="str">
        <f>VLOOKUP(D10,이익목표!$B$20:$H$61,7,0)</f>
        <v>강원</v>
      </c>
      <c r="D10" s="807" t="s">
        <v>385</v>
      </c>
      <c r="E10" s="808" t="s">
        <v>582</v>
      </c>
      <c r="F10" s="809">
        <f t="shared" si="2"/>
        <v>0</v>
      </c>
      <c r="G10" s="810"/>
      <c r="H10" s="810"/>
      <c r="I10" s="810"/>
      <c r="J10" s="810"/>
      <c r="K10" s="810"/>
      <c r="L10" s="810"/>
      <c r="M10" s="810"/>
      <c r="N10" s="810"/>
      <c r="O10" s="810"/>
      <c r="P10" s="810"/>
      <c r="Q10" s="810"/>
      <c r="R10" s="810"/>
      <c r="S10" s="810"/>
      <c r="T10" s="810"/>
      <c r="U10" s="810"/>
      <c r="V10" s="810"/>
      <c r="W10" s="810"/>
      <c r="X10" s="810"/>
      <c r="Y10" s="810"/>
      <c r="Z10" s="810"/>
      <c r="AA10" s="810"/>
      <c r="AB10" s="810"/>
      <c r="AC10" s="810"/>
      <c r="AD10" s="810"/>
      <c r="AE10" s="810"/>
      <c r="AF10" s="810"/>
      <c r="AG10" s="810"/>
      <c r="AH10" s="810"/>
      <c r="AI10" s="810"/>
      <c r="AJ10" s="810"/>
      <c r="AK10" s="810"/>
      <c r="AL10" s="811" t="e">
        <f>VLOOKUP(D10,#REF!,8,0)+VLOOKUP($D10,#REF!,7,0)</f>
        <v>#REF!</v>
      </c>
      <c r="AM10" s="811" t="e">
        <f t="shared" si="3"/>
        <v>#REF!</v>
      </c>
    </row>
    <row r="11" spans="1:39">
      <c r="A11" s="801" t="str">
        <f t="shared" si="1"/>
        <v>강원</v>
      </c>
      <c r="B11" s="805">
        <v>9.6952380952380892</v>
      </c>
      <c r="C11" s="806" t="str">
        <f>VLOOKUP(D11,이익목표!$B$20:$H$61,7,0)</f>
        <v>강원</v>
      </c>
      <c r="D11" s="807" t="s">
        <v>383</v>
      </c>
      <c r="E11" s="808" t="s">
        <v>583</v>
      </c>
      <c r="F11" s="809">
        <f t="shared" si="2"/>
        <v>0</v>
      </c>
      <c r="G11" s="810"/>
      <c r="H11" s="810"/>
      <c r="I11" s="810"/>
      <c r="J11" s="810"/>
      <c r="K11" s="810"/>
      <c r="L11" s="810"/>
      <c r="M11" s="810"/>
      <c r="N11" s="810"/>
      <c r="O11" s="810"/>
      <c r="P11" s="810"/>
      <c r="Q11" s="810"/>
      <c r="R11" s="810"/>
      <c r="S11" s="810"/>
      <c r="T11" s="810"/>
      <c r="U11" s="810"/>
      <c r="V11" s="810"/>
      <c r="W11" s="810"/>
      <c r="X11" s="810"/>
      <c r="Y11" s="810"/>
      <c r="Z11" s="810"/>
      <c r="AA11" s="810"/>
      <c r="AB11" s="810"/>
      <c r="AC11" s="810"/>
      <c r="AD11" s="810"/>
      <c r="AE11" s="810"/>
      <c r="AF11" s="810"/>
      <c r="AG11" s="810"/>
      <c r="AH11" s="810"/>
      <c r="AI11" s="810"/>
      <c r="AJ11" s="810"/>
      <c r="AK11" s="810"/>
      <c r="AL11" s="811" t="e">
        <f>VLOOKUP(D11,#REF!,8,0)+VLOOKUP($D11,#REF!,7,0)</f>
        <v>#REF!</v>
      </c>
      <c r="AM11" s="811" t="e">
        <f t="shared" si="3"/>
        <v>#REF!</v>
      </c>
    </row>
    <row r="12" spans="1:39">
      <c r="A12" s="801" t="str">
        <f t="shared" si="1"/>
        <v>강원</v>
      </c>
      <c r="B12" s="805">
        <v>10.923809523809499</v>
      </c>
      <c r="C12" s="806" t="str">
        <f>VLOOKUP(D12,이익목표!$B$20:$H$61,7,0)</f>
        <v>강원</v>
      </c>
      <c r="D12" s="807" t="s">
        <v>387</v>
      </c>
      <c r="E12" s="808" t="s">
        <v>584</v>
      </c>
      <c r="F12" s="809">
        <f t="shared" si="2"/>
        <v>0</v>
      </c>
      <c r="G12" s="810"/>
      <c r="H12" s="810"/>
      <c r="I12" s="810"/>
      <c r="J12" s="810"/>
      <c r="K12" s="810"/>
      <c r="L12" s="810"/>
      <c r="M12" s="810"/>
      <c r="N12" s="810"/>
      <c r="O12" s="810"/>
      <c r="P12" s="810"/>
      <c r="Q12" s="810"/>
      <c r="R12" s="810"/>
      <c r="S12" s="810"/>
      <c r="T12" s="810"/>
      <c r="U12" s="810"/>
      <c r="V12" s="810"/>
      <c r="W12" s="810"/>
      <c r="X12" s="810"/>
      <c r="Y12" s="810"/>
      <c r="Z12" s="810"/>
      <c r="AA12" s="810"/>
      <c r="AB12" s="810"/>
      <c r="AC12" s="810"/>
      <c r="AD12" s="810"/>
      <c r="AE12" s="810"/>
      <c r="AF12" s="810"/>
      <c r="AG12" s="810"/>
      <c r="AH12" s="810"/>
      <c r="AI12" s="810"/>
      <c r="AJ12" s="810"/>
      <c r="AK12" s="810"/>
      <c r="AL12" s="811" t="e">
        <f>VLOOKUP(D12,#REF!,8,0)+VLOOKUP($D12,#REF!,7,0)</f>
        <v>#REF!</v>
      </c>
      <c r="AM12" s="811" t="e">
        <f t="shared" si="3"/>
        <v>#REF!</v>
      </c>
    </row>
    <row r="13" spans="1:39">
      <c r="A13" s="801" t="str">
        <f t="shared" si="1"/>
        <v>강남</v>
      </c>
      <c r="B13" s="805">
        <v>12.152380952381</v>
      </c>
      <c r="C13" s="806" t="str">
        <f>VLOOKUP(D13,이익목표!$B$20:$H$61,7,0)</f>
        <v>강남</v>
      </c>
      <c r="D13" s="807" t="s">
        <v>399</v>
      </c>
      <c r="E13" s="808" t="s">
        <v>589</v>
      </c>
      <c r="F13" s="809">
        <f t="shared" si="2"/>
        <v>0</v>
      </c>
      <c r="G13" s="810"/>
      <c r="H13" s="810"/>
      <c r="I13" s="810"/>
      <c r="J13" s="810"/>
      <c r="K13" s="810"/>
      <c r="L13" s="810"/>
      <c r="M13" s="810"/>
      <c r="N13" s="810"/>
      <c r="O13" s="810"/>
      <c r="P13" s="810"/>
      <c r="Q13" s="810"/>
      <c r="R13" s="810"/>
      <c r="S13" s="810"/>
      <c r="T13" s="810"/>
      <c r="U13" s="810"/>
      <c r="V13" s="810"/>
      <c r="W13" s="810"/>
      <c r="X13" s="810"/>
      <c r="Y13" s="810"/>
      <c r="Z13" s="810"/>
      <c r="AA13" s="810"/>
      <c r="AB13" s="810"/>
      <c r="AC13" s="810"/>
      <c r="AD13" s="810"/>
      <c r="AE13" s="810"/>
      <c r="AF13" s="810"/>
      <c r="AG13" s="810"/>
      <c r="AH13" s="810"/>
      <c r="AI13" s="810"/>
      <c r="AJ13" s="810"/>
      <c r="AK13" s="810"/>
      <c r="AL13" s="811" t="e">
        <f>VLOOKUP(D13,#REF!,8,0)+VLOOKUP($D13,#REF!,7,0)</f>
        <v>#REF!</v>
      </c>
      <c r="AM13" s="811" t="e">
        <f t="shared" si="3"/>
        <v>#REF!</v>
      </c>
    </row>
    <row r="14" spans="1:39">
      <c r="A14" s="801" t="str">
        <f t="shared" si="1"/>
        <v>강남</v>
      </c>
      <c r="B14" s="805">
        <v>13.380952380952399</v>
      </c>
      <c r="C14" s="806" t="str">
        <f>VLOOKUP(D14,이익목표!$B$20:$H$61,7,0)</f>
        <v>강남</v>
      </c>
      <c r="D14" s="807" t="s">
        <v>389</v>
      </c>
      <c r="E14" s="808" t="s">
        <v>590</v>
      </c>
      <c r="F14" s="809">
        <f t="shared" si="2"/>
        <v>0</v>
      </c>
      <c r="G14" s="810"/>
      <c r="H14" s="810"/>
      <c r="I14" s="810"/>
      <c r="J14" s="810"/>
      <c r="K14" s="810"/>
      <c r="L14" s="810"/>
      <c r="M14" s="810"/>
      <c r="N14" s="810"/>
      <c r="O14" s="810"/>
      <c r="P14" s="810"/>
      <c r="Q14" s="810"/>
      <c r="R14" s="810"/>
      <c r="S14" s="810"/>
      <c r="T14" s="810"/>
      <c r="U14" s="810"/>
      <c r="V14" s="810"/>
      <c r="W14" s="810"/>
      <c r="X14" s="810"/>
      <c r="Y14" s="810"/>
      <c r="Z14" s="810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1" t="e">
        <f>VLOOKUP(D14,#REF!,8,0)+VLOOKUP($D14,#REF!,7,0)</f>
        <v>#REF!</v>
      </c>
      <c r="AM14" s="811" t="e">
        <f t="shared" si="3"/>
        <v>#REF!</v>
      </c>
    </row>
    <row r="15" spans="1:39">
      <c r="A15" s="801" t="str">
        <f t="shared" si="1"/>
        <v>강남</v>
      </c>
      <c r="B15" s="805">
        <v>14.6095238095238</v>
      </c>
      <c r="C15" s="806" t="str">
        <f>VLOOKUP(D15,이익목표!$B$20:$H$61,7,0)</f>
        <v>강남</v>
      </c>
      <c r="D15" s="807" t="s">
        <v>392</v>
      </c>
      <c r="E15" s="808" t="s">
        <v>591</v>
      </c>
      <c r="F15" s="809">
        <f t="shared" si="2"/>
        <v>0</v>
      </c>
      <c r="G15" s="810"/>
      <c r="H15" s="810"/>
      <c r="I15" s="810"/>
      <c r="J15" s="810"/>
      <c r="K15" s="810"/>
      <c r="L15" s="810"/>
      <c r="M15" s="810"/>
      <c r="N15" s="810"/>
      <c r="O15" s="810"/>
      <c r="P15" s="810"/>
      <c r="Q15" s="810"/>
      <c r="R15" s="810"/>
      <c r="S15" s="810"/>
      <c r="T15" s="810"/>
      <c r="U15" s="810"/>
      <c r="V15" s="810"/>
      <c r="W15" s="810"/>
      <c r="X15" s="810"/>
      <c r="Y15" s="810"/>
      <c r="Z15" s="810"/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1" t="e">
        <f>VLOOKUP(D15,#REF!,8,0)+VLOOKUP($D15,#REF!,7,0)</f>
        <v>#REF!</v>
      </c>
      <c r="AM15" s="811" t="e">
        <f t="shared" si="3"/>
        <v>#REF!</v>
      </c>
    </row>
    <row r="16" spans="1:39">
      <c r="A16" s="801" t="str">
        <f t="shared" si="1"/>
        <v>강남</v>
      </c>
      <c r="B16" s="805">
        <v>15.8380952380952</v>
      </c>
      <c r="C16" s="806" t="str">
        <f>VLOOKUP(D16,이익목표!$B$20:$H$61,7,0)</f>
        <v>강남</v>
      </c>
      <c r="D16" s="807" t="s">
        <v>397</v>
      </c>
      <c r="E16" s="808" t="s">
        <v>593</v>
      </c>
      <c r="F16" s="809">
        <f t="shared" si="2"/>
        <v>0</v>
      </c>
      <c r="G16" s="810"/>
      <c r="H16" s="810"/>
      <c r="I16" s="810"/>
      <c r="J16" s="810"/>
      <c r="K16" s="810"/>
      <c r="L16" s="810"/>
      <c r="M16" s="810"/>
      <c r="N16" s="810"/>
      <c r="O16" s="810"/>
      <c r="P16" s="810"/>
      <c r="Q16" s="810"/>
      <c r="R16" s="810"/>
      <c r="S16" s="810"/>
      <c r="T16" s="810"/>
      <c r="U16" s="810"/>
      <c r="V16" s="810"/>
      <c r="W16" s="810"/>
      <c r="X16" s="810"/>
      <c r="Y16" s="810"/>
      <c r="Z16" s="810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1" t="e">
        <f>VLOOKUP(D16,#REF!,8,0)+VLOOKUP($D16,#REF!,7,0)</f>
        <v>#REF!</v>
      </c>
      <c r="AM16" s="811" t="e">
        <f t="shared" si="3"/>
        <v>#REF!</v>
      </c>
    </row>
    <row r="17" spans="1:39">
      <c r="A17" s="801" t="str">
        <f t="shared" si="1"/>
        <v>강남</v>
      </c>
      <c r="B17" s="805">
        <v>17.066666666666698</v>
      </c>
      <c r="C17" s="806" t="str">
        <f>VLOOKUP(D17,이익목표!$B$20:$H$61,7,0)</f>
        <v>강남</v>
      </c>
      <c r="D17" s="807" t="s">
        <v>401</v>
      </c>
      <c r="E17" s="808" t="s">
        <v>594</v>
      </c>
      <c r="F17" s="809">
        <f t="shared" si="2"/>
        <v>0</v>
      </c>
      <c r="G17" s="810"/>
      <c r="H17" s="810"/>
      <c r="I17" s="810"/>
      <c r="J17" s="810"/>
      <c r="K17" s="810"/>
      <c r="L17" s="810"/>
      <c r="M17" s="810"/>
      <c r="N17" s="810"/>
      <c r="O17" s="810"/>
      <c r="P17" s="810"/>
      <c r="Q17" s="810"/>
      <c r="R17" s="810"/>
      <c r="S17" s="810"/>
      <c r="T17" s="810"/>
      <c r="U17" s="810"/>
      <c r="V17" s="810"/>
      <c r="W17" s="810"/>
      <c r="X17" s="810"/>
      <c r="Y17" s="810"/>
      <c r="Z17" s="810"/>
      <c r="AA17" s="810"/>
      <c r="AB17" s="810"/>
      <c r="AC17" s="810"/>
      <c r="AD17" s="810"/>
      <c r="AE17" s="810"/>
      <c r="AF17" s="810"/>
      <c r="AG17" s="810"/>
      <c r="AH17" s="810"/>
      <c r="AI17" s="810"/>
      <c r="AJ17" s="810"/>
      <c r="AK17" s="810"/>
      <c r="AL17" s="811" t="e">
        <f>VLOOKUP(D17,#REF!,8,0)+VLOOKUP($D17,#REF!,7,0)</f>
        <v>#REF!</v>
      </c>
      <c r="AM17" s="811" t="e">
        <f t="shared" si="3"/>
        <v>#REF!</v>
      </c>
    </row>
    <row r="18" spans="1:39">
      <c r="A18" s="801" t="str">
        <f t="shared" si="1"/>
        <v>강남</v>
      </c>
      <c r="B18" s="805">
        <v>18.295238095238101</v>
      </c>
      <c r="C18" s="806" t="str">
        <f>VLOOKUP(D18,이익목표!$B$20:$H$61,7,0)</f>
        <v>강남</v>
      </c>
      <c r="D18" s="807" t="s">
        <v>403</v>
      </c>
      <c r="E18" s="808" t="s">
        <v>595</v>
      </c>
      <c r="F18" s="809">
        <f t="shared" si="2"/>
        <v>0</v>
      </c>
      <c r="G18" s="810"/>
      <c r="H18" s="810"/>
      <c r="I18" s="810"/>
      <c r="J18" s="810"/>
      <c r="K18" s="810"/>
      <c r="L18" s="810"/>
      <c r="M18" s="810"/>
      <c r="N18" s="810"/>
      <c r="O18" s="810"/>
      <c r="P18" s="810"/>
      <c r="Q18" s="810"/>
      <c r="R18" s="810"/>
      <c r="S18" s="810"/>
      <c r="T18" s="810"/>
      <c r="U18" s="810"/>
      <c r="V18" s="810"/>
      <c r="W18" s="810"/>
      <c r="X18" s="810"/>
      <c r="Y18" s="810"/>
      <c r="Z18" s="810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1" t="e">
        <f>VLOOKUP(D18,#REF!,8,0)+VLOOKUP($D18,#REF!,7,0)</f>
        <v>#REF!</v>
      </c>
      <c r="AM18" s="811" t="e">
        <f t="shared" si="3"/>
        <v>#REF!</v>
      </c>
    </row>
    <row r="19" spans="1:39">
      <c r="A19" s="801" t="str">
        <f t="shared" si="1"/>
        <v>강서</v>
      </c>
      <c r="B19" s="805">
        <v>19.523809523809501</v>
      </c>
      <c r="C19" s="806" t="str">
        <f>VLOOKUP(D19,이익목표!$B$20:$H$61,7,0)</f>
        <v>강서</v>
      </c>
      <c r="D19" s="807" t="s">
        <v>419</v>
      </c>
      <c r="E19" s="808" t="s">
        <v>597</v>
      </c>
      <c r="F19" s="809">
        <f t="shared" si="2"/>
        <v>0</v>
      </c>
      <c r="G19" s="810"/>
      <c r="H19" s="810"/>
      <c r="I19" s="810"/>
      <c r="J19" s="810"/>
      <c r="K19" s="810"/>
      <c r="L19" s="810"/>
      <c r="M19" s="810"/>
      <c r="N19" s="810"/>
      <c r="O19" s="810"/>
      <c r="P19" s="810"/>
      <c r="Q19" s="810"/>
      <c r="R19" s="810"/>
      <c r="S19" s="810"/>
      <c r="T19" s="810"/>
      <c r="U19" s="810"/>
      <c r="V19" s="810"/>
      <c r="W19" s="810"/>
      <c r="X19" s="810"/>
      <c r="Y19" s="810"/>
      <c r="Z19" s="810"/>
      <c r="AA19" s="810"/>
      <c r="AB19" s="810"/>
      <c r="AC19" s="810"/>
      <c r="AD19" s="810"/>
      <c r="AE19" s="810"/>
      <c r="AF19" s="810"/>
      <c r="AG19" s="810"/>
      <c r="AH19" s="810"/>
      <c r="AI19" s="810"/>
      <c r="AJ19" s="810"/>
      <c r="AK19" s="810"/>
      <c r="AL19" s="811" t="e">
        <f>VLOOKUP(D19,#REF!,8,0)+VLOOKUP($D19,#REF!,7,0)</f>
        <v>#REF!</v>
      </c>
      <c r="AM19" s="811" t="e">
        <f t="shared" si="3"/>
        <v>#REF!</v>
      </c>
    </row>
    <row r="20" spans="1:39">
      <c r="A20" s="801" t="str">
        <f t="shared" si="1"/>
        <v>강서</v>
      </c>
      <c r="B20" s="805">
        <v>20.752380952380999</v>
      </c>
      <c r="C20" s="806" t="str">
        <f>VLOOKUP(D20,이익목표!$B$20:$H$61,7,0)</f>
        <v>강서</v>
      </c>
      <c r="D20" s="807" t="s">
        <v>407</v>
      </c>
      <c r="E20" s="808" t="s">
        <v>599</v>
      </c>
      <c r="F20" s="809">
        <f t="shared" si="2"/>
        <v>0</v>
      </c>
      <c r="G20" s="810"/>
      <c r="H20" s="810"/>
      <c r="I20" s="810"/>
      <c r="J20" s="810"/>
      <c r="K20" s="810"/>
      <c r="L20" s="810"/>
      <c r="M20" s="810"/>
      <c r="N20" s="810"/>
      <c r="O20" s="810"/>
      <c r="P20" s="810"/>
      <c r="Q20" s="810"/>
      <c r="R20" s="810"/>
      <c r="S20" s="810"/>
      <c r="T20" s="810"/>
      <c r="U20" s="810"/>
      <c r="V20" s="810"/>
      <c r="W20" s="810"/>
      <c r="X20" s="810"/>
      <c r="Y20" s="810"/>
      <c r="Z20" s="810"/>
      <c r="AA20" s="810"/>
      <c r="AB20" s="810"/>
      <c r="AC20" s="810"/>
      <c r="AD20" s="810"/>
      <c r="AE20" s="810"/>
      <c r="AF20" s="810"/>
      <c r="AG20" s="810"/>
      <c r="AH20" s="810"/>
      <c r="AI20" s="810"/>
      <c r="AJ20" s="810"/>
      <c r="AK20" s="810"/>
      <c r="AL20" s="811" t="e">
        <f>VLOOKUP(D20,#REF!,8,0)+VLOOKUP($D20,#REF!,7,0)</f>
        <v>#REF!</v>
      </c>
      <c r="AM20" s="811" t="e">
        <f t="shared" si="3"/>
        <v>#REF!</v>
      </c>
    </row>
    <row r="21" spans="1:39">
      <c r="A21" s="801" t="str">
        <f t="shared" si="1"/>
        <v>강서</v>
      </c>
      <c r="B21" s="805">
        <v>21.980952380952399</v>
      </c>
      <c r="C21" s="806" t="str">
        <f>VLOOKUP(D21,이익목표!$B$20:$H$61,7,0)</f>
        <v>강서</v>
      </c>
      <c r="D21" s="807" t="s">
        <v>413</v>
      </c>
      <c r="E21" s="808" t="s">
        <v>600</v>
      </c>
      <c r="F21" s="809">
        <f t="shared" si="2"/>
        <v>0</v>
      </c>
      <c r="G21" s="810"/>
      <c r="H21" s="810"/>
      <c r="I21" s="810"/>
      <c r="J21" s="810"/>
      <c r="K21" s="810"/>
      <c r="L21" s="810"/>
      <c r="M21" s="810"/>
      <c r="N21" s="810"/>
      <c r="O21" s="810"/>
      <c r="P21" s="810"/>
      <c r="Q21" s="810"/>
      <c r="R21" s="810"/>
      <c r="S21" s="810"/>
      <c r="T21" s="810"/>
      <c r="U21" s="810"/>
      <c r="V21" s="810"/>
      <c r="W21" s="810"/>
      <c r="X21" s="810"/>
      <c r="Y21" s="810"/>
      <c r="Z21" s="810"/>
      <c r="AA21" s="810"/>
      <c r="AB21" s="810"/>
      <c r="AC21" s="810"/>
      <c r="AD21" s="810"/>
      <c r="AE21" s="810"/>
      <c r="AF21" s="810"/>
      <c r="AG21" s="810"/>
      <c r="AH21" s="810"/>
      <c r="AI21" s="810"/>
      <c r="AJ21" s="810"/>
      <c r="AK21" s="810"/>
      <c r="AL21" s="811" t="e">
        <f>VLOOKUP(D21,#REF!,8,0)+VLOOKUP($D21,#REF!,7,0)</f>
        <v>#REF!</v>
      </c>
      <c r="AM21" s="811" t="e">
        <f t="shared" si="3"/>
        <v>#REF!</v>
      </c>
    </row>
    <row r="22" spans="1:39">
      <c r="A22" s="801" t="str">
        <f t="shared" si="1"/>
        <v>강서</v>
      </c>
      <c r="B22" s="805">
        <v>23.209523809523802</v>
      </c>
      <c r="C22" s="806" t="str">
        <f>VLOOKUP(D22,이익목표!$B$20:$H$61,7,0)</f>
        <v>강서</v>
      </c>
      <c r="D22" s="807" t="s">
        <v>415</v>
      </c>
      <c r="E22" s="808" t="s">
        <v>601</v>
      </c>
      <c r="F22" s="809">
        <f t="shared" si="2"/>
        <v>0</v>
      </c>
      <c r="G22" s="810"/>
      <c r="H22" s="810"/>
      <c r="I22" s="810"/>
      <c r="J22" s="810"/>
      <c r="K22" s="810"/>
      <c r="L22" s="810"/>
      <c r="M22" s="810"/>
      <c r="N22" s="810"/>
      <c r="O22" s="810"/>
      <c r="P22" s="810"/>
      <c r="Q22" s="810"/>
      <c r="R22" s="810"/>
      <c r="S22" s="810"/>
      <c r="T22" s="810"/>
      <c r="U22" s="810"/>
      <c r="V22" s="810"/>
      <c r="W22" s="810"/>
      <c r="X22" s="810"/>
      <c r="Y22" s="810"/>
      <c r="Z22" s="810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0"/>
      <c r="AL22" s="811" t="e">
        <f>VLOOKUP(D22,#REF!,8,0)+VLOOKUP($D22,#REF!,7,0)</f>
        <v>#REF!</v>
      </c>
      <c r="AM22" s="811" t="e">
        <f t="shared" si="3"/>
        <v>#REF!</v>
      </c>
    </row>
    <row r="23" spans="1:39">
      <c r="A23" s="801" t="str">
        <f t="shared" si="1"/>
        <v>강서</v>
      </c>
      <c r="B23" s="805">
        <v>24.438095238095201</v>
      </c>
      <c r="C23" s="806" t="str">
        <f>VLOOKUP(D23,이익목표!$B$20:$H$61,7,0)</f>
        <v>강서</v>
      </c>
      <c r="D23" s="807" t="s">
        <v>417</v>
      </c>
      <c r="E23" s="808" t="s">
        <v>602</v>
      </c>
      <c r="F23" s="809">
        <f t="shared" si="2"/>
        <v>0</v>
      </c>
      <c r="G23" s="810"/>
      <c r="H23" s="810"/>
      <c r="I23" s="810"/>
      <c r="J23" s="810"/>
      <c r="K23" s="810"/>
      <c r="L23" s="810"/>
      <c r="M23" s="810"/>
      <c r="N23" s="810"/>
      <c r="O23" s="810"/>
      <c r="P23" s="810"/>
      <c r="Q23" s="810"/>
      <c r="R23" s="810"/>
      <c r="S23" s="810"/>
      <c r="T23" s="810"/>
      <c r="U23" s="810"/>
      <c r="V23" s="810"/>
      <c r="W23" s="810"/>
      <c r="X23" s="810"/>
      <c r="Y23" s="810"/>
      <c r="Z23" s="810"/>
      <c r="AA23" s="810"/>
      <c r="AB23" s="810"/>
      <c r="AC23" s="810"/>
      <c r="AD23" s="810"/>
      <c r="AE23" s="810"/>
      <c r="AF23" s="810"/>
      <c r="AG23" s="810"/>
      <c r="AH23" s="810"/>
      <c r="AI23" s="810"/>
      <c r="AJ23" s="810"/>
      <c r="AK23" s="810"/>
      <c r="AL23" s="811" t="e">
        <f>VLOOKUP(D23,#REF!,8,0)+VLOOKUP($D23,#REF!,7,0)</f>
        <v>#REF!</v>
      </c>
      <c r="AM23" s="811" t="e">
        <f t="shared" si="3"/>
        <v>#REF!</v>
      </c>
    </row>
    <row r="24" spans="1:39">
      <c r="A24" s="801" t="str">
        <f t="shared" si="1"/>
        <v>강서</v>
      </c>
      <c r="B24" s="805">
        <v>25.6666666666667</v>
      </c>
      <c r="C24" s="806" t="str">
        <f>VLOOKUP(D24,이익목표!$B$20:$H$61,7,0)</f>
        <v>강서</v>
      </c>
      <c r="D24" s="807" t="s">
        <v>405</v>
      </c>
      <c r="E24" s="808" t="s">
        <v>1228</v>
      </c>
      <c r="F24" s="809">
        <f t="shared" si="2"/>
        <v>0</v>
      </c>
      <c r="G24" s="810"/>
      <c r="H24" s="810"/>
      <c r="I24" s="810"/>
      <c r="J24" s="810"/>
      <c r="K24" s="810"/>
      <c r="L24" s="810"/>
      <c r="M24" s="810"/>
      <c r="N24" s="810"/>
      <c r="O24" s="810"/>
      <c r="P24" s="810"/>
      <c r="Q24" s="810"/>
      <c r="R24" s="810"/>
      <c r="S24" s="810"/>
      <c r="T24" s="810"/>
      <c r="U24" s="810"/>
      <c r="V24" s="810"/>
      <c r="W24" s="810"/>
      <c r="X24" s="810"/>
      <c r="Y24" s="810"/>
      <c r="Z24" s="810"/>
      <c r="AA24" s="810"/>
      <c r="AB24" s="810"/>
      <c r="AC24" s="810"/>
      <c r="AD24" s="810"/>
      <c r="AE24" s="810"/>
      <c r="AF24" s="810"/>
      <c r="AG24" s="810"/>
      <c r="AH24" s="810"/>
      <c r="AI24" s="810"/>
      <c r="AJ24" s="810"/>
      <c r="AK24" s="810"/>
      <c r="AL24" s="811" t="e">
        <f>VLOOKUP(D24,#REF!,8,0)+VLOOKUP($D24,#REF!,7,0)</f>
        <v>#REF!</v>
      </c>
      <c r="AM24" s="811" t="e">
        <f t="shared" si="3"/>
        <v>#REF!</v>
      </c>
    </row>
    <row r="25" spans="1:39">
      <c r="A25" s="801" t="str">
        <f t="shared" si="1"/>
        <v>호남</v>
      </c>
      <c r="B25" s="805">
        <v>26.895238095238099</v>
      </c>
      <c r="C25" s="806" t="str">
        <f>VLOOKUP(D25,이익목표!$B$20:$H$61,7,0)</f>
        <v>호남</v>
      </c>
      <c r="D25" s="807" t="s">
        <v>480</v>
      </c>
      <c r="E25" s="808" t="s">
        <v>609</v>
      </c>
      <c r="F25" s="809">
        <f t="shared" si="2"/>
        <v>0</v>
      </c>
      <c r="G25" s="810"/>
      <c r="H25" s="810"/>
      <c r="I25" s="810"/>
      <c r="J25" s="810"/>
      <c r="K25" s="810"/>
      <c r="L25" s="810"/>
      <c r="M25" s="810"/>
      <c r="N25" s="810"/>
      <c r="O25" s="810"/>
      <c r="P25" s="810"/>
      <c r="Q25" s="810"/>
      <c r="R25" s="810"/>
      <c r="S25" s="810"/>
      <c r="T25" s="810"/>
      <c r="U25" s="810"/>
      <c r="V25" s="810"/>
      <c r="W25" s="810"/>
      <c r="X25" s="810"/>
      <c r="Y25" s="810"/>
      <c r="Z25" s="810"/>
      <c r="AA25" s="810"/>
      <c r="AB25" s="810"/>
      <c r="AC25" s="810"/>
      <c r="AD25" s="810"/>
      <c r="AE25" s="810"/>
      <c r="AF25" s="810"/>
      <c r="AG25" s="810"/>
      <c r="AH25" s="810"/>
      <c r="AI25" s="810"/>
      <c r="AJ25" s="810"/>
      <c r="AK25" s="810"/>
      <c r="AL25" s="811" t="e">
        <f>VLOOKUP(D25,#REF!,8,0)+VLOOKUP($D25,#REF!,7,0)</f>
        <v>#REF!</v>
      </c>
      <c r="AM25" s="811" t="e">
        <f t="shared" si="3"/>
        <v>#REF!</v>
      </c>
    </row>
    <row r="26" spans="1:39">
      <c r="A26" s="801" t="str">
        <f t="shared" si="1"/>
        <v>호남</v>
      </c>
      <c r="B26" s="805">
        <v>28.123809523809499</v>
      </c>
      <c r="C26" s="806" t="str">
        <f>VLOOKUP(D26,이익목표!$B$20:$H$61,7,0)</f>
        <v>호남</v>
      </c>
      <c r="D26" s="807" t="s">
        <v>473</v>
      </c>
      <c r="E26" s="808" t="s">
        <v>610</v>
      </c>
      <c r="F26" s="809">
        <f t="shared" si="2"/>
        <v>0</v>
      </c>
      <c r="G26" s="810"/>
      <c r="H26" s="810"/>
      <c r="I26" s="810"/>
      <c r="J26" s="810"/>
      <c r="K26" s="810"/>
      <c r="L26" s="810"/>
      <c r="M26" s="810"/>
      <c r="N26" s="810"/>
      <c r="O26" s="810"/>
      <c r="P26" s="810"/>
      <c r="Q26" s="810"/>
      <c r="R26" s="810"/>
      <c r="S26" s="810"/>
      <c r="T26" s="810"/>
      <c r="U26" s="810"/>
      <c r="V26" s="810"/>
      <c r="W26" s="810"/>
      <c r="X26" s="810"/>
      <c r="Y26" s="810"/>
      <c r="Z26" s="810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1" t="e">
        <f>VLOOKUP(D26,#REF!,8,0)+VLOOKUP($D26,#REF!,7,0)</f>
        <v>#REF!</v>
      </c>
      <c r="AM26" s="811" t="e">
        <f t="shared" si="3"/>
        <v>#REF!</v>
      </c>
    </row>
    <row r="27" spans="1:39">
      <c r="A27" s="801" t="str">
        <f t="shared" si="1"/>
        <v>호남</v>
      </c>
      <c r="B27" s="805">
        <v>29.352380952381001</v>
      </c>
      <c r="C27" s="806" t="str">
        <f>VLOOKUP(D27,이익목표!$B$20:$H$61,7,0)</f>
        <v>호남</v>
      </c>
      <c r="D27" s="807" t="s">
        <v>471</v>
      </c>
      <c r="E27" s="808" t="s">
        <v>1229</v>
      </c>
      <c r="F27" s="809">
        <f t="shared" si="2"/>
        <v>0</v>
      </c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10"/>
      <c r="V27" s="810"/>
      <c r="W27" s="810"/>
      <c r="X27" s="810"/>
      <c r="Y27" s="810"/>
      <c r="Z27" s="810"/>
      <c r="AA27" s="810"/>
      <c r="AB27" s="810"/>
      <c r="AC27" s="810"/>
      <c r="AD27" s="810"/>
      <c r="AE27" s="810"/>
      <c r="AF27" s="810"/>
      <c r="AG27" s="810"/>
      <c r="AH27" s="810"/>
      <c r="AI27" s="810"/>
      <c r="AJ27" s="810"/>
      <c r="AK27" s="810"/>
      <c r="AL27" s="811" t="e">
        <f>VLOOKUP(D27,#REF!,8,0)+VLOOKUP($D27,#REF!,7,0)</f>
        <v>#REF!</v>
      </c>
      <c r="AM27" s="811" t="e">
        <f t="shared" si="3"/>
        <v>#REF!</v>
      </c>
    </row>
    <row r="28" spans="1:39">
      <c r="A28" s="801" t="str">
        <f t="shared" si="1"/>
        <v>호남</v>
      </c>
      <c r="B28" s="805">
        <v>30.5809523809524</v>
      </c>
      <c r="C28" s="806" t="str">
        <f>VLOOKUP(D28,이익목표!$B$20:$H$61,7,0)</f>
        <v>호남</v>
      </c>
      <c r="D28" s="807" t="s">
        <v>477</v>
      </c>
      <c r="E28" s="808" t="s">
        <v>1230</v>
      </c>
      <c r="F28" s="809">
        <f t="shared" si="2"/>
        <v>0</v>
      </c>
      <c r="G28" s="810"/>
      <c r="H28" s="810"/>
      <c r="I28" s="810"/>
      <c r="J28" s="810"/>
      <c r="K28" s="810"/>
      <c r="L28" s="810"/>
      <c r="M28" s="810"/>
      <c r="N28" s="810"/>
      <c r="O28" s="810"/>
      <c r="P28" s="810"/>
      <c r="Q28" s="810"/>
      <c r="R28" s="810"/>
      <c r="S28" s="810"/>
      <c r="T28" s="810"/>
      <c r="U28" s="810"/>
      <c r="V28" s="810"/>
      <c r="W28" s="810"/>
      <c r="X28" s="810"/>
      <c r="Y28" s="810"/>
      <c r="Z28" s="810"/>
      <c r="AA28" s="810"/>
      <c r="AB28" s="810"/>
      <c r="AC28" s="810"/>
      <c r="AD28" s="810"/>
      <c r="AE28" s="810"/>
      <c r="AF28" s="810"/>
      <c r="AG28" s="810"/>
      <c r="AH28" s="810"/>
      <c r="AI28" s="810"/>
      <c r="AJ28" s="810"/>
      <c r="AK28" s="810"/>
      <c r="AL28" s="811" t="e">
        <f>VLOOKUP(D28,#REF!,8,0)+VLOOKUP($D28,#REF!,7,0)</f>
        <v>#REF!</v>
      </c>
      <c r="AM28" s="811" t="e">
        <f t="shared" si="3"/>
        <v>#REF!</v>
      </c>
    </row>
    <row r="29" spans="1:39">
      <c r="A29" s="801" t="str">
        <f t="shared" si="1"/>
        <v>호남</v>
      </c>
      <c r="B29" s="805">
        <v>31.8095238095238</v>
      </c>
      <c r="C29" s="806" t="str">
        <f>VLOOKUP(D29,이익목표!$B$20:$H$61,7,0)</f>
        <v>호남</v>
      </c>
      <c r="D29" s="807" t="s">
        <v>467</v>
      </c>
      <c r="E29" s="808" t="s">
        <v>614</v>
      </c>
      <c r="F29" s="809">
        <f t="shared" si="2"/>
        <v>0</v>
      </c>
      <c r="G29" s="810"/>
      <c r="H29" s="810"/>
      <c r="I29" s="810"/>
      <c r="J29" s="810"/>
      <c r="K29" s="810"/>
      <c r="L29" s="810"/>
      <c r="M29" s="810"/>
      <c r="N29" s="810"/>
      <c r="O29" s="810"/>
      <c r="P29" s="810"/>
      <c r="Q29" s="810"/>
      <c r="R29" s="810"/>
      <c r="S29" s="810"/>
      <c r="T29" s="810"/>
      <c r="U29" s="810"/>
      <c r="V29" s="810"/>
      <c r="W29" s="810"/>
      <c r="X29" s="810"/>
      <c r="Y29" s="810"/>
      <c r="Z29" s="810"/>
      <c r="AA29" s="810"/>
      <c r="AB29" s="810"/>
      <c r="AC29" s="810"/>
      <c r="AD29" s="810"/>
      <c r="AE29" s="810"/>
      <c r="AF29" s="810"/>
      <c r="AG29" s="810"/>
      <c r="AH29" s="810"/>
      <c r="AI29" s="810"/>
      <c r="AJ29" s="810"/>
      <c r="AK29" s="810"/>
      <c r="AL29" s="811" t="e">
        <f>VLOOKUP(D29,#REF!,8,0)+VLOOKUP($D29,#REF!,7,0)</f>
        <v>#REF!</v>
      </c>
      <c r="AM29" s="811" t="e">
        <f t="shared" si="3"/>
        <v>#REF!</v>
      </c>
    </row>
    <row r="30" spans="1:39">
      <c r="A30" s="801" t="str">
        <f t="shared" si="1"/>
        <v>충청</v>
      </c>
      <c r="B30" s="805">
        <v>33.038095238095202</v>
      </c>
      <c r="C30" s="806" t="str">
        <f>VLOOKUP(D30,이익목표!$B$20:$H$61,7,0)</f>
        <v>충청</v>
      </c>
      <c r="D30" s="807" t="s">
        <v>457</v>
      </c>
      <c r="E30" s="808" t="s">
        <v>616</v>
      </c>
      <c r="F30" s="809">
        <f t="shared" si="2"/>
        <v>0</v>
      </c>
      <c r="G30" s="810"/>
      <c r="H30" s="810"/>
      <c r="I30" s="810"/>
      <c r="J30" s="810"/>
      <c r="K30" s="810"/>
      <c r="L30" s="810"/>
      <c r="M30" s="810"/>
      <c r="N30" s="810"/>
      <c r="O30" s="810"/>
      <c r="P30" s="810"/>
      <c r="Q30" s="810"/>
      <c r="R30" s="810"/>
      <c r="S30" s="810"/>
      <c r="T30" s="810"/>
      <c r="U30" s="810"/>
      <c r="V30" s="810"/>
      <c r="W30" s="810"/>
      <c r="X30" s="810"/>
      <c r="Y30" s="810"/>
      <c r="Z30" s="810"/>
      <c r="AA30" s="810"/>
      <c r="AB30" s="810"/>
      <c r="AC30" s="810"/>
      <c r="AD30" s="810"/>
      <c r="AE30" s="810"/>
      <c r="AF30" s="810"/>
      <c r="AG30" s="810"/>
      <c r="AH30" s="810"/>
      <c r="AI30" s="810"/>
      <c r="AJ30" s="810"/>
      <c r="AK30" s="810"/>
      <c r="AL30" s="811" t="e">
        <f>VLOOKUP(D30,#REF!,8,0)+VLOOKUP($D30,#REF!,7,0)</f>
        <v>#REF!</v>
      </c>
      <c r="AM30" s="811" t="e">
        <f t="shared" si="3"/>
        <v>#REF!</v>
      </c>
    </row>
    <row r="31" spans="1:39">
      <c r="A31" s="801" t="str">
        <f t="shared" si="1"/>
        <v>충청</v>
      </c>
      <c r="B31" s="805">
        <v>34.266666666666701</v>
      </c>
      <c r="C31" s="806" t="str">
        <f>VLOOKUP(D31,이익목표!$B$20:$H$61,7,0)</f>
        <v>충청</v>
      </c>
      <c r="D31" s="807" t="s">
        <v>461</v>
      </c>
      <c r="E31" s="808" t="s">
        <v>617</v>
      </c>
      <c r="F31" s="809">
        <f t="shared" si="2"/>
        <v>0</v>
      </c>
      <c r="G31" s="810"/>
      <c r="H31" s="810"/>
      <c r="I31" s="810"/>
      <c r="J31" s="810"/>
      <c r="K31" s="810"/>
      <c r="L31" s="810"/>
      <c r="M31" s="810"/>
      <c r="N31" s="810"/>
      <c r="O31" s="810"/>
      <c r="P31" s="810"/>
      <c r="Q31" s="810"/>
      <c r="R31" s="810"/>
      <c r="S31" s="810"/>
      <c r="T31" s="810"/>
      <c r="U31" s="810"/>
      <c r="V31" s="810"/>
      <c r="W31" s="810"/>
      <c r="X31" s="810"/>
      <c r="Y31" s="810"/>
      <c r="Z31" s="810"/>
      <c r="AA31" s="810"/>
      <c r="AB31" s="810"/>
      <c r="AC31" s="810"/>
      <c r="AD31" s="810"/>
      <c r="AE31" s="810"/>
      <c r="AF31" s="810"/>
      <c r="AG31" s="810"/>
      <c r="AH31" s="810"/>
      <c r="AI31" s="810"/>
      <c r="AJ31" s="810"/>
      <c r="AK31" s="810"/>
      <c r="AL31" s="811" t="e">
        <f>VLOOKUP(D31,#REF!,8,0)+VLOOKUP($D31,#REF!,7,0)</f>
        <v>#REF!</v>
      </c>
      <c r="AM31" s="811" t="e">
        <f t="shared" si="3"/>
        <v>#REF!</v>
      </c>
    </row>
    <row r="32" spans="1:39">
      <c r="A32" s="801" t="str">
        <f t="shared" si="1"/>
        <v>충청</v>
      </c>
      <c r="B32" s="805">
        <v>35.495238095238101</v>
      </c>
      <c r="C32" s="806" t="str">
        <f>VLOOKUP(D32,이익목표!$B$20:$H$61,7,0)</f>
        <v>충청</v>
      </c>
      <c r="D32" s="807" t="s">
        <v>463</v>
      </c>
      <c r="E32" s="808" t="s">
        <v>1231</v>
      </c>
      <c r="F32" s="809">
        <f t="shared" si="2"/>
        <v>0</v>
      </c>
      <c r="G32" s="810"/>
      <c r="H32" s="810"/>
      <c r="I32" s="810"/>
      <c r="J32" s="810"/>
      <c r="K32" s="810"/>
      <c r="L32" s="810"/>
      <c r="M32" s="810"/>
      <c r="N32" s="810"/>
      <c r="O32" s="810"/>
      <c r="P32" s="810"/>
      <c r="Q32" s="810"/>
      <c r="R32" s="810"/>
      <c r="S32" s="810"/>
      <c r="T32" s="810"/>
      <c r="U32" s="810"/>
      <c r="V32" s="810"/>
      <c r="W32" s="810"/>
      <c r="X32" s="810"/>
      <c r="Y32" s="810"/>
      <c r="Z32" s="810"/>
      <c r="AA32" s="810"/>
      <c r="AB32" s="810"/>
      <c r="AC32" s="810"/>
      <c r="AD32" s="810"/>
      <c r="AE32" s="810"/>
      <c r="AF32" s="810"/>
      <c r="AG32" s="810"/>
      <c r="AH32" s="810"/>
      <c r="AI32" s="810"/>
      <c r="AJ32" s="810"/>
      <c r="AK32" s="810"/>
      <c r="AL32" s="811" t="e">
        <f>VLOOKUP(D32,#REF!,8,0)+VLOOKUP($D32,#REF!,7,0)</f>
        <v>#REF!</v>
      </c>
      <c r="AM32" s="811" t="e">
        <f t="shared" si="3"/>
        <v>#REF!</v>
      </c>
    </row>
    <row r="33" spans="1:39">
      <c r="A33" s="801" t="str">
        <f t="shared" si="1"/>
        <v>충청</v>
      </c>
      <c r="B33" s="805">
        <v>36.7238095238095</v>
      </c>
      <c r="C33" s="806" t="str">
        <f>VLOOKUP(D33,이익목표!$B$20:$H$61,7,0)</f>
        <v>충청</v>
      </c>
      <c r="D33" s="807" t="s">
        <v>459</v>
      </c>
      <c r="E33" s="808" t="s">
        <v>621</v>
      </c>
      <c r="F33" s="809">
        <f t="shared" si="2"/>
        <v>0</v>
      </c>
      <c r="G33" s="810"/>
      <c r="H33" s="810"/>
      <c r="I33" s="810"/>
      <c r="J33" s="810"/>
      <c r="K33" s="810"/>
      <c r="L33" s="810"/>
      <c r="M33" s="810"/>
      <c r="N33" s="810"/>
      <c r="O33" s="810"/>
      <c r="P33" s="810"/>
      <c r="Q33" s="810"/>
      <c r="R33" s="810"/>
      <c r="S33" s="810"/>
      <c r="T33" s="810"/>
      <c r="U33" s="810"/>
      <c r="V33" s="810"/>
      <c r="W33" s="810"/>
      <c r="X33" s="810"/>
      <c r="Y33" s="810"/>
      <c r="Z33" s="810"/>
      <c r="AA33" s="810"/>
      <c r="AB33" s="810"/>
      <c r="AC33" s="810"/>
      <c r="AD33" s="810"/>
      <c r="AE33" s="810"/>
      <c r="AF33" s="810"/>
      <c r="AG33" s="810"/>
      <c r="AH33" s="810"/>
      <c r="AI33" s="810"/>
      <c r="AJ33" s="810"/>
      <c r="AK33" s="810"/>
      <c r="AL33" s="811" t="e">
        <f>VLOOKUP(D33,#REF!,8,0)+VLOOKUP($D33,#REF!,7,0)</f>
        <v>#REF!</v>
      </c>
      <c r="AM33" s="811" t="e">
        <f t="shared" si="3"/>
        <v>#REF!</v>
      </c>
    </row>
    <row r="34" spans="1:39">
      <c r="A34" s="801" t="str">
        <f t="shared" si="1"/>
        <v>충청</v>
      </c>
      <c r="B34" s="805">
        <v>37.952380952380999</v>
      </c>
      <c r="C34" s="806" t="str">
        <f>VLOOKUP(D34,이익목표!$B$20:$H$61,7,0)</f>
        <v>충청</v>
      </c>
      <c r="D34" s="807" t="s">
        <v>455</v>
      </c>
      <c r="E34" s="808" t="s">
        <v>622</v>
      </c>
      <c r="F34" s="809">
        <f t="shared" si="2"/>
        <v>0</v>
      </c>
      <c r="G34" s="810"/>
      <c r="H34" s="810"/>
      <c r="I34" s="810"/>
      <c r="J34" s="810"/>
      <c r="K34" s="810"/>
      <c r="L34" s="810"/>
      <c r="M34" s="810"/>
      <c r="N34" s="810"/>
      <c r="O34" s="810"/>
      <c r="P34" s="810"/>
      <c r="Q34" s="810"/>
      <c r="R34" s="810"/>
      <c r="S34" s="810"/>
      <c r="T34" s="810"/>
      <c r="U34" s="810"/>
      <c r="V34" s="810"/>
      <c r="W34" s="810"/>
      <c r="X34" s="810"/>
      <c r="Y34" s="810"/>
      <c r="Z34" s="810"/>
      <c r="AA34" s="810"/>
      <c r="AB34" s="810"/>
      <c r="AC34" s="810"/>
      <c r="AD34" s="810"/>
      <c r="AE34" s="810"/>
      <c r="AF34" s="810"/>
      <c r="AG34" s="810"/>
      <c r="AH34" s="810"/>
      <c r="AI34" s="810"/>
      <c r="AJ34" s="810"/>
      <c r="AK34" s="810"/>
      <c r="AL34" s="811" t="e">
        <f>VLOOKUP(D34,#REF!,8,0)+VLOOKUP($D34,#REF!,7,0)</f>
        <v>#REF!</v>
      </c>
      <c r="AM34" s="811" t="e">
        <f t="shared" si="3"/>
        <v>#REF!</v>
      </c>
    </row>
    <row r="35" spans="1:39">
      <c r="A35" s="801" t="str">
        <f t="shared" si="1"/>
        <v>부산</v>
      </c>
      <c r="B35" s="805">
        <v>39.180952380952398</v>
      </c>
      <c r="C35" s="806" t="str">
        <f>VLOOKUP(D35,이익목표!$B$20:$H$61,7,0)</f>
        <v>부산</v>
      </c>
      <c r="D35" s="807" t="s">
        <v>425</v>
      </c>
      <c r="E35" s="808" t="s">
        <v>627</v>
      </c>
      <c r="F35" s="809">
        <f t="shared" si="2"/>
        <v>0</v>
      </c>
      <c r="G35" s="810"/>
      <c r="H35" s="810"/>
      <c r="I35" s="810"/>
      <c r="J35" s="810"/>
      <c r="K35" s="810"/>
      <c r="L35" s="810"/>
      <c r="M35" s="810"/>
      <c r="N35" s="810"/>
      <c r="O35" s="810"/>
      <c r="P35" s="810"/>
      <c r="Q35" s="810"/>
      <c r="R35" s="810"/>
      <c r="S35" s="810"/>
      <c r="T35" s="810"/>
      <c r="U35" s="810"/>
      <c r="V35" s="810"/>
      <c r="W35" s="810"/>
      <c r="X35" s="810"/>
      <c r="Y35" s="810"/>
      <c r="Z35" s="810"/>
      <c r="AA35" s="810"/>
      <c r="AB35" s="810"/>
      <c r="AC35" s="810"/>
      <c r="AD35" s="810"/>
      <c r="AE35" s="810"/>
      <c r="AF35" s="810"/>
      <c r="AG35" s="810"/>
      <c r="AH35" s="810"/>
      <c r="AI35" s="810"/>
      <c r="AJ35" s="810"/>
      <c r="AK35" s="810"/>
      <c r="AL35" s="811" t="e">
        <f>VLOOKUP(D35,#REF!,8,0)+VLOOKUP($D35,#REF!,7,0)</f>
        <v>#REF!</v>
      </c>
      <c r="AM35" s="811" t="e">
        <f t="shared" si="3"/>
        <v>#REF!</v>
      </c>
    </row>
    <row r="36" spans="1:39">
      <c r="A36" s="801" t="str">
        <f t="shared" si="1"/>
        <v>부산</v>
      </c>
      <c r="B36" s="805">
        <v>40.409523809523797</v>
      </c>
      <c r="C36" s="806" t="str">
        <f>VLOOKUP(D36,이익목표!$B$20:$H$61,7,0)</f>
        <v>부산</v>
      </c>
      <c r="D36" s="807" t="s">
        <v>429</v>
      </c>
      <c r="E36" s="808" t="s">
        <v>628</v>
      </c>
      <c r="F36" s="809">
        <f t="shared" si="2"/>
        <v>0</v>
      </c>
      <c r="G36" s="810"/>
      <c r="H36" s="810"/>
      <c r="I36" s="810"/>
      <c r="J36" s="810"/>
      <c r="K36" s="810"/>
      <c r="L36" s="810"/>
      <c r="M36" s="810"/>
      <c r="N36" s="810"/>
      <c r="O36" s="810"/>
      <c r="P36" s="810"/>
      <c r="Q36" s="810"/>
      <c r="R36" s="810"/>
      <c r="S36" s="810"/>
      <c r="T36" s="810"/>
      <c r="U36" s="810"/>
      <c r="V36" s="810"/>
      <c r="W36" s="810"/>
      <c r="X36" s="810"/>
      <c r="Y36" s="810"/>
      <c r="Z36" s="810"/>
      <c r="AA36" s="810"/>
      <c r="AB36" s="810"/>
      <c r="AC36" s="810"/>
      <c r="AD36" s="810"/>
      <c r="AE36" s="810"/>
      <c r="AF36" s="810"/>
      <c r="AG36" s="810"/>
      <c r="AH36" s="810"/>
      <c r="AI36" s="810"/>
      <c r="AJ36" s="810"/>
      <c r="AK36" s="810"/>
      <c r="AL36" s="811" t="e">
        <f>VLOOKUP(D36,#REF!,8,0)+VLOOKUP($D36,#REF!,7,0)</f>
        <v>#REF!</v>
      </c>
      <c r="AM36" s="811" t="e">
        <f t="shared" si="3"/>
        <v>#REF!</v>
      </c>
    </row>
    <row r="37" spans="1:39">
      <c r="A37" s="801" t="str">
        <f t="shared" si="1"/>
        <v>부산</v>
      </c>
      <c r="B37" s="805">
        <v>41.638095238095197</v>
      </c>
      <c r="C37" s="806" t="str">
        <f>VLOOKUP(D37,이익목표!$B$20:$H$61,7,0)</f>
        <v>부산</v>
      </c>
      <c r="D37" s="807" t="s">
        <v>421</v>
      </c>
      <c r="E37" s="808" t="s">
        <v>630</v>
      </c>
      <c r="F37" s="809">
        <f t="shared" si="2"/>
        <v>0</v>
      </c>
      <c r="G37" s="810"/>
      <c r="H37" s="810"/>
      <c r="I37" s="810"/>
      <c r="J37" s="810"/>
      <c r="K37" s="810"/>
      <c r="L37" s="810"/>
      <c r="M37" s="810"/>
      <c r="N37" s="810"/>
      <c r="O37" s="810"/>
      <c r="P37" s="810"/>
      <c r="Q37" s="810"/>
      <c r="R37" s="810"/>
      <c r="S37" s="810"/>
      <c r="T37" s="810"/>
      <c r="U37" s="810"/>
      <c r="V37" s="810"/>
      <c r="W37" s="810"/>
      <c r="X37" s="810"/>
      <c r="Y37" s="810"/>
      <c r="Z37" s="810"/>
      <c r="AA37" s="810"/>
      <c r="AB37" s="810"/>
      <c r="AC37" s="810"/>
      <c r="AD37" s="810"/>
      <c r="AE37" s="810"/>
      <c r="AF37" s="810"/>
      <c r="AG37" s="810"/>
      <c r="AH37" s="810"/>
      <c r="AI37" s="810"/>
      <c r="AJ37" s="810"/>
      <c r="AK37" s="810"/>
      <c r="AL37" s="811" t="e">
        <f>VLOOKUP(D37,#REF!,8,0)+VLOOKUP($D37,#REF!,7,0)</f>
        <v>#REF!</v>
      </c>
      <c r="AM37" s="811" t="e">
        <f t="shared" si="3"/>
        <v>#REF!</v>
      </c>
    </row>
    <row r="38" spans="1:39">
      <c r="A38" s="801" t="str">
        <f t="shared" si="1"/>
        <v>부산</v>
      </c>
      <c r="B38" s="805">
        <v>42.866666666666703</v>
      </c>
      <c r="C38" s="806" t="str">
        <f>VLOOKUP(D38,이익목표!$B$20:$H$61,7,0)</f>
        <v>부산</v>
      </c>
      <c r="D38" s="807" t="s">
        <v>435</v>
      </c>
      <c r="E38" s="808" t="s">
        <v>631</v>
      </c>
      <c r="F38" s="809">
        <f t="shared" si="2"/>
        <v>0</v>
      </c>
      <c r="G38" s="810"/>
      <c r="H38" s="810"/>
      <c r="I38" s="810"/>
      <c r="J38" s="810"/>
      <c r="K38" s="810"/>
      <c r="L38" s="810"/>
      <c r="M38" s="810"/>
      <c r="N38" s="810"/>
      <c r="O38" s="810"/>
      <c r="P38" s="810"/>
      <c r="Q38" s="810"/>
      <c r="R38" s="810"/>
      <c r="S38" s="810"/>
      <c r="T38" s="810"/>
      <c r="U38" s="810"/>
      <c r="V38" s="810"/>
      <c r="W38" s="810"/>
      <c r="X38" s="810"/>
      <c r="Y38" s="810"/>
      <c r="Z38" s="810"/>
      <c r="AA38" s="810"/>
      <c r="AB38" s="810"/>
      <c r="AC38" s="810"/>
      <c r="AD38" s="810"/>
      <c r="AE38" s="810"/>
      <c r="AF38" s="810"/>
      <c r="AG38" s="810"/>
      <c r="AH38" s="810"/>
      <c r="AI38" s="810"/>
      <c r="AJ38" s="810"/>
      <c r="AK38" s="810"/>
      <c r="AL38" s="811" t="e">
        <f>VLOOKUP(D38,#REF!,8,0)+VLOOKUP($D38,#REF!,7,0)</f>
        <v>#REF!</v>
      </c>
      <c r="AM38" s="811" t="e">
        <f t="shared" si="3"/>
        <v>#REF!</v>
      </c>
    </row>
    <row r="39" spans="1:39">
      <c r="A39" s="801" t="str">
        <f t="shared" si="1"/>
        <v>부산</v>
      </c>
      <c r="B39" s="805">
        <v>44.095238095238102</v>
      </c>
      <c r="C39" s="806" t="str">
        <f>VLOOKUP(D39,이익목표!$B$20:$H$61,7,0)</f>
        <v>부산</v>
      </c>
      <c r="D39" s="807" t="s">
        <v>438</v>
      </c>
      <c r="E39" s="808" t="s">
        <v>632</v>
      </c>
      <c r="F39" s="809">
        <f t="shared" si="2"/>
        <v>0</v>
      </c>
      <c r="G39" s="810"/>
      <c r="H39" s="810"/>
      <c r="I39" s="810"/>
      <c r="J39" s="810"/>
      <c r="K39" s="810"/>
      <c r="L39" s="810"/>
      <c r="M39" s="810"/>
      <c r="N39" s="810"/>
      <c r="O39" s="810"/>
      <c r="P39" s="810"/>
      <c r="Q39" s="810"/>
      <c r="R39" s="810"/>
      <c r="S39" s="810"/>
      <c r="T39" s="810"/>
      <c r="U39" s="810"/>
      <c r="V39" s="810"/>
      <c r="W39" s="810"/>
      <c r="X39" s="810"/>
      <c r="Y39" s="810"/>
      <c r="Z39" s="810"/>
      <c r="AA39" s="810"/>
      <c r="AB39" s="810"/>
      <c r="AC39" s="810"/>
      <c r="AD39" s="810"/>
      <c r="AE39" s="810"/>
      <c r="AF39" s="810"/>
      <c r="AG39" s="810"/>
      <c r="AH39" s="810"/>
      <c r="AI39" s="810"/>
      <c r="AJ39" s="810"/>
      <c r="AK39" s="810"/>
      <c r="AL39" s="811" t="e">
        <f>VLOOKUP(D39,#REF!,8,0)+VLOOKUP($D39,#REF!,7,0)</f>
        <v>#REF!</v>
      </c>
      <c r="AM39" s="811" t="e">
        <f t="shared" si="3"/>
        <v>#REF!</v>
      </c>
    </row>
    <row r="40" spans="1:39">
      <c r="A40" s="801" t="str">
        <f t="shared" si="1"/>
        <v>부산</v>
      </c>
      <c r="B40" s="805">
        <v>45.323809523809501</v>
      </c>
      <c r="C40" s="806" t="str">
        <f>VLOOKUP(D40,이익목표!$B$20:$H$61,7,0)</f>
        <v>부산</v>
      </c>
      <c r="D40" s="807" t="s">
        <v>423</v>
      </c>
      <c r="E40" s="808" t="s">
        <v>634</v>
      </c>
      <c r="F40" s="809">
        <f t="shared" si="2"/>
        <v>0</v>
      </c>
      <c r="G40" s="810"/>
      <c r="H40" s="810"/>
      <c r="I40" s="810"/>
      <c r="J40" s="810"/>
      <c r="K40" s="810"/>
      <c r="L40" s="810"/>
      <c r="M40" s="810"/>
      <c r="N40" s="810"/>
      <c r="O40" s="810"/>
      <c r="P40" s="810"/>
      <c r="Q40" s="810"/>
      <c r="R40" s="810"/>
      <c r="S40" s="810"/>
      <c r="T40" s="810"/>
      <c r="U40" s="810"/>
      <c r="V40" s="810"/>
      <c r="W40" s="810"/>
      <c r="X40" s="810"/>
      <c r="Y40" s="810"/>
      <c r="Z40" s="810"/>
      <c r="AA40" s="810"/>
      <c r="AB40" s="810"/>
      <c r="AC40" s="810"/>
      <c r="AD40" s="810"/>
      <c r="AE40" s="810"/>
      <c r="AF40" s="810"/>
      <c r="AG40" s="810"/>
      <c r="AH40" s="810"/>
      <c r="AI40" s="810"/>
      <c r="AJ40" s="810"/>
      <c r="AK40" s="810"/>
      <c r="AL40" s="811" t="e">
        <f>VLOOKUP(D40,#REF!,8,0)+VLOOKUP($D40,#REF!,7,0)</f>
        <v>#REF!</v>
      </c>
      <c r="AM40" s="811" t="e">
        <f t="shared" si="3"/>
        <v>#REF!</v>
      </c>
    </row>
    <row r="41" spans="1:39">
      <c r="A41" s="801" t="str">
        <f t="shared" si="1"/>
        <v>대구</v>
      </c>
      <c r="B41" s="805">
        <v>46.552380952381</v>
      </c>
      <c r="C41" s="806" t="str">
        <f>VLOOKUP(D41,이익목표!$B$20:$H$61,7,0)</f>
        <v>대구</v>
      </c>
      <c r="D41" s="807" t="s">
        <v>442</v>
      </c>
      <c r="E41" s="808" t="s">
        <v>638</v>
      </c>
      <c r="F41" s="809">
        <f t="shared" si="2"/>
        <v>0</v>
      </c>
      <c r="G41" s="810"/>
      <c r="H41" s="810"/>
      <c r="I41" s="810"/>
      <c r="J41" s="810"/>
      <c r="K41" s="810"/>
      <c r="L41" s="810"/>
      <c r="M41" s="810"/>
      <c r="N41" s="810"/>
      <c r="O41" s="810"/>
      <c r="P41" s="810"/>
      <c r="Q41" s="810"/>
      <c r="R41" s="810"/>
      <c r="S41" s="810"/>
      <c r="T41" s="810"/>
      <c r="U41" s="810"/>
      <c r="V41" s="810"/>
      <c r="W41" s="810"/>
      <c r="X41" s="810"/>
      <c r="Y41" s="810"/>
      <c r="Z41" s="810"/>
      <c r="AA41" s="810"/>
      <c r="AB41" s="810"/>
      <c r="AC41" s="810"/>
      <c r="AD41" s="810"/>
      <c r="AE41" s="810"/>
      <c r="AF41" s="810"/>
      <c r="AG41" s="810"/>
      <c r="AH41" s="810"/>
      <c r="AI41" s="810"/>
      <c r="AJ41" s="810"/>
      <c r="AK41" s="810"/>
      <c r="AL41" s="811" t="e">
        <f>VLOOKUP(D41,#REF!,8,0)+VLOOKUP($D41,#REF!,7,0)</f>
        <v>#REF!</v>
      </c>
      <c r="AM41" s="811" t="e">
        <f t="shared" si="3"/>
        <v>#REF!</v>
      </c>
    </row>
    <row r="42" spans="1:39">
      <c r="A42" s="801" t="str">
        <f t="shared" si="1"/>
        <v>대구</v>
      </c>
      <c r="B42" s="805">
        <v>47.780952380952399</v>
      </c>
      <c r="C42" s="806" t="str">
        <f>VLOOKUP(D42,이익목표!$B$20:$H$61,7,0)</f>
        <v>대구</v>
      </c>
      <c r="D42" s="807" t="s">
        <v>450</v>
      </c>
      <c r="E42" s="808" t="s">
        <v>637</v>
      </c>
      <c r="F42" s="809">
        <f t="shared" si="2"/>
        <v>0</v>
      </c>
      <c r="G42" s="810"/>
      <c r="H42" s="810"/>
      <c r="I42" s="810"/>
      <c r="J42" s="810"/>
      <c r="K42" s="810"/>
      <c r="L42" s="810"/>
      <c r="M42" s="810"/>
      <c r="N42" s="810"/>
      <c r="O42" s="810"/>
      <c r="P42" s="810"/>
      <c r="Q42" s="810"/>
      <c r="R42" s="810"/>
      <c r="S42" s="810"/>
      <c r="T42" s="810"/>
      <c r="U42" s="810"/>
      <c r="V42" s="810"/>
      <c r="W42" s="810"/>
      <c r="X42" s="810"/>
      <c r="Y42" s="810"/>
      <c r="Z42" s="810"/>
      <c r="AA42" s="810"/>
      <c r="AB42" s="810"/>
      <c r="AC42" s="810"/>
      <c r="AD42" s="810"/>
      <c r="AE42" s="810"/>
      <c r="AF42" s="810"/>
      <c r="AG42" s="810"/>
      <c r="AH42" s="810"/>
      <c r="AI42" s="810"/>
      <c r="AJ42" s="810"/>
      <c r="AK42" s="810"/>
      <c r="AL42" s="811" t="e">
        <f>VLOOKUP(D42,#REF!,8,0)+VLOOKUP($D42,#REF!,7,0)</f>
        <v>#REF!</v>
      </c>
      <c r="AM42" s="811" t="e">
        <f t="shared" si="3"/>
        <v>#REF!</v>
      </c>
    </row>
    <row r="43" spans="1:39">
      <c r="A43" s="801" t="str">
        <f t="shared" si="1"/>
        <v>대구</v>
      </c>
      <c r="B43" s="805">
        <v>49.009523809523799</v>
      </c>
      <c r="C43" s="806" t="str">
        <f>VLOOKUP(D43,이익목표!$B$20:$H$61,7,0)</f>
        <v>대구</v>
      </c>
      <c r="D43" s="807" t="s">
        <v>440</v>
      </c>
      <c r="E43" s="808" t="s">
        <v>639</v>
      </c>
      <c r="F43" s="809">
        <f t="shared" si="2"/>
        <v>0</v>
      </c>
      <c r="G43" s="810"/>
      <c r="H43" s="810"/>
      <c r="I43" s="810"/>
      <c r="J43" s="810"/>
      <c r="K43" s="810"/>
      <c r="L43" s="810"/>
      <c r="M43" s="810"/>
      <c r="N43" s="810"/>
      <c r="O43" s="810"/>
      <c r="P43" s="810"/>
      <c r="Q43" s="810"/>
      <c r="R43" s="810"/>
      <c r="S43" s="810"/>
      <c r="T43" s="810"/>
      <c r="U43" s="810"/>
      <c r="V43" s="810"/>
      <c r="W43" s="810"/>
      <c r="X43" s="810"/>
      <c r="Y43" s="810"/>
      <c r="Z43" s="810"/>
      <c r="AA43" s="810"/>
      <c r="AB43" s="810"/>
      <c r="AC43" s="810"/>
      <c r="AD43" s="810"/>
      <c r="AE43" s="810"/>
      <c r="AF43" s="810"/>
      <c r="AG43" s="810"/>
      <c r="AH43" s="810"/>
      <c r="AI43" s="810"/>
      <c r="AJ43" s="810"/>
      <c r="AK43" s="810"/>
      <c r="AL43" s="811" t="e">
        <f>VLOOKUP(D43,#REF!,8,0)+VLOOKUP($D43,#REF!,7,0)</f>
        <v>#REF!</v>
      </c>
      <c r="AM43" s="811" t="e">
        <f t="shared" si="3"/>
        <v>#REF!</v>
      </c>
    </row>
    <row r="44" spans="1:39">
      <c r="A44" s="801" t="str">
        <f t="shared" si="1"/>
        <v>대구</v>
      </c>
      <c r="B44" s="805">
        <v>50.238095238095198</v>
      </c>
      <c r="C44" s="806" t="str">
        <f>VLOOKUP(D44,이익목표!$B$20:$H$61,7,0)</f>
        <v>대구</v>
      </c>
      <c r="D44" s="807" t="s">
        <v>448</v>
      </c>
      <c r="E44" s="808" t="s">
        <v>640</v>
      </c>
      <c r="F44" s="809">
        <f t="shared" si="2"/>
        <v>0</v>
      </c>
      <c r="G44" s="810"/>
      <c r="H44" s="810"/>
      <c r="I44" s="810"/>
      <c r="J44" s="810"/>
      <c r="K44" s="810"/>
      <c r="L44" s="810"/>
      <c r="M44" s="810"/>
      <c r="N44" s="810"/>
      <c r="O44" s="810"/>
      <c r="P44" s="810"/>
      <c r="Q44" s="810"/>
      <c r="R44" s="810"/>
      <c r="S44" s="810"/>
      <c r="T44" s="810"/>
      <c r="U44" s="810"/>
      <c r="V44" s="810"/>
      <c r="W44" s="810"/>
      <c r="X44" s="810"/>
      <c r="Y44" s="810"/>
      <c r="Z44" s="810"/>
      <c r="AA44" s="810"/>
      <c r="AB44" s="810"/>
      <c r="AC44" s="810"/>
      <c r="AD44" s="810"/>
      <c r="AE44" s="810"/>
      <c r="AF44" s="810"/>
      <c r="AG44" s="810"/>
      <c r="AH44" s="810"/>
      <c r="AI44" s="810"/>
      <c r="AJ44" s="810"/>
      <c r="AK44" s="810"/>
      <c r="AL44" s="811" t="e">
        <f>VLOOKUP(D44,#REF!,8,0)+VLOOKUP($D44,#REF!,7,0)</f>
        <v>#REF!</v>
      </c>
      <c r="AM44" s="811" t="e">
        <f t="shared" si="3"/>
        <v>#REF!</v>
      </c>
    </row>
    <row r="45" spans="1:39">
      <c r="A45" s="801" t="str">
        <f t="shared" si="1"/>
        <v>대구</v>
      </c>
      <c r="B45" s="805">
        <v>51.466666666666697</v>
      </c>
      <c r="C45" s="806" t="str">
        <f>VLOOKUP(D45,이익목표!$B$20:$H$61,7,0)</f>
        <v>대구</v>
      </c>
      <c r="D45" s="807" t="s">
        <v>444</v>
      </c>
      <c r="E45" s="808" t="s">
        <v>641</v>
      </c>
      <c r="F45" s="809">
        <f t="shared" si="2"/>
        <v>0</v>
      </c>
      <c r="G45" s="810"/>
      <c r="H45" s="810"/>
      <c r="I45" s="810"/>
      <c r="J45" s="810"/>
      <c r="K45" s="810"/>
      <c r="L45" s="810"/>
      <c r="M45" s="810"/>
      <c r="N45" s="810"/>
      <c r="O45" s="810"/>
      <c r="P45" s="810"/>
      <c r="Q45" s="810"/>
      <c r="R45" s="810"/>
      <c r="S45" s="810"/>
      <c r="T45" s="810"/>
      <c r="U45" s="810"/>
      <c r="V45" s="810"/>
      <c r="W45" s="810"/>
      <c r="X45" s="810"/>
      <c r="Y45" s="810"/>
      <c r="Z45" s="810"/>
      <c r="AA45" s="810"/>
      <c r="AB45" s="810"/>
      <c r="AC45" s="810"/>
      <c r="AD45" s="810"/>
      <c r="AE45" s="810"/>
      <c r="AF45" s="810"/>
      <c r="AG45" s="810"/>
      <c r="AH45" s="810"/>
      <c r="AI45" s="810"/>
      <c r="AJ45" s="810"/>
      <c r="AK45" s="810"/>
      <c r="AL45" s="811" t="e">
        <f>VLOOKUP(D45,#REF!,8,0)+VLOOKUP($D45,#REF!,7,0)</f>
        <v>#REF!</v>
      </c>
      <c r="AM45" s="811" t="e">
        <f t="shared" si="3"/>
        <v>#REF!</v>
      </c>
    </row>
  </sheetData>
  <mergeCells count="5">
    <mergeCell ref="B2:B3"/>
    <mergeCell ref="F2:F3"/>
    <mergeCell ref="C2:C3"/>
    <mergeCell ref="E2:E3"/>
    <mergeCell ref="D2:D3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00FF"/>
  </sheetPr>
  <dimension ref="A1:Q61"/>
  <sheetViews>
    <sheetView topLeftCell="A13" workbookViewId="0">
      <selection activeCell="A24" sqref="A24:A28"/>
    </sheetView>
  </sheetViews>
  <sheetFormatPr defaultColWidth="9" defaultRowHeight="16"/>
  <cols>
    <col min="1" max="1" width="7.75" style="723" bestFit="1" customWidth="1"/>
    <col min="2" max="2" width="9.25" style="723" customWidth="1"/>
    <col min="3" max="3" width="9.25" style="723" bestFit="1" customWidth="1"/>
    <col min="4" max="7" width="11.83203125" style="723" bestFit="1" customWidth="1"/>
    <col min="8" max="8" width="11" style="723" customWidth="1"/>
    <col min="9" max="9" width="18.58203125" style="724" customWidth="1"/>
    <col min="10" max="10" width="33.58203125" style="724" customWidth="1"/>
    <col min="11" max="12" width="11.08203125" style="724" customWidth="1"/>
    <col min="13" max="14" width="9" style="724"/>
    <col min="15" max="16384" width="9" style="723"/>
  </cols>
  <sheetData>
    <row r="1" spans="1:17" ht="30">
      <c r="A1" s="660" t="s">
        <v>657</v>
      </c>
    </row>
    <row r="2" spans="1:17">
      <c r="A2" s="974" t="s">
        <v>310</v>
      </c>
      <c r="B2" s="974"/>
      <c r="C2" s="975"/>
      <c r="D2" s="726" t="s">
        <v>674</v>
      </c>
      <c r="E2" s="726" t="s">
        <v>1167</v>
      </c>
      <c r="F2" s="726" t="s">
        <v>181</v>
      </c>
      <c r="G2" s="726" t="s">
        <v>1168</v>
      </c>
      <c r="I2" s="757" t="s">
        <v>676</v>
      </c>
      <c r="J2" s="757" t="s">
        <v>679</v>
      </c>
    </row>
    <row r="3" spans="1:17" ht="16.5" customHeight="1">
      <c r="A3" s="976" t="s">
        <v>331</v>
      </c>
      <c r="B3" s="976"/>
      <c r="C3" s="977"/>
      <c r="D3" s="727" t="e">
        <f>D9+D10</f>
        <v>#REF!</v>
      </c>
      <c r="E3" s="727" t="e">
        <f t="shared" ref="E3:G3" si="0">E9+E10</f>
        <v>#REF!</v>
      </c>
      <c r="F3" s="727" t="e">
        <f t="shared" si="0"/>
        <v>#REF!</v>
      </c>
      <c r="G3" s="727" t="e">
        <f t="shared" si="0"/>
        <v>#REF!</v>
      </c>
      <c r="I3" s="812" t="s">
        <v>675</v>
      </c>
      <c r="J3" s="756" t="s">
        <v>678</v>
      </c>
      <c r="O3" s="724"/>
      <c r="P3" s="724"/>
      <c r="Q3" s="724"/>
    </row>
    <row r="4" spans="1:17">
      <c r="A4" s="976" t="s">
        <v>332</v>
      </c>
      <c r="B4" s="976"/>
      <c r="C4" s="977"/>
      <c r="D4" s="727" t="e">
        <f>D11</f>
        <v>#REF!</v>
      </c>
      <c r="E4" s="727" t="e">
        <f t="shared" ref="E4:G5" si="1">E11</f>
        <v>#REF!</v>
      </c>
      <c r="F4" s="727" t="e">
        <f t="shared" si="1"/>
        <v>#REF!</v>
      </c>
      <c r="G4" s="727" t="e">
        <f t="shared" si="1"/>
        <v>#REF!</v>
      </c>
      <c r="I4" s="978" t="s">
        <v>677</v>
      </c>
      <c r="J4" s="756" t="s">
        <v>1166</v>
      </c>
      <c r="O4" s="724"/>
      <c r="P4" s="724"/>
      <c r="Q4" s="724"/>
    </row>
    <row r="5" spans="1:17">
      <c r="A5" s="976" t="s">
        <v>1240</v>
      </c>
      <c r="B5" s="976"/>
      <c r="C5" s="977"/>
      <c r="D5" s="727" t="e">
        <f>D12</f>
        <v>#REF!</v>
      </c>
      <c r="E5" s="727" t="e">
        <f t="shared" si="1"/>
        <v>#REF!</v>
      </c>
      <c r="F5" s="727" t="e">
        <f t="shared" si="1"/>
        <v>#REF!</v>
      </c>
      <c r="G5" s="727" t="e">
        <f t="shared" si="1"/>
        <v>#REF!</v>
      </c>
      <c r="I5" s="978"/>
      <c r="J5" s="756" t="s">
        <v>1338</v>
      </c>
      <c r="O5" s="724"/>
      <c r="P5" s="724"/>
      <c r="Q5" s="724"/>
    </row>
    <row r="6" spans="1:17">
      <c r="A6" s="976" t="s">
        <v>333</v>
      </c>
      <c r="B6" s="976"/>
      <c r="C6" s="977"/>
      <c r="D6" s="727" t="e">
        <f>D13+D14</f>
        <v>#REF!</v>
      </c>
      <c r="E6" s="727" t="e">
        <f t="shared" ref="E6:G6" si="2">E13+E14</f>
        <v>#REF!</v>
      </c>
      <c r="F6" s="727" t="e">
        <f t="shared" si="2"/>
        <v>#REF!</v>
      </c>
      <c r="G6" s="727" t="e">
        <f t="shared" si="2"/>
        <v>#REF!</v>
      </c>
      <c r="J6" s="769" t="s">
        <v>1169</v>
      </c>
      <c r="O6" s="724"/>
    </row>
    <row r="7" spans="1:17">
      <c r="A7" s="976" t="s">
        <v>334</v>
      </c>
      <c r="B7" s="976"/>
      <c r="C7" s="977"/>
      <c r="D7" s="727" t="e">
        <f>D15+D16</f>
        <v>#REF!</v>
      </c>
      <c r="E7" s="727" t="e">
        <f t="shared" ref="E7:G7" si="3">E15+E16</f>
        <v>#REF!</v>
      </c>
      <c r="F7" s="727" t="e">
        <f t="shared" si="3"/>
        <v>#REF!</v>
      </c>
      <c r="G7" s="727" t="e">
        <f t="shared" si="3"/>
        <v>#REF!</v>
      </c>
      <c r="J7" s="769" t="s">
        <v>1170</v>
      </c>
      <c r="O7" s="724"/>
      <c r="P7" s="724"/>
      <c r="Q7" s="724"/>
    </row>
    <row r="8" spans="1:17">
      <c r="A8" s="979" t="s">
        <v>502</v>
      </c>
      <c r="B8" s="979"/>
      <c r="C8" s="980"/>
      <c r="D8" s="731" t="e">
        <f t="shared" ref="D8:G8" si="4">SUM(D9:D16)</f>
        <v>#REF!</v>
      </c>
      <c r="E8" s="728" t="e">
        <f t="shared" si="4"/>
        <v>#REF!</v>
      </c>
      <c r="F8" s="728" t="e">
        <f t="shared" si="4"/>
        <v>#REF!</v>
      </c>
      <c r="G8" s="728" t="e">
        <f t="shared" si="4"/>
        <v>#REF!</v>
      </c>
      <c r="O8" s="724"/>
      <c r="P8" s="724"/>
      <c r="Q8" s="724"/>
    </row>
    <row r="9" spans="1:17">
      <c r="A9" s="976" t="s">
        <v>331</v>
      </c>
      <c r="B9" s="976"/>
      <c r="C9" s="977"/>
      <c r="D9" s="730" t="e">
        <f t="shared" ref="D9:G16" si="5">SUMIFS(D$20:D$61,$A$20:$A$61,$A9)</f>
        <v>#REF!</v>
      </c>
      <c r="E9" s="727" t="e">
        <f>SUMIFS(E$20:E$61,$A$20:$A$61,$A9)</f>
        <v>#REF!</v>
      </c>
      <c r="F9" s="727" t="e">
        <f t="shared" ref="F9:G9" si="6">SUMIFS(F$20:F$61,$A$20:$A$61,$A9)</f>
        <v>#REF!</v>
      </c>
      <c r="G9" s="727" t="e">
        <f t="shared" si="6"/>
        <v>#REF!</v>
      </c>
      <c r="O9" s="724"/>
      <c r="P9" s="724"/>
      <c r="Q9" s="724"/>
    </row>
    <row r="10" spans="1:17">
      <c r="A10" s="976" t="s">
        <v>347</v>
      </c>
      <c r="B10" s="976"/>
      <c r="C10" s="977"/>
      <c r="D10" s="730">
        <f t="shared" si="5"/>
        <v>0</v>
      </c>
      <c r="E10" s="727">
        <f t="shared" si="5"/>
        <v>0</v>
      </c>
      <c r="F10" s="727">
        <f>SUMIFS(F$20:F$61,$A$20:$A$61,$A10)</f>
        <v>0</v>
      </c>
      <c r="G10" s="727">
        <f t="shared" si="5"/>
        <v>0</v>
      </c>
      <c r="O10" s="724"/>
      <c r="P10" s="724"/>
      <c r="Q10" s="724"/>
    </row>
    <row r="11" spans="1:17">
      <c r="A11" s="976" t="s">
        <v>332</v>
      </c>
      <c r="B11" s="976"/>
      <c r="C11" s="977"/>
      <c r="D11" s="730" t="e">
        <f t="shared" si="5"/>
        <v>#REF!</v>
      </c>
      <c r="E11" s="727" t="e">
        <f t="shared" si="5"/>
        <v>#REF!</v>
      </c>
      <c r="F11" s="727" t="e">
        <f t="shared" si="5"/>
        <v>#REF!</v>
      </c>
      <c r="G11" s="727" t="e">
        <f t="shared" si="5"/>
        <v>#REF!</v>
      </c>
      <c r="O11" s="724"/>
      <c r="P11" s="724"/>
      <c r="Q11" s="724"/>
    </row>
    <row r="12" spans="1:17">
      <c r="A12" s="976" t="s">
        <v>1240</v>
      </c>
      <c r="B12" s="976"/>
      <c r="C12" s="977"/>
      <c r="D12" s="730" t="e">
        <f t="shared" si="5"/>
        <v>#REF!</v>
      </c>
      <c r="E12" s="727" t="e">
        <f t="shared" si="5"/>
        <v>#REF!</v>
      </c>
      <c r="F12" s="727" t="e">
        <f t="shared" si="5"/>
        <v>#REF!</v>
      </c>
      <c r="G12" s="727" t="e">
        <f t="shared" si="5"/>
        <v>#REF!</v>
      </c>
    </row>
    <row r="13" spans="1:17">
      <c r="A13" s="976" t="s">
        <v>351</v>
      </c>
      <c r="B13" s="976"/>
      <c r="C13" s="977"/>
      <c r="D13" s="730" t="e">
        <f t="shared" si="5"/>
        <v>#REF!</v>
      </c>
      <c r="E13" s="727" t="e">
        <f t="shared" si="5"/>
        <v>#REF!</v>
      </c>
      <c r="F13" s="727" t="e">
        <f t="shared" si="5"/>
        <v>#REF!</v>
      </c>
      <c r="G13" s="727" t="e">
        <f t="shared" si="5"/>
        <v>#REF!</v>
      </c>
    </row>
    <row r="14" spans="1:17">
      <c r="A14" s="976" t="s">
        <v>352</v>
      </c>
      <c r="B14" s="976"/>
      <c r="C14" s="977"/>
      <c r="D14" s="730" t="e">
        <f t="shared" si="5"/>
        <v>#REF!</v>
      </c>
      <c r="E14" s="727" t="e">
        <f t="shared" si="5"/>
        <v>#REF!</v>
      </c>
      <c r="F14" s="727" t="e">
        <f t="shared" si="5"/>
        <v>#REF!</v>
      </c>
      <c r="G14" s="727" t="e">
        <f t="shared" si="5"/>
        <v>#REF!</v>
      </c>
    </row>
    <row r="15" spans="1:17">
      <c r="A15" s="976" t="s">
        <v>354</v>
      </c>
      <c r="B15" s="976"/>
      <c r="C15" s="977"/>
      <c r="D15" s="730" t="e">
        <f t="shared" si="5"/>
        <v>#REF!</v>
      </c>
      <c r="E15" s="727" t="e">
        <f t="shared" si="5"/>
        <v>#REF!</v>
      </c>
      <c r="F15" s="727" t="e">
        <f t="shared" si="5"/>
        <v>#REF!</v>
      </c>
      <c r="G15" s="727" t="e">
        <f t="shared" si="5"/>
        <v>#REF!</v>
      </c>
    </row>
    <row r="16" spans="1:17">
      <c r="A16" s="976" t="s">
        <v>355</v>
      </c>
      <c r="B16" s="976"/>
      <c r="C16" s="977"/>
      <c r="D16" s="730" t="e">
        <f t="shared" si="5"/>
        <v>#REF!</v>
      </c>
      <c r="E16" s="727" t="e">
        <f t="shared" si="5"/>
        <v>#REF!</v>
      </c>
      <c r="F16" s="727" t="e">
        <f t="shared" si="5"/>
        <v>#REF!</v>
      </c>
      <c r="G16" s="727" t="e">
        <f t="shared" si="5"/>
        <v>#REF!</v>
      </c>
    </row>
    <row r="19" spans="1:12">
      <c r="A19" s="814" t="s">
        <v>516</v>
      </c>
      <c r="B19" s="725" t="s">
        <v>515</v>
      </c>
      <c r="C19" s="725" t="s">
        <v>514</v>
      </c>
      <c r="D19" s="726" t="s">
        <v>674</v>
      </c>
      <c r="E19" s="726" t="s">
        <v>1167</v>
      </c>
      <c r="F19" s="726" t="s">
        <v>181</v>
      </c>
      <c r="G19" s="726" t="s">
        <v>1168</v>
      </c>
      <c r="K19" s="768" t="s">
        <v>346</v>
      </c>
      <c r="L19" s="768" t="s">
        <v>366</v>
      </c>
    </row>
    <row r="20" spans="1:12">
      <c r="A20" s="813" t="s">
        <v>346</v>
      </c>
      <c r="B20" s="729" t="s">
        <v>366</v>
      </c>
      <c r="C20" s="727" t="s">
        <v>367</v>
      </c>
      <c r="D20" s="730" t="e">
        <f>VLOOKUP($C20,#REF!,2,0)*40000*2%*5.5</f>
        <v>#REF!</v>
      </c>
      <c r="E20" s="727" t="e">
        <f>F20+G20</f>
        <v>#REF!</v>
      </c>
      <c r="F20" s="727" t="e">
        <f>VLOOKUP($B20,#REF!,5,0)*16000*10.5%*5.5+VLOOKUP($B20,#REF!,6,0)*16000*10.5%*5.5</f>
        <v>#REF!</v>
      </c>
      <c r="G20" s="727" t="e">
        <f>VLOOKUP($B20,#REF!,7,0)*16000*5%*5.5+VLOOKUP($B20,#REF!,8,0)*16000*5%*5.5</f>
        <v>#REF!</v>
      </c>
      <c r="H20" s="798" t="s">
        <v>346</v>
      </c>
      <c r="K20" s="768" t="s">
        <v>346</v>
      </c>
      <c r="L20" s="768" t="s">
        <v>370</v>
      </c>
    </row>
    <row r="21" spans="1:12">
      <c r="A21" s="813" t="s">
        <v>346</v>
      </c>
      <c r="B21" s="729" t="s">
        <v>370</v>
      </c>
      <c r="C21" s="727" t="s">
        <v>371</v>
      </c>
      <c r="D21" s="730" t="e">
        <f>VLOOKUP($C21,#REF!,2,0)*40000*2%*5.5</f>
        <v>#REF!</v>
      </c>
      <c r="E21" s="727" t="e">
        <f t="shared" ref="E21:E61" si="7">F21+G21</f>
        <v>#REF!</v>
      </c>
      <c r="F21" s="727" t="e">
        <f>VLOOKUP($B21,#REF!,5,0)*16000*10.5%*5.5+VLOOKUP($B21,#REF!,6,0)*16000*10.5%*5.5</f>
        <v>#REF!</v>
      </c>
      <c r="G21" s="727" t="e">
        <f>VLOOKUP($B21,#REF!,7,0)*16000*5%*5.5+VLOOKUP($B21,#REF!,8,0)*16000*5%*5.5</f>
        <v>#REF!</v>
      </c>
      <c r="H21" s="798" t="s">
        <v>346</v>
      </c>
      <c r="K21" s="768" t="s">
        <v>346</v>
      </c>
      <c r="L21" s="768" t="s">
        <v>374</v>
      </c>
    </row>
    <row r="22" spans="1:12">
      <c r="A22" s="813" t="s">
        <v>346</v>
      </c>
      <c r="B22" s="729" t="s">
        <v>374</v>
      </c>
      <c r="C22" s="727" t="s">
        <v>375</v>
      </c>
      <c r="D22" s="730" t="e">
        <f>VLOOKUP($C22,#REF!,2,0)*40000*2%*5.5</f>
        <v>#REF!</v>
      </c>
      <c r="E22" s="727" t="e">
        <f t="shared" si="7"/>
        <v>#REF!</v>
      </c>
      <c r="F22" s="727" t="e">
        <f>VLOOKUP($B22,#REF!,5,0)*16000*10.5%*5.5+VLOOKUP($B22,#REF!,6,0)*16000*10.5%*5.5</f>
        <v>#REF!</v>
      </c>
      <c r="G22" s="727" t="e">
        <f>VLOOKUP($B22,#REF!,7,0)*16000*5%*5.5+VLOOKUP($B22,#REF!,8,0)*16000*5%*5.5</f>
        <v>#REF!</v>
      </c>
      <c r="H22" s="798" t="s">
        <v>346</v>
      </c>
      <c r="K22" s="768" t="s">
        <v>346</v>
      </c>
      <c r="L22" s="768" t="s">
        <v>377</v>
      </c>
    </row>
    <row r="23" spans="1:12">
      <c r="A23" s="813" t="s">
        <v>346</v>
      </c>
      <c r="B23" s="729" t="s">
        <v>377</v>
      </c>
      <c r="C23" s="727" t="s">
        <v>378</v>
      </c>
      <c r="D23" s="730" t="e">
        <f>VLOOKUP($C23,#REF!,2,0)*40000*2%*5.5</f>
        <v>#REF!</v>
      </c>
      <c r="E23" s="727" t="e">
        <f t="shared" si="7"/>
        <v>#REF!</v>
      </c>
      <c r="F23" s="727" t="e">
        <f>VLOOKUP($B23,#REF!,5,0)*16000*10.5%*5.5+VLOOKUP($B23,#REF!,6,0)*16000*10.5%*5.5</f>
        <v>#REF!</v>
      </c>
      <c r="G23" s="727" t="e">
        <f>VLOOKUP($B23,#REF!,7,0)*16000*5%*5.5+VLOOKUP($B23,#REF!,8,0)*16000*5%*5.5</f>
        <v>#REF!</v>
      </c>
      <c r="H23" s="798" t="s">
        <v>346</v>
      </c>
      <c r="K23" s="768" t="s">
        <v>346</v>
      </c>
      <c r="L23" s="768" t="s">
        <v>379</v>
      </c>
    </row>
    <row r="24" spans="1:12">
      <c r="A24" s="813" t="s">
        <v>346</v>
      </c>
      <c r="B24" s="729" t="s">
        <v>379</v>
      </c>
      <c r="C24" s="727" t="s">
        <v>380</v>
      </c>
      <c r="D24" s="730" t="e">
        <f>VLOOKUP($C24,#REF!,2,0)*40000*2%*5.5</f>
        <v>#REF!</v>
      </c>
      <c r="E24" s="727" t="e">
        <f t="shared" si="7"/>
        <v>#REF!</v>
      </c>
      <c r="F24" s="727" t="e">
        <f>VLOOKUP($B24,#REF!,5,0)*16000*10.5%*5.5+VLOOKUP($B24,#REF!,6,0)*16000*10.5%*5.5</f>
        <v>#REF!</v>
      </c>
      <c r="G24" s="727" t="e">
        <f>VLOOKUP($B24,#REF!,7,0)*16000*5%*5.5+VLOOKUP($B24,#REF!,8,0)*16000*5%*5.5</f>
        <v>#REF!</v>
      </c>
      <c r="H24" s="798" t="s">
        <v>346</v>
      </c>
      <c r="K24" s="768" t="s">
        <v>346</v>
      </c>
      <c r="L24" s="768" t="s">
        <v>381</v>
      </c>
    </row>
    <row r="25" spans="1:12">
      <c r="A25" s="813" t="s">
        <v>346</v>
      </c>
      <c r="B25" s="729" t="s">
        <v>381</v>
      </c>
      <c r="C25" s="727" t="s">
        <v>382</v>
      </c>
      <c r="D25" s="730" t="e">
        <f>VLOOKUP($C25,#REF!,2,0)*40000*2%*5.5</f>
        <v>#REF!</v>
      </c>
      <c r="E25" s="727" t="e">
        <f t="shared" si="7"/>
        <v>#REF!</v>
      </c>
      <c r="F25" s="727" t="e">
        <f>VLOOKUP($B25,#REF!,5,0)*16000*10.5%*5.5+VLOOKUP($B25,#REF!,6,0)*16000*10.5%*5.5</f>
        <v>#REF!</v>
      </c>
      <c r="G25" s="727" t="e">
        <f>VLOOKUP($B25,#REF!,7,0)*16000*5%*5.5+VLOOKUP($B25,#REF!,8,0)*16000*5%*5.5</f>
        <v>#REF!</v>
      </c>
      <c r="H25" s="798" t="s">
        <v>346</v>
      </c>
      <c r="K25" s="768" t="s">
        <v>346</v>
      </c>
      <c r="L25" s="768" t="s">
        <v>383</v>
      </c>
    </row>
    <row r="26" spans="1:12">
      <c r="A26" s="813" t="s">
        <v>346</v>
      </c>
      <c r="B26" s="729" t="s">
        <v>383</v>
      </c>
      <c r="C26" s="727" t="s">
        <v>384</v>
      </c>
      <c r="D26" s="730" t="e">
        <f>VLOOKUP($C26,#REF!,2,0)*40000*2%*5.5</f>
        <v>#REF!</v>
      </c>
      <c r="E26" s="727" t="e">
        <f t="shared" si="7"/>
        <v>#REF!</v>
      </c>
      <c r="F26" s="727" t="e">
        <f>VLOOKUP($B26,#REF!,5,0)*16000*10.5%*5.5+VLOOKUP($B26,#REF!,6,0)*16000*10.5%*5.5</f>
        <v>#REF!</v>
      </c>
      <c r="G26" s="727" t="e">
        <f>VLOOKUP($B26,#REF!,7,0)*16000*5%*5.5+VLOOKUP($B26,#REF!,8,0)*16000*5%*5.5</f>
        <v>#REF!</v>
      </c>
      <c r="H26" s="798" t="s">
        <v>357</v>
      </c>
      <c r="K26" s="768" t="s">
        <v>346</v>
      </c>
      <c r="L26" s="768" t="s">
        <v>385</v>
      </c>
    </row>
    <row r="27" spans="1:12">
      <c r="A27" s="813" t="s">
        <v>346</v>
      </c>
      <c r="B27" s="729" t="s">
        <v>385</v>
      </c>
      <c r="C27" s="727" t="s">
        <v>386</v>
      </c>
      <c r="D27" s="730" t="e">
        <f>VLOOKUP($C27,#REF!,2,0)*40000*2%*5.5</f>
        <v>#REF!</v>
      </c>
      <c r="E27" s="727" t="e">
        <f t="shared" si="7"/>
        <v>#REF!</v>
      </c>
      <c r="F27" s="727" t="e">
        <f>VLOOKUP($B27,#REF!,5,0)*16000*10.5%*5.5+VLOOKUP($B27,#REF!,6,0)*16000*10.5%*5.5</f>
        <v>#REF!</v>
      </c>
      <c r="G27" s="727" t="e">
        <f>VLOOKUP($B27,#REF!,7,0)*16000*5%*5.5+VLOOKUP($B27,#REF!,8,0)*16000*5%*5.5</f>
        <v>#REF!</v>
      </c>
      <c r="H27" s="798" t="s">
        <v>357</v>
      </c>
      <c r="K27" s="768" t="s">
        <v>346</v>
      </c>
      <c r="L27" s="768" t="s">
        <v>387</v>
      </c>
    </row>
    <row r="28" spans="1:12">
      <c r="A28" s="813" t="s">
        <v>346</v>
      </c>
      <c r="B28" s="729" t="s">
        <v>387</v>
      </c>
      <c r="C28" s="727" t="s">
        <v>388</v>
      </c>
      <c r="D28" s="730" t="e">
        <f>VLOOKUP($C28,#REF!,2,0)*40000*2%*5.5</f>
        <v>#REF!</v>
      </c>
      <c r="E28" s="727" t="e">
        <f t="shared" si="7"/>
        <v>#REF!</v>
      </c>
      <c r="F28" s="727" t="e">
        <f>VLOOKUP($B28,#REF!,5,0)*16000*10.5%*5.5+VLOOKUP($B28,#REF!,6,0)*16000*10.5%*5.5</f>
        <v>#REF!</v>
      </c>
      <c r="G28" s="727" t="e">
        <f>VLOOKUP($B28,#REF!,7,0)*16000*5%*5.5+VLOOKUP($B28,#REF!,8,0)*16000*5%*5.5</f>
        <v>#REF!</v>
      </c>
      <c r="H28" s="798" t="s">
        <v>357</v>
      </c>
      <c r="K28" s="768" t="s">
        <v>332</v>
      </c>
      <c r="L28" s="768" t="s">
        <v>389</v>
      </c>
    </row>
    <row r="29" spans="1:12">
      <c r="A29" s="813" t="s">
        <v>332</v>
      </c>
      <c r="B29" s="729" t="s">
        <v>389</v>
      </c>
      <c r="C29" s="727" t="s">
        <v>348</v>
      </c>
      <c r="D29" s="730" t="e">
        <f>VLOOKUP($C29,#REF!,2,0)*40000*2%*5.5</f>
        <v>#REF!</v>
      </c>
      <c r="E29" s="727" t="e">
        <f t="shared" si="7"/>
        <v>#REF!</v>
      </c>
      <c r="F29" s="727" t="e">
        <f>VLOOKUP($B29,#REF!,5,0)*16000*10.5%*5.5+VLOOKUP($B29,#REF!,6,0)*16000*10.5%*5.5</f>
        <v>#REF!</v>
      </c>
      <c r="G29" s="727" t="e">
        <f>VLOOKUP($B29,#REF!,7,0)*16000*5%*5.5+VLOOKUP($B29,#REF!,8,0)*16000*5%*5.5</f>
        <v>#REF!</v>
      </c>
      <c r="H29" s="798" t="s">
        <v>348</v>
      </c>
      <c r="K29" s="768" t="s">
        <v>332</v>
      </c>
      <c r="L29" s="768" t="s">
        <v>392</v>
      </c>
    </row>
    <row r="30" spans="1:12">
      <c r="A30" s="813" t="s">
        <v>332</v>
      </c>
      <c r="B30" s="729" t="s">
        <v>392</v>
      </c>
      <c r="C30" s="727" t="s">
        <v>393</v>
      </c>
      <c r="D30" s="730" t="e">
        <f>VLOOKUP($C30,#REF!,2,0)*40000*2%*5.5</f>
        <v>#REF!</v>
      </c>
      <c r="E30" s="727" t="e">
        <f t="shared" si="7"/>
        <v>#REF!</v>
      </c>
      <c r="F30" s="727" t="e">
        <f>VLOOKUP($B30,#REF!,5,0)*16000*10.5%*5.5+VLOOKUP($B30,#REF!,6,0)*16000*10.5%*5.5</f>
        <v>#REF!</v>
      </c>
      <c r="G30" s="727" t="e">
        <f>VLOOKUP($B30,#REF!,7,0)*16000*5%*5.5+VLOOKUP($B30,#REF!,8,0)*16000*5%*5.5</f>
        <v>#REF!</v>
      </c>
      <c r="H30" s="798" t="s">
        <v>348</v>
      </c>
      <c r="K30" s="768" t="s">
        <v>332</v>
      </c>
      <c r="L30" s="768" t="s">
        <v>397</v>
      </c>
    </row>
    <row r="31" spans="1:12">
      <c r="A31" s="813" t="s">
        <v>332</v>
      </c>
      <c r="B31" s="729" t="s">
        <v>397</v>
      </c>
      <c r="C31" s="727" t="s">
        <v>671</v>
      </c>
      <c r="D31" s="730" t="e">
        <f>VLOOKUP($C31,#REF!,2,0)*40000*2%*5.5</f>
        <v>#REF!</v>
      </c>
      <c r="E31" s="727" t="e">
        <f t="shared" si="7"/>
        <v>#REF!</v>
      </c>
      <c r="F31" s="727" t="e">
        <f>VLOOKUP($B31,#REF!,5,0)*16000*10.5%*5.5+VLOOKUP($B31,#REF!,6,0)*16000*10.5%*5.5</f>
        <v>#REF!</v>
      </c>
      <c r="G31" s="727" t="e">
        <f>VLOOKUP($B31,#REF!,7,0)*16000*5%*5.5+VLOOKUP($B31,#REF!,8,0)*16000*5%*5.5</f>
        <v>#REF!</v>
      </c>
      <c r="H31" s="798" t="s">
        <v>348</v>
      </c>
      <c r="K31" s="768" t="s">
        <v>332</v>
      </c>
      <c r="L31" s="768" t="s">
        <v>399</v>
      </c>
    </row>
    <row r="32" spans="1:12">
      <c r="A32" s="813" t="s">
        <v>332</v>
      </c>
      <c r="B32" s="729" t="s">
        <v>399</v>
      </c>
      <c r="C32" s="727" t="s">
        <v>400</v>
      </c>
      <c r="D32" s="730" t="e">
        <f>VLOOKUP($C32,#REF!,2,0)*40000*2%*5.5</f>
        <v>#REF!</v>
      </c>
      <c r="E32" s="727" t="e">
        <f t="shared" si="7"/>
        <v>#REF!</v>
      </c>
      <c r="F32" s="727" t="e">
        <f>VLOOKUP($B32,#REF!,5,0)*16000*10.5%*5.5+VLOOKUP($B32,#REF!,6,0)*16000*10.5%*5.5</f>
        <v>#REF!</v>
      </c>
      <c r="G32" s="727" t="e">
        <f>VLOOKUP($B32,#REF!,7,0)*16000*5%*5.5+VLOOKUP($B32,#REF!,8,0)*16000*5%*5.5</f>
        <v>#REF!</v>
      </c>
      <c r="H32" s="798" t="s">
        <v>348</v>
      </c>
      <c r="K32" s="768" t="s">
        <v>332</v>
      </c>
      <c r="L32" s="768" t="s">
        <v>401</v>
      </c>
    </row>
    <row r="33" spans="1:12">
      <c r="A33" s="813" t="s">
        <v>332</v>
      </c>
      <c r="B33" s="729" t="s">
        <v>401</v>
      </c>
      <c r="C33" s="727" t="s">
        <v>402</v>
      </c>
      <c r="D33" s="730" t="e">
        <f>VLOOKUP($C33,#REF!,2,0)*40000*2%*5.5</f>
        <v>#REF!</v>
      </c>
      <c r="E33" s="727" t="e">
        <f t="shared" si="7"/>
        <v>#REF!</v>
      </c>
      <c r="F33" s="727" t="e">
        <f>VLOOKUP($B33,#REF!,5,0)*16000*10.5%*5.5+VLOOKUP($B33,#REF!,6,0)*16000*10.5%*5.5</f>
        <v>#REF!</v>
      </c>
      <c r="G33" s="727" t="e">
        <f>VLOOKUP($B33,#REF!,7,0)*16000*5%*5.5+VLOOKUP($B33,#REF!,8,0)*16000*5%*5.5</f>
        <v>#REF!</v>
      </c>
      <c r="H33" s="798" t="s">
        <v>348</v>
      </c>
      <c r="K33" s="768" t="s">
        <v>332</v>
      </c>
      <c r="L33" s="768" t="s">
        <v>403</v>
      </c>
    </row>
    <row r="34" spans="1:12">
      <c r="A34" s="813" t="s">
        <v>332</v>
      </c>
      <c r="B34" s="729" t="s">
        <v>403</v>
      </c>
      <c r="C34" s="727" t="s">
        <v>404</v>
      </c>
      <c r="D34" s="730" t="e">
        <f>VLOOKUP($C34,#REF!,2,0)*40000*2%*5.5</f>
        <v>#REF!</v>
      </c>
      <c r="E34" s="727" t="e">
        <f t="shared" si="7"/>
        <v>#REF!</v>
      </c>
      <c r="F34" s="727" t="e">
        <f>VLOOKUP($B34,#REF!,5,0)*16000*10.5%*5.5+VLOOKUP($B34,#REF!,6,0)*16000*10.5%*5.5</f>
        <v>#REF!</v>
      </c>
      <c r="G34" s="727" t="e">
        <f>VLOOKUP($B34,#REF!,7,0)*16000*5%*5.5+VLOOKUP($B34,#REF!,8,0)*16000*5%*5.5</f>
        <v>#REF!</v>
      </c>
      <c r="H34" s="798" t="s">
        <v>348</v>
      </c>
      <c r="K34" s="768" t="s">
        <v>1240</v>
      </c>
      <c r="L34" s="768" t="s">
        <v>405</v>
      </c>
    </row>
    <row r="35" spans="1:12">
      <c r="A35" s="813" t="s">
        <v>1240</v>
      </c>
      <c r="B35" s="729" t="s">
        <v>405</v>
      </c>
      <c r="C35" s="727" t="s">
        <v>406</v>
      </c>
      <c r="D35" s="730" t="e">
        <f>VLOOKUP($C35,#REF!,2,0)*40000*2%*5.5</f>
        <v>#REF!</v>
      </c>
      <c r="E35" s="727" t="e">
        <f t="shared" si="7"/>
        <v>#REF!</v>
      </c>
      <c r="F35" s="727" t="e">
        <f>VLOOKUP($B35,#REF!,5,0)*16000*10.5%*5.5+VLOOKUP($B35,#REF!,6,0)*16000*10.5%*5.5</f>
        <v>#REF!</v>
      </c>
      <c r="G35" s="727" t="e">
        <f>VLOOKUP($B35,#REF!,7,0)*16000*5%*5.5+VLOOKUP($B35,#REF!,8,0)*16000*5%*5.5</f>
        <v>#REF!</v>
      </c>
      <c r="H35" s="798" t="s">
        <v>406</v>
      </c>
      <c r="K35" s="768" t="s">
        <v>1240</v>
      </c>
      <c r="L35" s="768" t="s">
        <v>407</v>
      </c>
    </row>
    <row r="36" spans="1:12">
      <c r="A36" s="813" t="s">
        <v>1240</v>
      </c>
      <c r="B36" s="729" t="s">
        <v>407</v>
      </c>
      <c r="C36" s="727" t="s">
        <v>408</v>
      </c>
      <c r="D36" s="730" t="e">
        <f>VLOOKUP($C36,#REF!,2,0)*40000*2%*5.5</f>
        <v>#REF!</v>
      </c>
      <c r="E36" s="727" t="e">
        <f t="shared" si="7"/>
        <v>#REF!</v>
      </c>
      <c r="F36" s="727" t="e">
        <f>VLOOKUP($B36,#REF!,5,0)*16000*10.5%*5.5+VLOOKUP($B36,#REF!,6,0)*16000*10.5%*5.5</f>
        <v>#REF!</v>
      </c>
      <c r="G36" s="727" t="e">
        <f>VLOOKUP($B36,#REF!,7,0)*16000*5%*5.5+VLOOKUP($B36,#REF!,8,0)*16000*5%*5.5</f>
        <v>#REF!</v>
      </c>
      <c r="H36" s="798" t="s">
        <v>406</v>
      </c>
      <c r="K36" s="768" t="s">
        <v>1240</v>
      </c>
      <c r="L36" s="768" t="s">
        <v>413</v>
      </c>
    </row>
    <row r="37" spans="1:12">
      <c r="A37" s="813" t="s">
        <v>1240</v>
      </c>
      <c r="B37" s="729" t="s">
        <v>413</v>
      </c>
      <c r="C37" s="727" t="s">
        <v>414</v>
      </c>
      <c r="D37" s="730" t="e">
        <f>VLOOKUP($C37,#REF!,2,0)*40000*2%*5.5</f>
        <v>#REF!</v>
      </c>
      <c r="E37" s="727" t="e">
        <f t="shared" si="7"/>
        <v>#REF!</v>
      </c>
      <c r="F37" s="727" t="e">
        <f>VLOOKUP($B37,#REF!,5,0)*16000*10.5%*5.5+VLOOKUP($B37,#REF!,6,0)*16000*10.5%*5.5</f>
        <v>#REF!</v>
      </c>
      <c r="G37" s="727" t="e">
        <f>VLOOKUP($B37,#REF!,7,0)*16000*5%*5.5+VLOOKUP($B37,#REF!,8,0)*16000*5%*5.5</f>
        <v>#REF!</v>
      </c>
      <c r="H37" s="798" t="s">
        <v>406</v>
      </c>
      <c r="K37" s="768" t="s">
        <v>1240</v>
      </c>
      <c r="L37" s="768" t="s">
        <v>415</v>
      </c>
    </row>
    <row r="38" spans="1:12">
      <c r="A38" s="813" t="s">
        <v>1240</v>
      </c>
      <c r="B38" s="729" t="s">
        <v>415</v>
      </c>
      <c r="C38" s="727" t="s">
        <v>416</v>
      </c>
      <c r="D38" s="730" t="e">
        <f>VLOOKUP($C38,#REF!,2,0)*40000*2%*5.5</f>
        <v>#REF!</v>
      </c>
      <c r="E38" s="727" t="e">
        <f t="shared" si="7"/>
        <v>#REF!</v>
      </c>
      <c r="F38" s="727" t="e">
        <f>VLOOKUP($B38,#REF!,5,0)*16000*10.5%*5.5+VLOOKUP($B38,#REF!,6,0)*16000*10.5%*5.5</f>
        <v>#REF!</v>
      </c>
      <c r="G38" s="727" t="e">
        <f>VLOOKUP($B38,#REF!,7,0)*16000*5%*5.5+VLOOKUP($B38,#REF!,8,0)*16000*5%*5.5</f>
        <v>#REF!</v>
      </c>
      <c r="H38" s="798" t="s">
        <v>406</v>
      </c>
      <c r="K38" s="768" t="s">
        <v>1240</v>
      </c>
      <c r="L38" s="768" t="s">
        <v>417</v>
      </c>
    </row>
    <row r="39" spans="1:12">
      <c r="A39" s="813" t="s">
        <v>1240</v>
      </c>
      <c r="B39" s="729" t="s">
        <v>417</v>
      </c>
      <c r="C39" s="727" t="s">
        <v>418</v>
      </c>
      <c r="D39" s="730" t="e">
        <f>VLOOKUP($C39,#REF!,2,0)*40000*2%*5.5</f>
        <v>#REF!</v>
      </c>
      <c r="E39" s="727" t="e">
        <f t="shared" si="7"/>
        <v>#REF!</v>
      </c>
      <c r="F39" s="727" t="e">
        <f>VLOOKUP($B39,#REF!,5,0)*16000*10.5%*5.5+VLOOKUP($B39,#REF!,6,0)*16000*10.5%*5.5</f>
        <v>#REF!</v>
      </c>
      <c r="G39" s="727" t="e">
        <f>VLOOKUP($B39,#REF!,7,0)*16000*5%*5.5+VLOOKUP($B39,#REF!,8,0)*16000*5%*5.5</f>
        <v>#REF!</v>
      </c>
      <c r="H39" s="798" t="s">
        <v>406</v>
      </c>
      <c r="K39" s="768" t="s">
        <v>1240</v>
      </c>
      <c r="L39" s="768" t="s">
        <v>419</v>
      </c>
    </row>
    <row r="40" spans="1:12">
      <c r="A40" s="813" t="s">
        <v>1240</v>
      </c>
      <c r="B40" s="729" t="s">
        <v>419</v>
      </c>
      <c r="C40" s="727" t="s">
        <v>420</v>
      </c>
      <c r="D40" s="730" t="e">
        <f>VLOOKUP($C40,#REF!,2,0)*40000*2%*5.5</f>
        <v>#REF!</v>
      </c>
      <c r="E40" s="727" t="e">
        <f t="shared" si="7"/>
        <v>#REF!</v>
      </c>
      <c r="F40" s="727" t="e">
        <f>VLOOKUP($B40,#REF!,5,0)*16000*10.5%*5.5+VLOOKUP($B40,#REF!,6,0)*16000*10.5%*5.5</f>
        <v>#REF!</v>
      </c>
      <c r="G40" s="727" t="e">
        <f>VLOOKUP($B40,#REF!,7,0)*16000*5%*5.5+VLOOKUP($B40,#REF!,8,0)*16000*5%*5.5</f>
        <v>#REF!</v>
      </c>
      <c r="H40" s="798" t="s">
        <v>406</v>
      </c>
      <c r="K40" s="768" t="s">
        <v>359</v>
      </c>
      <c r="L40" s="768" t="s">
        <v>421</v>
      </c>
    </row>
    <row r="41" spans="1:12">
      <c r="A41" s="813" t="s">
        <v>359</v>
      </c>
      <c r="B41" s="729" t="s">
        <v>421</v>
      </c>
      <c r="C41" s="727" t="s">
        <v>422</v>
      </c>
      <c r="D41" s="730" t="e">
        <f>VLOOKUP($C41,#REF!,2,0)*40000*2%*5.5</f>
        <v>#REF!</v>
      </c>
      <c r="E41" s="727" t="e">
        <f t="shared" si="7"/>
        <v>#REF!</v>
      </c>
      <c r="F41" s="727" t="e">
        <f>VLOOKUP($B41,#REF!,5,0)*16000*10.5%*5.5+VLOOKUP($B41,#REF!,6,0)*16000*10.5%*5.5</f>
        <v>#REF!</v>
      </c>
      <c r="G41" s="727" t="e">
        <f>VLOOKUP($B41,#REF!,7,0)*16000*5%*5.5+VLOOKUP($B41,#REF!,8,0)*16000*5%*5.5</f>
        <v>#REF!</v>
      </c>
      <c r="H41" s="798" t="s">
        <v>359</v>
      </c>
      <c r="K41" s="768" t="s">
        <v>359</v>
      </c>
      <c r="L41" s="768" t="s">
        <v>423</v>
      </c>
    </row>
    <row r="42" spans="1:12">
      <c r="A42" s="813" t="s">
        <v>359</v>
      </c>
      <c r="B42" s="729" t="s">
        <v>423</v>
      </c>
      <c r="C42" s="727" t="s">
        <v>424</v>
      </c>
      <c r="D42" s="730" t="e">
        <f>VLOOKUP($C42,#REF!,2,0)*40000*2%*5.5</f>
        <v>#REF!</v>
      </c>
      <c r="E42" s="727" t="e">
        <f t="shared" si="7"/>
        <v>#REF!</v>
      </c>
      <c r="F42" s="727" t="e">
        <f>VLOOKUP($B42,#REF!,5,0)*16000*10.5%*5.5+VLOOKUP($B42,#REF!,6,0)*16000*10.5%*5.5</f>
        <v>#REF!</v>
      </c>
      <c r="G42" s="727" t="e">
        <f>VLOOKUP($B42,#REF!,7,0)*16000*5%*5.5+VLOOKUP($B42,#REF!,8,0)*16000*5%*5.5</f>
        <v>#REF!</v>
      </c>
      <c r="H42" s="798" t="s">
        <v>359</v>
      </c>
      <c r="K42" s="768" t="s">
        <v>359</v>
      </c>
      <c r="L42" s="768" t="s">
        <v>425</v>
      </c>
    </row>
    <row r="43" spans="1:12">
      <c r="A43" s="813" t="s">
        <v>359</v>
      </c>
      <c r="B43" s="729" t="s">
        <v>425</v>
      </c>
      <c r="C43" s="727" t="s">
        <v>426</v>
      </c>
      <c r="D43" s="730" t="e">
        <f>VLOOKUP($C43,#REF!,2,0)*40000*2%*5.5</f>
        <v>#REF!</v>
      </c>
      <c r="E43" s="727" t="e">
        <f t="shared" si="7"/>
        <v>#REF!</v>
      </c>
      <c r="F43" s="727" t="e">
        <f>VLOOKUP($B43,#REF!,5,0)*16000*10.5%*5.5+VLOOKUP($B43,#REF!,6,0)*16000*10.5%*5.5</f>
        <v>#REF!</v>
      </c>
      <c r="G43" s="727" t="e">
        <f>VLOOKUP($B43,#REF!,7,0)*16000*5%*5.5+VLOOKUP($B43,#REF!,8,0)*16000*5%*5.5</f>
        <v>#REF!</v>
      </c>
      <c r="H43" s="798" t="s">
        <v>359</v>
      </c>
      <c r="K43" s="768" t="s">
        <v>359</v>
      </c>
      <c r="L43" s="768" t="s">
        <v>429</v>
      </c>
    </row>
    <row r="44" spans="1:12">
      <c r="A44" s="813" t="s">
        <v>359</v>
      </c>
      <c r="B44" s="729" t="s">
        <v>429</v>
      </c>
      <c r="C44" s="727" t="s">
        <v>430</v>
      </c>
      <c r="D44" s="730" t="e">
        <f>VLOOKUP($C44,#REF!,2,0)*40000*2%*5.5</f>
        <v>#REF!</v>
      </c>
      <c r="E44" s="727" t="e">
        <f t="shared" si="7"/>
        <v>#REF!</v>
      </c>
      <c r="F44" s="727" t="e">
        <f>VLOOKUP($B44,#REF!,5,0)*16000*10.5%*5.5+VLOOKUP($B44,#REF!,6,0)*16000*10.5%*5.5</f>
        <v>#REF!</v>
      </c>
      <c r="G44" s="727" t="e">
        <f>VLOOKUP($B44,#REF!,7,0)*16000*5%*5.5+VLOOKUP($B44,#REF!,8,0)*16000*5%*5.5</f>
        <v>#REF!</v>
      </c>
      <c r="H44" s="798" t="s">
        <v>359</v>
      </c>
      <c r="K44" s="768" t="s">
        <v>359</v>
      </c>
      <c r="L44" s="768" t="s">
        <v>435</v>
      </c>
    </row>
    <row r="45" spans="1:12">
      <c r="A45" s="813" t="s">
        <v>359</v>
      </c>
      <c r="B45" s="729" t="s">
        <v>435</v>
      </c>
      <c r="C45" s="727" t="s">
        <v>436</v>
      </c>
      <c r="D45" s="730" t="e">
        <f>VLOOKUP($C45,#REF!,2,0)*40000*2%*5.5</f>
        <v>#REF!</v>
      </c>
      <c r="E45" s="727" t="e">
        <f t="shared" si="7"/>
        <v>#REF!</v>
      </c>
      <c r="F45" s="727" t="e">
        <f>VLOOKUP($B45,#REF!,5,0)*16000*10.5%*5.5+VLOOKUP($B45,#REF!,6,0)*16000*10.5%*5.5</f>
        <v>#REF!</v>
      </c>
      <c r="G45" s="727" t="e">
        <f>VLOOKUP($B45,#REF!,7,0)*16000*5%*5.5+VLOOKUP($B45,#REF!,8,0)*16000*5%*5.5</f>
        <v>#REF!</v>
      </c>
      <c r="H45" s="798" t="s">
        <v>359</v>
      </c>
      <c r="K45" s="768" t="s">
        <v>359</v>
      </c>
      <c r="L45" s="768" t="s">
        <v>438</v>
      </c>
    </row>
    <row r="46" spans="1:12">
      <c r="A46" s="813" t="s">
        <v>359</v>
      </c>
      <c r="B46" s="729" t="s">
        <v>438</v>
      </c>
      <c r="C46" s="727" t="s">
        <v>439</v>
      </c>
      <c r="D46" s="730" t="e">
        <f>VLOOKUP($C46,#REF!,2,0)*40000*2%*5.5</f>
        <v>#REF!</v>
      </c>
      <c r="E46" s="727" t="e">
        <f t="shared" si="7"/>
        <v>#REF!</v>
      </c>
      <c r="F46" s="727" t="e">
        <f>VLOOKUP($B46,#REF!,5,0)*16000*10.5%*5.5+VLOOKUP($B46,#REF!,6,0)*16000*10.5%*5.5</f>
        <v>#REF!</v>
      </c>
      <c r="G46" s="727" t="e">
        <f>VLOOKUP($B46,#REF!,7,0)*16000*5%*5.5+VLOOKUP($B46,#REF!,8,0)*16000*5%*5.5</f>
        <v>#REF!</v>
      </c>
      <c r="H46" s="798" t="s">
        <v>359</v>
      </c>
      <c r="K46" s="768" t="s">
        <v>360</v>
      </c>
      <c r="L46" s="768" t="s">
        <v>440</v>
      </c>
    </row>
    <row r="47" spans="1:12">
      <c r="A47" s="813" t="s">
        <v>360</v>
      </c>
      <c r="B47" s="729" t="s">
        <v>440</v>
      </c>
      <c r="C47" s="727" t="s">
        <v>441</v>
      </c>
      <c r="D47" s="730" t="e">
        <f>VLOOKUP($C47,#REF!,2,0)*40000*2%*5.5</f>
        <v>#REF!</v>
      </c>
      <c r="E47" s="727" t="e">
        <f t="shared" si="7"/>
        <v>#REF!</v>
      </c>
      <c r="F47" s="727" t="e">
        <f>VLOOKUP($B47,#REF!,5,0)*16000*10.5%*5.5+VLOOKUP($B47,#REF!,6,0)*16000*10.5%*5.5</f>
        <v>#REF!</v>
      </c>
      <c r="G47" s="727" t="e">
        <f>VLOOKUP($B47,#REF!,7,0)*16000*5%*5.5+VLOOKUP($B47,#REF!,8,0)*16000*5%*5.5</f>
        <v>#REF!</v>
      </c>
      <c r="H47" s="798" t="s">
        <v>360</v>
      </c>
      <c r="K47" s="768" t="s">
        <v>360</v>
      </c>
      <c r="L47" s="768" t="s">
        <v>442</v>
      </c>
    </row>
    <row r="48" spans="1:12">
      <c r="A48" s="813" t="s">
        <v>360</v>
      </c>
      <c r="B48" s="729" t="s">
        <v>442</v>
      </c>
      <c r="C48" s="727" t="s">
        <v>447</v>
      </c>
      <c r="D48" s="730" t="e">
        <f>VLOOKUP($C48,#REF!,2,0)*40000*2%*5.5</f>
        <v>#REF!</v>
      </c>
      <c r="E48" s="727" t="e">
        <f t="shared" si="7"/>
        <v>#REF!</v>
      </c>
      <c r="F48" s="727" t="e">
        <f>VLOOKUP($B48,#REF!,5,0)*16000*10.5%*5.5+VLOOKUP($B48,#REF!,6,0)*16000*10.5%*5.5</f>
        <v>#REF!</v>
      </c>
      <c r="G48" s="727" t="e">
        <f>VLOOKUP($B48,#REF!,7,0)*16000*5%*5.5+VLOOKUP($B48,#REF!,8,0)*16000*5%*5.5</f>
        <v>#REF!</v>
      </c>
      <c r="H48" s="798" t="s">
        <v>360</v>
      </c>
      <c r="K48" s="768" t="s">
        <v>360</v>
      </c>
      <c r="L48" s="768" t="s">
        <v>444</v>
      </c>
    </row>
    <row r="49" spans="1:12">
      <c r="A49" s="813" t="s">
        <v>360</v>
      </c>
      <c r="B49" s="729" t="s">
        <v>444</v>
      </c>
      <c r="C49" s="727" t="s">
        <v>445</v>
      </c>
      <c r="D49" s="730" t="e">
        <f>VLOOKUP($C49,#REF!,2,0)*40000*2%*5.5</f>
        <v>#REF!</v>
      </c>
      <c r="E49" s="727" t="e">
        <f t="shared" si="7"/>
        <v>#REF!</v>
      </c>
      <c r="F49" s="727" t="e">
        <f>VLOOKUP($B49,#REF!,5,0)*16000*10.5%*5.5+VLOOKUP($B49,#REF!,6,0)*16000*10.5%*5.5</f>
        <v>#REF!</v>
      </c>
      <c r="G49" s="727" t="e">
        <f>VLOOKUP($B49,#REF!,7,0)*16000*5%*5.5+VLOOKUP($B49,#REF!,8,0)*16000*5%*5.5</f>
        <v>#REF!</v>
      </c>
      <c r="H49" s="798" t="s">
        <v>360</v>
      </c>
      <c r="K49" s="768" t="s">
        <v>360</v>
      </c>
      <c r="L49" s="768" t="s">
        <v>448</v>
      </c>
    </row>
    <row r="50" spans="1:12">
      <c r="A50" s="813" t="s">
        <v>360</v>
      </c>
      <c r="B50" s="729" t="s">
        <v>448</v>
      </c>
      <c r="C50" s="727" t="s">
        <v>449</v>
      </c>
      <c r="D50" s="730" t="e">
        <f>VLOOKUP($C50,#REF!,2,0)*40000*2%*5.5</f>
        <v>#REF!</v>
      </c>
      <c r="E50" s="727" t="e">
        <f t="shared" si="7"/>
        <v>#REF!</v>
      </c>
      <c r="F50" s="727" t="e">
        <f>VLOOKUP($B50,#REF!,5,0)*16000*10.5%*5.5+VLOOKUP($B50,#REF!,6,0)*16000*10.5%*5.5</f>
        <v>#REF!</v>
      </c>
      <c r="G50" s="727" t="e">
        <f>VLOOKUP($B50,#REF!,7,0)*16000*5%*5.5+VLOOKUP($B50,#REF!,8,0)*16000*5%*5.5</f>
        <v>#REF!</v>
      </c>
      <c r="H50" s="798" t="s">
        <v>360</v>
      </c>
      <c r="K50" s="768" t="s">
        <v>360</v>
      </c>
      <c r="L50" s="768" t="s">
        <v>450</v>
      </c>
    </row>
    <row r="51" spans="1:12">
      <c r="A51" s="813" t="s">
        <v>360</v>
      </c>
      <c r="B51" s="729" t="s">
        <v>450</v>
      </c>
      <c r="C51" s="727" t="s">
        <v>451</v>
      </c>
      <c r="D51" s="730" t="e">
        <f>VLOOKUP($C51,#REF!,2,0)*40000*2%*5.5</f>
        <v>#REF!</v>
      </c>
      <c r="E51" s="727" t="e">
        <f t="shared" si="7"/>
        <v>#REF!</v>
      </c>
      <c r="F51" s="727" t="e">
        <f>VLOOKUP($B51,#REF!,5,0)*16000*10.5%*5.5+VLOOKUP($B51,#REF!,6,0)*16000*10.5%*5.5</f>
        <v>#REF!</v>
      </c>
      <c r="G51" s="727" t="e">
        <f>VLOOKUP($B51,#REF!,7,0)*16000*5%*5.5+VLOOKUP($B51,#REF!,8,0)*16000*5%*5.5</f>
        <v>#REF!</v>
      </c>
      <c r="H51" s="798" t="s">
        <v>360</v>
      </c>
      <c r="K51" s="768" t="s">
        <v>361</v>
      </c>
      <c r="L51" s="768" t="s">
        <v>455</v>
      </c>
    </row>
    <row r="52" spans="1:12">
      <c r="A52" s="813" t="s">
        <v>361</v>
      </c>
      <c r="B52" s="729" t="s">
        <v>455</v>
      </c>
      <c r="C52" s="727" t="s">
        <v>456</v>
      </c>
      <c r="D52" s="730" t="e">
        <f>VLOOKUP($C52,#REF!,2,0)*40000*2%*5.5</f>
        <v>#REF!</v>
      </c>
      <c r="E52" s="727" t="e">
        <f t="shared" si="7"/>
        <v>#REF!</v>
      </c>
      <c r="F52" s="727" t="e">
        <f>VLOOKUP($B52,#REF!,5,0)*16000*10.5%*5.5+VLOOKUP($B52,#REF!,6,0)*16000*10.5%*5.5</f>
        <v>#REF!</v>
      </c>
      <c r="G52" s="727" t="e">
        <f>VLOOKUP($B52,#REF!,7,0)*16000*5%*5.5+VLOOKUP($B52,#REF!,8,0)*16000*5%*5.5</f>
        <v>#REF!</v>
      </c>
      <c r="H52" s="798" t="s">
        <v>361</v>
      </c>
      <c r="K52" s="768" t="s">
        <v>361</v>
      </c>
      <c r="L52" s="768" t="s">
        <v>457</v>
      </c>
    </row>
    <row r="53" spans="1:12">
      <c r="A53" s="813" t="s">
        <v>361</v>
      </c>
      <c r="B53" s="729" t="s">
        <v>457</v>
      </c>
      <c r="C53" s="727" t="s">
        <v>458</v>
      </c>
      <c r="D53" s="730" t="e">
        <f>VLOOKUP($C53,#REF!,2,0)*40000*2%*5.5</f>
        <v>#REF!</v>
      </c>
      <c r="E53" s="727" t="e">
        <f t="shared" si="7"/>
        <v>#REF!</v>
      </c>
      <c r="F53" s="727" t="e">
        <f>VLOOKUP($B53,#REF!,5,0)*16000*10.5%*5.5+VLOOKUP($B53,#REF!,6,0)*16000*10.5%*5.5</f>
        <v>#REF!</v>
      </c>
      <c r="G53" s="727" t="e">
        <f>VLOOKUP($B53,#REF!,7,0)*16000*5%*5.5+VLOOKUP($B53,#REF!,8,0)*16000*5%*5.5</f>
        <v>#REF!</v>
      </c>
      <c r="H53" s="798" t="s">
        <v>361</v>
      </c>
      <c r="K53" s="768" t="s">
        <v>361</v>
      </c>
      <c r="L53" s="768" t="s">
        <v>459</v>
      </c>
    </row>
    <row r="54" spans="1:12">
      <c r="A54" s="813" t="s">
        <v>361</v>
      </c>
      <c r="B54" s="729" t="s">
        <v>459</v>
      </c>
      <c r="C54" s="727" t="s">
        <v>460</v>
      </c>
      <c r="D54" s="730" t="e">
        <f>VLOOKUP($C54,#REF!,2,0)*40000*2%*5.5</f>
        <v>#REF!</v>
      </c>
      <c r="E54" s="727" t="e">
        <f t="shared" si="7"/>
        <v>#REF!</v>
      </c>
      <c r="F54" s="727" t="e">
        <f>VLOOKUP($B54,#REF!,5,0)*16000*10.5%*5.5+VLOOKUP($B54,#REF!,6,0)*16000*10.5%*5.5</f>
        <v>#REF!</v>
      </c>
      <c r="G54" s="727" t="e">
        <f>VLOOKUP($B54,#REF!,7,0)*16000*5%*5.5+VLOOKUP($B54,#REF!,8,0)*16000*5%*5.5</f>
        <v>#REF!</v>
      </c>
      <c r="H54" s="798" t="s">
        <v>361</v>
      </c>
      <c r="K54" s="768" t="s">
        <v>361</v>
      </c>
      <c r="L54" s="768" t="s">
        <v>461</v>
      </c>
    </row>
    <row r="55" spans="1:12">
      <c r="A55" s="813" t="s">
        <v>361</v>
      </c>
      <c r="B55" s="729" t="s">
        <v>461</v>
      </c>
      <c r="C55" s="727" t="s">
        <v>462</v>
      </c>
      <c r="D55" s="730" t="e">
        <f>VLOOKUP($C55,#REF!,2,0)*40000*2%*5.5</f>
        <v>#REF!</v>
      </c>
      <c r="E55" s="727" t="e">
        <f t="shared" si="7"/>
        <v>#REF!</v>
      </c>
      <c r="F55" s="727" t="e">
        <f>VLOOKUP($B55,#REF!,5,0)*16000*10.5%*5.5+VLOOKUP($B55,#REF!,6,0)*16000*10.5%*5.5</f>
        <v>#REF!</v>
      </c>
      <c r="G55" s="727" t="e">
        <f>VLOOKUP($B55,#REF!,7,0)*16000*5%*5.5+VLOOKUP($B55,#REF!,8,0)*16000*5%*5.5</f>
        <v>#REF!</v>
      </c>
      <c r="H55" s="798" t="s">
        <v>361</v>
      </c>
      <c r="K55" s="768" t="s">
        <v>361</v>
      </c>
      <c r="L55" s="768" t="s">
        <v>463</v>
      </c>
    </row>
    <row r="56" spans="1:12">
      <c r="A56" s="813" t="s">
        <v>361</v>
      </c>
      <c r="B56" s="729" t="s">
        <v>463</v>
      </c>
      <c r="C56" s="727" t="s">
        <v>683</v>
      </c>
      <c r="D56" s="730" t="e">
        <f>VLOOKUP($C56,#REF!,2,0)*40000*2%*5.5</f>
        <v>#REF!</v>
      </c>
      <c r="E56" s="727" t="e">
        <f t="shared" si="7"/>
        <v>#REF!</v>
      </c>
      <c r="F56" s="727" t="e">
        <f>VLOOKUP($B56,#REF!,5,0)*16000*10.5%*5.5+VLOOKUP($B56,#REF!,6,0)*16000*10.5%*5.5</f>
        <v>#REF!</v>
      </c>
      <c r="G56" s="727" t="e">
        <f>VLOOKUP($B56,#REF!,7,0)*16000*5%*5.5+VLOOKUP($B56,#REF!,8,0)*16000*5%*5.5</f>
        <v>#REF!</v>
      </c>
      <c r="H56" s="798" t="s">
        <v>361</v>
      </c>
      <c r="K56" s="768" t="s">
        <v>362</v>
      </c>
      <c r="L56" s="768" t="s">
        <v>467</v>
      </c>
    </row>
    <row r="57" spans="1:12">
      <c r="A57" s="813" t="s">
        <v>362</v>
      </c>
      <c r="B57" s="729" t="s">
        <v>467</v>
      </c>
      <c r="C57" s="727" t="s">
        <v>468</v>
      </c>
      <c r="D57" s="730" t="e">
        <f>VLOOKUP($C57,#REF!,2,0)*40000*2%*5.5</f>
        <v>#REF!</v>
      </c>
      <c r="E57" s="727" t="e">
        <f t="shared" si="7"/>
        <v>#REF!</v>
      </c>
      <c r="F57" s="727" t="e">
        <f>VLOOKUP($B57,#REF!,5,0)*16000*10.5%*5.5+VLOOKUP($B57,#REF!,6,0)*16000*10.5%*5.5</f>
        <v>#REF!</v>
      </c>
      <c r="G57" s="727" t="e">
        <f>VLOOKUP($B57,#REF!,7,0)*16000*5%*5.5+VLOOKUP($B57,#REF!,8,0)*16000*5%*5.5</f>
        <v>#REF!</v>
      </c>
      <c r="H57" s="798" t="s">
        <v>362</v>
      </c>
      <c r="K57" s="768" t="s">
        <v>362</v>
      </c>
      <c r="L57" s="768" t="s">
        <v>471</v>
      </c>
    </row>
    <row r="58" spans="1:12">
      <c r="A58" s="813" t="s">
        <v>362</v>
      </c>
      <c r="B58" s="729" t="s">
        <v>471</v>
      </c>
      <c r="C58" s="727" t="s">
        <v>681</v>
      </c>
      <c r="D58" s="730" t="e">
        <f>VLOOKUP($C58,#REF!,2,0)*40000*2%*5.5</f>
        <v>#REF!</v>
      </c>
      <c r="E58" s="727" t="e">
        <f t="shared" si="7"/>
        <v>#REF!</v>
      </c>
      <c r="F58" s="727" t="e">
        <f>VLOOKUP($B58,#REF!,5,0)*16000*10.5%*5.5+VLOOKUP($B58,#REF!,6,0)*16000*10.5%*5.5</f>
        <v>#REF!</v>
      </c>
      <c r="G58" s="727" t="e">
        <f>VLOOKUP($B58,#REF!,7,0)*16000*5%*5.5+VLOOKUP($B58,#REF!,8,0)*16000*5%*5.5</f>
        <v>#REF!</v>
      </c>
      <c r="H58" s="798" t="s">
        <v>362</v>
      </c>
      <c r="K58" s="768" t="s">
        <v>362</v>
      </c>
      <c r="L58" s="768" t="s">
        <v>473</v>
      </c>
    </row>
    <row r="59" spans="1:12">
      <c r="A59" s="813" t="s">
        <v>362</v>
      </c>
      <c r="B59" s="729" t="s">
        <v>473</v>
      </c>
      <c r="C59" s="727" t="s">
        <v>474</v>
      </c>
      <c r="D59" s="730" t="e">
        <f>VLOOKUP($C59,#REF!,2,0)*40000*2%*5.5</f>
        <v>#REF!</v>
      </c>
      <c r="E59" s="727" t="e">
        <f t="shared" si="7"/>
        <v>#REF!</v>
      </c>
      <c r="F59" s="727" t="e">
        <f>VLOOKUP($B59,#REF!,5,0)*16000*10.5%*5.5+VLOOKUP($B59,#REF!,6,0)*16000*10.5%*5.5</f>
        <v>#REF!</v>
      </c>
      <c r="G59" s="727" t="e">
        <f>VLOOKUP($B59,#REF!,7,0)*16000*5%*5.5+VLOOKUP($B59,#REF!,8,0)*16000*5%*5.5</f>
        <v>#REF!</v>
      </c>
      <c r="H59" s="798" t="s">
        <v>362</v>
      </c>
      <c r="K59" s="768" t="s">
        <v>362</v>
      </c>
      <c r="L59" s="768" t="s">
        <v>477</v>
      </c>
    </row>
    <row r="60" spans="1:12">
      <c r="A60" s="813" t="s">
        <v>362</v>
      </c>
      <c r="B60" s="729" t="s">
        <v>477</v>
      </c>
      <c r="C60" s="727" t="s">
        <v>682</v>
      </c>
      <c r="D60" s="730" t="e">
        <f>VLOOKUP($C60,#REF!,2,0)*40000*2%*5.5</f>
        <v>#REF!</v>
      </c>
      <c r="E60" s="727" t="e">
        <f t="shared" si="7"/>
        <v>#REF!</v>
      </c>
      <c r="F60" s="727" t="e">
        <f>VLOOKUP($B60,#REF!,5,0)*16000*10.5%*5.5+VLOOKUP($B60,#REF!,6,0)*16000*10.5%*5.5</f>
        <v>#REF!</v>
      </c>
      <c r="G60" s="727" t="e">
        <f>VLOOKUP($B60,#REF!,7,0)*16000*5%*5.5+VLOOKUP($B60,#REF!,8,0)*16000*5%*5.5</f>
        <v>#REF!</v>
      </c>
      <c r="H60" s="798" t="s">
        <v>362</v>
      </c>
      <c r="K60" s="768" t="s">
        <v>362</v>
      </c>
      <c r="L60" s="768" t="s">
        <v>480</v>
      </c>
    </row>
    <row r="61" spans="1:12">
      <c r="A61" s="813" t="s">
        <v>362</v>
      </c>
      <c r="B61" s="729" t="s">
        <v>480</v>
      </c>
      <c r="C61" s="727" t="s">
        <v>479</v>
      </c>
      <c r="D61" s="730" t="e">
        <f>VLOOKUP($C61,#REF!,2,0)*40000*2%*5.5</f>
        <v>#REF!</v>
      </c>
      <c r="E61" s="727" t="e">
        <f t="shared" si="7"/>
        <v>#REF!</v>
      </c>
      <c r="F61" s="727" t="e">
        <f>VLOOKUP($B61,#REF!,5,0)*16000*10.5%*5.5+VLOOKUP($B61,#REF!,6,0)*16000*10.5%*5.5</f>
        <v>#REF!</v>
      </c>
      <c r="G61" s="727" t="e">
        <f>VLOOKUP($B61,#REF!,7,0)*16000*5%*5.5+VLOOKUP($B61,#REF!,8,0)*16000*5%*5.5</f>
        <v>#REF!</v>
      </c>
      <c r="H61" s="798" t="s">
        <v>362</v>
      </c>
    </row>
  </sheetData>
  <mergeCells count="16">
    <mergeCell ref="I4:I5"/>
    <mergeCell ref="A16:C16"/>
    <mergeCell ref="A8:C8"/>
    <mergeCell ref="A10:C10"/>
    <mergeCell ref="A9:C9"/>
    <mergeCell ref="A11:C11"/>
    <mergeCell ref="A12:C12"/>
    <mergeCell ref="A13:C13"/>
    <mergeCell ref="A2:C2"/>
    <mergeCell ref="A3:C3"/>
    <mergeCell ref="A14:C14"/>
    <mergeCell ref="A15:C15"/>
    <mergeCell ref="A4:C4"/>
    <mergeCell ref="A6:C6"/>
    <mergeCell ref="A7:C7"/>
    <mergeCell ref="A5:C5"/>
  </mergeCells>
  <phoneticPr fontId="1" type="noConversion"/>
  <conditionalFormatting sqref="A21:C61">
    <cfRule type="cellIs" dxfId="117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4" tint="-0.499984740745262"/>
  </sheetPr>
  <dimension ref="A1:AJ60"/>
  <sheetViews>
    <sheetView topLeftCell="B1" workbookViewId="0">
      <selection sqref="A1:A2"/>
    </sheetView>
  </sheetViews>
  <sheetFormatPr defaultColWidth="9" defaultRowHeight="17"/>
  <cols>
    <col min="1" max="1" width="9" style="714" hidden="1" customWidth="1"/>
    <col min="2" max="2" width="5.25" style="714" customWidth="1"/>
    <col min="3" max="3" width="27.08203125" style="714" customWidth="1"/>
    <col min="4" max="4" width="11.33203125" style="714" customWidth="1"/>
    <col min="5" max="5" width="6.08203125" style="714" customWidth="1"/>
    <col min="6" max="36" width="5.25" style="714" customWidth="1"/>
    <col min="37" max="16384" width="9" style="714"/>
  </cols>
  <sheetData>
    <row r="1" spans="1:36">
      <c r="D1" s="714">
        <v>1</v>
      </c>
      <c r="E1" s="714">
        <v>2</v>
      </c>
      <c r="F1" s="714">
        <v>3</v>
      </c>
      <c r="G1" s="714">
        <v>4</v>
      </c>
      <c r="H1" s="714">
        <v>5</v>
      </c>
      <c r="I1" s="714">
        <v>6</v>
      </c>
      <c r="J1" s="714">
        <v>7</v>
      </c>
      <c r="K1" s="714">
        <v>8</v>
      </c>
      <c r="L1" s="714">
        <v>9</v>
      </c>
      <c r="M1" s="714">
        <v>10</v>
      </c>
      <c r="N1" s="714">
        <v>11</v>
      </c>
      <c r="O1" s="714">
        <v>12</v>
      </c>
      <c r="P1" s="714">
        <v>13</v>
      </c>
      <c r="Q1" s="714">
        <v>14</v>
      </c>
      <c r="R1" s="714">
        <v>15</v>
      </c>
      <c r="S1" s="714">
        <v>16</v>
      </c>
      <c r="T1" s="714">
        <v>17</v>
      </c>
      <c r="U1" s="714">
        <v>18</v>
      </c>
      <c r="V1" s="714">
        <v>19</v>
      </c>
      <c r="W1" s="714">
        <v>20</v>
      </c>
      <c r="X1" s="714">
        <v>21</v>
      </c>
      <c r="Y1" s="714">
        <v>22</v>
      </c>
      <c r="Z1" s="714">
        <v>23</v>
      </c>
      <c r="AA1" s="714">
        <v>24</v>
      </c>
      <c r="AB1" s="714">
        <v>25</v>
      </c>
      <c r="AC1" s="714">
        <v>26</v>
      </c>
      <c r="AD1" s="714">
        <v>27</v>
      </c>
      <c r="AE1" s="714">
        <v>28</v>
      </c>
      <c r="AF1" s="714">
        <v>29</v>
      </c>
      <c r="AG1" s="714">
        <v>30</v>
      </c>
      <c r="AH1" s="714">
        <v>31</v>
      </c>
      <c r="AI1" s="714">
        <v>32</v>
      </c>
      <c r="AJ1" s="714">
        <v>33</v>
      </c>
    </row>
    <row r="2" spans="1:36" ht="26.15" customHeight="1">
      <c r="B2" s="972" t="s">
        <v>522</v>
      </c>
      <c r="C2" s="972" t="s">
        <v>642</v>
      </c>
      <c r="D2" s="972" t="s">
        <v>643</v>
      </c>
      <c r="E2" s="972" t="s">
        <v>644</v>
      </c>
      <c r="F2" s="717" t="s">
        <v>532</v>
      </c>
      <c r="G2" s="717" t="s">
        <v>533</v>
      </c>
      <c r="H2" s="717" t="s">
        <v>534</v>
      </c>
      <c r="I2" s="717" t="s">
        <v>535</v>
      </c>
      <c r="J2" s="717" t="s">
        <v>536</v>
      </c>
      <c r="K2" s="717" t="s">
        <v>537</v>
      </c>
      <c r="L2" s="717" t="s">
        <v>538</v>
      </c>
      <c r="M2" s="717" t="s">
        <v>539</v>
      </c>
      <c r="N2" s="717" t="s">
        <v>540</v>
      </c>
      <c r="O2" s="717" t="s">
        <v>541</v>
      </c>
      <c r="P2" s="717" t="s">
        <v>542</v>
      </c>
      <c r="Q2" s="717" t="s">
        <v>543</v>
      </c>
      <c r="R2" s="717" t="s">
        <v>544</v>
      </c>
      <c r="S2" s="717" t="s">
        <v>545</v>
      </c>
      <c r="T2" s="717" t="s">
        <v>546</v>
      </c>
      <c r="U2" s="717" t="s">
        <v>547</v>
      </c>
      <c r="V2" s="717" t="s">
        <v>548</v>
      </c>
      <c r="W2" s="717" t="s">
        <v>549</v>
      </c>
      <c r="X2" s="717" t="s">
        <v>550</v>
      </c>
      <c r="Y2" s="717" t="s">
        <v>551</v>
      </c>
      <c r="Z2" s="717" t="s">
        <v>552</v>
      </c>
      <c r="AA2" s="717" t="s">
        <v>553</v>
      </c>
      <c r="AB2" s="717" t="s">
        <v>554</v>
      </c>
      <c r="AC2" s="717" t="s">
        <v>555</v>
      </c>
      <c r="AD2" s="717" t="s">
        <v>556</v>
      </c>
      <c r="AE2" s="717" t="s">
        <v>557</v>
      </c>
      <c r="AF2" s="717" t="s">
        <v>558</v>
      </c>
      <c r="AG2" s="717" t="s">
        <v>559</v>
      </c>
      <c r="AH2" s="717" t="s">
        <v>560</v>
      </c>
      <c r="AI2" s="717" t="s">
        <v>561</v>
      </c>
      <c r="AJ2" s="717" t="s">
        <v>562</v>
      </c>
    </row>
    <row r="3" spans="1:36" ht="26.15" customHeight="1">
      <c r="B3" s="972" t="s">
        <v>522</v>
      </c>
      <c r="C3" s="972" t="s">
        <v>642</v>
      </c>
      <c r="D3" s="972" t="s">
        <v>643</v>
      </c>
      <c r="E3" s="972" t="s">
        <v>644</v>
      </c>
      <c r="F3" s="717" t="s">
        <v>563</v>
      </c>
      <c r="G3" s="717" t="s">
        <v>564</v>
      </c>
      <c r="H3" s="717" t="s">
        <v>565</v>
      </c>
      <c r="I3" s="717" t="s">
        <v>566</v>
      </c>
      <c r="J3" s="717" t="s">
        <v>567</v>
      </c>
      <c r="K3" s="717" t="s">
        <v>568</v>
      </c>
      <c r="L3" s="717" t="s">
        <v>569</v>
      </c>
      <c r="M3" s="717" t="s">
        <v>563</v>
      </c>
      <c r="N3" s="717" t="s">
        <v>564</v>
      </c>
      <c r="O3" s="717" t="s">
        <v>565</v>
      </c>
      <c r="P3" s="717" t="s">
        <v>566</v>
      </c>
      <c r="Q3" s="717" t="s">
        <v>567</v>
      </c>
      <c r="R3" s="717" t="s">
        <v>568</v>
      </c>
      <c r="S3" s="717" t="s">
        <v>569</v>
      </c>
      <c r="T3" s="717" t="s">
        <v>563</v>
      </c>
      <c r="U3" s="717" t="s">
        <v>564</v>
      </c>
      <c r="V3" s="717" t="s">
        <v>565</v>
      </c>
      <c r="W3" s="717" t="s">
        <v>566</v>
      </c>
      <c r="X3" s="717" t="s">
        <v>567</v>
      </c>
      <c r="Y3" s="717" t="s">
        <v>568</v>
      </c>
      <c r="Z3" s="717" t="s">
        <v>569</v>
      </c>
      <c r="AA3" s="717" t="s">
        <v>563</v>
      </c>
      <c r="AB3" s="717" t="s">
        <v>564</v>
      </c>
      <c r="AC3" s="717" t="s">
        <v>565</v>
      </c>
      <c r="AD3" s="717" t="s">
        <v>566</v>
      </c>
      <c r="AE3" s="717" t="s">
        <v>567</v>
      </c>
      <c r="AF3" s="717" t="s">
        <v>568</v>
      </c>
      <c r="AG3" s="717" t="s">
        <v>569</v>
      </c>
      <c r="AH3" s="717" t="s">
        <v>563</v>
      </c>
      <c r="AI3" s="717" t="s">
        <v>564</v>
      </c>
      <c r="AJ3" s="717" t="s">
        <v>565</v>
      </c>
    </row>
    <row r="4" spans="1:36" ht="24" customHeight="1">
      <c r="A4" s="714" t="e">
        <f>VLOOKUP(D4,#REF!,2,0)</f>
        <v>#REF!</v>
      </c>
      <c r="B4" s="710">
        <v>1</v>
      </c>
      <c r="C4" s="711" t="s">
        <v>626</v>
      </c>
      <c r="D4" s="711" t="s">
        <v>431</v>
      </c>
      <c r="E4" s="718" t="e">
        <f>SUM(F4:AJ4)</f>
        <v>#N/A</v>
      </c>
      <c r="F4" s="718" t="e">
        <f>VLOOKUP($D4,유선목표!$A:$Z,F$1,0)+VLOOKUP($D4,유선_약갱!$C:$AE,'유선_합계(수식)'!F$1,0)</f>
        <v>#N/A</v>
      </c>
      <c r="G4" s="718" t="e">
        <f>VLOOKUP($D4,유선목표!$A:$Z,G$1,0)+VLOOKUP($D4,유선_약갱!$C:$AE,'유선_합계(수식)'!G$1,0)</f>
        <v>#N/A</v>
      </c>
      <c r="H4" s="718" t="e">
        <f>VLOOKUP($D4,유선목표!$A:$Z,H$1,0)+VLOOKUP($D4,유선_약갱!$C:$AE,'유선_합계(수식)'!H$1,0)</f>
        <v>#N/A</v>
      </c>
      <c r="I4" s="718" t="e">
        <f>VLOOKUP($D4,유선목표!$A:$Z,I$1,0)+VLOOKUP($D4,유선_약갱!$C:$AE,'유선_합계(수식)'!I$1,0)</f>
        <v>#N/A</v>
      </c>
      <c r="J4" s="718" t="e">
        <f>VLOOKUP($D4,유선목표!$A:$Z,J$1,0)+VLOOKUP($D4,유선_약갱!$C:$AE,'유선_합계(수식)'!J$1,0)</f>
        <v>#N/A</v>
      </c>
      <c r="K4" s="718" t="e">
        <f>VLOOKUP($D4,유선목표!$A:$Z,K$1,0)+VLOOKUP($D4,유선_약갱!$C:$AE,'유선_합계(수식)'!K$1,0)</f>
        <v>#N/A</v>
      </c>
      <c r="L4" s="718" t="e">
        <f>VLOOKUP($D4,유선목표!$A:$Z,L$1,0)+VLOOKUP($D4,유선_약갱!$C:$AE,'유선_합계(수식)'!L$1,0)</f>
        <v>#N/A</v>
      </c>
      <c r="M4" s="718" t="e">
        <f>VLOOKUP($D4,유선목표!$A:$Z,M$1,0)+VLOOKUP($D4,유선_약갱!$C:$AE,'유선_합계(수식)'!M$1,0)</f>
        <v>#N/A</v>
      </c>
      <c r="N4" s="718" t="e">
        <f>VLOOKUP($D4,유선목표!$A:$Z,N$1,0)+VLOOKUP($D4,유선_약갱!$C:$AE,'유선_합계(수식)'!N$1,0)</f>
        <v>#N/A</v>
      </c>
      <c r="O4" s="718" t="e">
        <f>VLOOKUP($D4,유선목표!$A:$Z,O$1,0)+VLOOKUP($D4,유선_약갱!$C:$AE,'유선_합계(수식)'!O$1,0)</f>
        <v>#N/A</v>
      </c>
      <c r="P4" s="718" t="e">
        <f>VLOOKUP($D4,유선목표!$A:$Z,P$1,0)+VLOOKUP($D4,유선_약갱!$C:$AE,'유선_합계(수식)'!P$1,0)</f>
        <v>#N/A</v>
      </c>
      <c r="Q4" s="718" t="e">
        <f>VLOOKUP($D4,유선목표!$A:$Z,Q$1,0)+VLOOKUP($D4,유선_약갱!$C:$AE,'유선_합계(수식)'!Q$1,0)</f>
        <v>#N/A</v>
      </c>
      <c r="R4" s="718" t="e">
        <f>VLOOKUP($D4,유선목표!$A:$Z,R$1,0)+VLOOKUP($D4,유선_약갱!$C:$AE,'유선_합계(수식)'!R$1,0)</f>
        <v>#N/A</v>
      </c>
      <c r="S4" s="718" t="e">
        <f>VLOOKUP($D4,유선목표!$A:$Z,S$1,0)+VLOOKUP($D4,유선_약갱!$C:$AE,'유선_합계(수식)'!S$1,0)</f>
        <v>#N/A</v>
      </c>
      <c r="T4" s="718" t="e">
        <f>VLOOKUP($D4,유선목표!$A:$Z,T$1,0)+VLOOKUP($D4,유선_약갱!$C:$AE,'유선_합계(수식)'!T$1,0)</f>
        <v>#N/A</v>
      </c>
      <c r="U4" s="718" t="e">
        <f>VLOOKUP($D4,유선목표!$A:$Z,U$1,0)+VLOOKUP($D4,유선_약갱!$C:$AE,'유선_합계(수식)'!U$1,0)</f>
        <v>#N/A</v>
      </c>
      <c r="V4" s="718" t="e">
        <f>VLOOKUP($D4,유선목표!$A:$Z,V$1,0)+VLOOKUP($D4,유선_약갱!$C:$AE,'유선_합계(수식)'!V$1,0)</f>
        <v>#N/A</v>
      </c>
      <c r="W4" s="718" t="e">
        <f>VLOOKUP($D4,유선목표!$A:$Z,W$1,0)+VLOOKUP($D4,유선_약갱!$C:$AE,'유선_합계(수식)'!W$1,0)</f>
        <v>#N/A</v>
      </c>
      <c r="X4" s="718" t="e">
        <f>VLOOKUP($D4,유선목표!$A:$Z,X$1,0)+VLOOKUP($D4,유선_약갱!$C:$AE,'유선_합계(수식)'!X$1,0)</f>
        <v>#N/A</v>
      </c>
      <c r="Y4" s="718" t="e">
        <f>VLOOKUP($D4,유선목표!$A:$Z,Y$1,0)+VLOOKUP($D4,유선_약갱!$C:$AE,'유선_합계(수식)'!Y$1,0)</f>
        <v>#N/A</v>
      </c>
      <c r="Z4" s="718" t="e">
        <f>VLOOKUP($D4,유선목표!$A:$Z,Z$1,0)+VLOOKUP($D4,유선_약갱!$C:$AE,'유선_합계(수식)'!Z$1,0)</f>
        <v>#N/A</v>
      </c>
      <c r="AA4" s="718" t="e">
        <f>VLOOKUP($D4,유선목표!$A:$Z,AA$1,0)+VLOOKUP($D4,유선_약갱!$C:$AE,'유선_합계(수식)'!AA$1,0)</f>
        <v>#N/A</v>
      </c>
      <c r="AB4" s="718" t="e">
        <f>VLOOKUP($D4,유선목표!$A:$Z,AB$1,0)+VLOOKUP($D4,유선_약갱!$C:$AE,'유선_합계(수식)'!AB$1,0)</f>
        <v>#N/A</v>
      </c>
      <c r="AC4" s="718" t="e">
        <f>VLOOKUP($D4,유선목표!$A:$Z,AC$1,0)+VLOOKUP($D4,유선_약갱!$C:$AE,'유선_합계(수식)'!AC$1,0)</f>
        <v>#N/A</v>
      </c>
      <c r="AD4" s="718" t="e">
        <f>VLOOKUP($D4,유선목표!$A:$Z,AD$1,0)+VLOOKUP($D4,유선_약갱!$C:$AE,'유선_합계(수식)'!AD$1,0)</f>
        <v>#N/A</v>
      </c>
      <c r="AE4" s="718" t="e">
        <f>VLOOKUP($D4,유선목표!$A:$Z,AE$1,0)+VLOOKUP($D4,유선_약갱!$C:$AE,'유선_합계(수식)'!AE$1,0)</f>
        <v>#N/A</v>
      </c>
      <c r="AF4" s="718" t="e">
        <f>VLOOKUP($D4,유선목표!$A:$Z,AF$1,0)+VLOOKUP($D4,유선_약갱!$C:$AE,'유선_합계(수식)'!AF$1,0)</f>
        <v>#N/A</v>
      </c>
      <c r="AG4" s="718" t="e">
        <f>VLOOKUP($D4,유선목표!$A:$Z,AG$1,0)+VLOOKUP($D4,유선_약갱!$C:$AE,'유선_합계(수식)'!AG$1,0)</f>
        <v>#N/A</v>
      </c>
      <c r="AH4" s="718" t="e">
        <f>VLOOKUP($D4,유선목표!$A:$Z,AH$1,0)+VLOOKUP($D4,유선_약갱!$C:$AE,'유선_합계(수식)'!AH$1,0)</f>
        <v>#N/A</v>
      </c>
      <c r="AI4" s="718" t="e">
        <f>VLOOKUP($D4,유선목표!$A:$Z,AI$1,0)+VLOOKUP($D4,유선_약갱!$C:$AE,'유선_합계(수식)'!AI$1,0)</f>
        <v>#N/A</v>
      </c>
      <c r="AJ4" s="718" t="e">
        <f>VLOOKUP($D4,유선목표!$A:$Z,AJ$1,0)+VLOOKUP($D4,유선_약갱!$C:$AE,'유선_합계(수식)'!AJ$1,0)</f>
        <v>#N/A</v>
      </c>
    </row>
    <row r="5" spans="1:36" ht="24" customHeight="1">
      <c r="A5" s="714" t="e">
        <f>VLOOKUP(D5,#REF!,2,0)</f>
        <v>#REF!</v>
      </c>
      <c r="B5" s="710">
        <v>2</v>
      </c>
      <c r="C5" s="711" t="s">
        <v>588</v>
      </c>
      <c r="D5" s="711" t="s">
        <v>390</v>
      </c>
      <c r="E5" s="718" t="e">
        <f t="shared" ref="E5:E59" si="0">SUM(F5:AJ5)</f>
        <v>#N/A</v>
      </c>
      <c r="F5" s="718" t="e">
        <f>VLOOKUP($D5,유선목표!$A:$Z,F$1,0)+VLOOKUP($D5,유선_약갱!$C:$AE,'유선_합계(수식)'!F$1,0)</f>
        <v>#N/A</v>
      </c>
      <c r="G5" s="718" t="e">
        <f>VLOOKUP($D5,유선목표!$A:$Z,G$1,0)+VLOOKUP($D5,유선_약갱!$C:$AE,'유선_합계(수식)'!G$1,0)</f>
        <v>#N/A</v>
      </c>
      <c r="H5" s="718" t="e">
        <f>VLOOKUP($D5,유선목표!$A:$Z,H$1,0)+VLOOKUP($D5,유선_약갱!$C:$AE,'유선_합계(수식)'!H$1,0)</f>
        <v>#N/A</v>
      </c>
      <c r="I5" s="718" t="e">
        <f>VLOOKUP($D5,유선목표!$A:$Z,I$1,0)+VLOOKUP($D5,유선_약갱!$C:$AE,'유선_합계(수식)'!I$1,0)</f>
        <v>#N/A</v>
      </c>
      <c r="J5" s="718" t="e">
        <f>VLOOKUP($D5,유선목표!$A:$Z,J$1,0)+VLOOKUP($D5,유선_약갱!$C:$AE,'유선_합계(수식)'!J$1,0)</f>
        <v>#N/A</v>
      </c>
      <c r="K5" s="718" t="e">
        <f>VLOOKUP($D5,유선목표!$A:$Z,K$1,0)+VLOOKUP($D5,유선_약갱!$C:$AE,'유선_합계(수식)'!K$1,0)</f>
        <v>#N/A</v>
      </c>
      <c r="L5" s="718" t="e">
        <f>VLOOKUP($D5,유선목표!$A:$Z,L$1,0)+VLOOKUP($D5,유선_약갱!$C:$AE,'유선_합계(수식)'!L$1,0)</f>
        <v>#N/A</v>
      </c>
      <c r="M5" s="718" t="e">
        <f>VLOOKUP($D5,유선목표!$A:$Z,M$1,0)+VLOOKUP($D5,유선_약갱!$C:$AE,'유선_합계(수식)'!M$1,0)</f>
        <v>#N/A</v>
      </c>
      <c r="N5" s="718" t="e">
        <f>VLOOKUP($D5,유선목표!$A:$Z,N$1,0)+VLOOKUP($D5,유선_약갱!$C:$AE,'유선_합계(수식)'!N$1,0)</f>
        <v>#N/A</v>
      </c>
      <c r="O5" s="718" t="e">
        <f>VLOOKUP($D5,유선목표!$A:$Z,O$1,0)+VLOOKUP($D5,유선_약갱!$C:$AE,'유선_합계(수식)'!O$1,0)</f>
        <v>#N/A</v>
      </c>
      <c r="P5" s="718" t="e">
        <f>VLOOKUP($D5,유선목표!$A:$Z,P$1,0)+VLOOKUP($D5,유선_약갱!$C:$AE,'유선_합계(수식)'!P$1,0)</f>
        <v>#N/A</v>
      </c>
      <c r="Q5" s="718" t="e">
        <f>VLOOKUP($D5,유선목표!$A:$Z,Q$1,0)+VLOOKUP($D5,유선_약갱!$C:$AE,'유선_합계(수식)'!Q$1,0)</f>
        <v>#N/A</v>
      </c>
      <c r="R5" s="718" t="e">
        <f>VLOOKUP($D5,유선목표!$A:$Z,R$1,0)+VLOOKUP($D5,유선_약갱!$C:$AE,'유선_합계(수식)'!R$1,0)</f>
        <v>#N/A</v>
      </c>
      <c r="S5" s="718" t="e">
        <f>VLOOKUP($D5,유선목표!$A:$Z,S$1,0)+VLOOKUP($D5,유선_약갱!$C:$AE,'유선_합계(수식)'!S$1,0)</f>
        <v>#N/A</v>
      </c>
      <c r="T5" s="718" t="e">
        <f>VLOOKUP($D5,유선목표!$A:$Z,T$1,0)+VLOOKUP($D5,유선_약갱!$C:$AE,'유선_합계(수식)'!T$1,0)</f>
        <v>#N/A</v>
      </c>
      <c r="U5" s="718" t="e">
        <f>VLOOKUP($D5,유선목표!$A:$Z,U$1,0)+VLOOKUP($D5,유선_약갱!$C:$AE,'유선_합계(수식)'!U$1,0)</f>
        <v>#N/A</v>
      </c>
      <c r="V5" s="718" t="e">
        <f>VLOOKUP($D5,유선목표!$A:$Z,V$1,0)+VLOOKUP($D5,유선_약갱!$C:$AE,'유선_합계(수식)'!V$1,0)</f>
        <v>#N/A</v>
      </c>
      <c r="W5" s="718" t="e">
        <f>VLOOKUP($D5,유선목표!$A:$Z,W$1,0)+VLOOKUP($D5,유선_약갱!$C:$AE,'유선_합계(수식)'!W$1,0)</f>
        <v>#N/A</v>
      </c>
      <c r="X5" s="718" t="e">
        <f>VLOOKUP($D5,유선목표!$A:$Z,X$1,0)+VLOOKUP($D5,유선_약갱!$C:$AE,'유선_합계(수식)'!X$1,0)</f>
        <v>#N/A</v>
      </c>
      <c r="Y5" s="718" t="e">
        <f>VLOOKUP($D5,유선목표!$A:$Z,Y$1,0)+VLOOKUP($D5,유선_약갱!$C:$AE,'유선_합계(수식)'!Y$1,0)</f>
        <v>#N/A</v>
      </c>
      <c r="Z5" s="718" t="e">
        <f>VLOOKUP($D5,유선목표!$A:$Z,Z$1,0)+VLOOKUP($D5,유선_약갱!$C:$AE,'유선_합계(수식)'!Z$1,0)</f>
        <v>#N/A</v>
      </c>
      <c r="AA5" s="718" t="e">
        <f>VLOOKUP($D5,유선목표!$A:$Z,AA$1,0)+VLOOKUP($D5,유선_약갱!$C:$AE,'유선_합계(수식)'!AA$1,0)</f>
        <v>#N/A</v>
      </c>
      <c r="AB5" s="718" t="e">
        <f>VLOOKUP($D5,유선목표!$A:$Z,AB$1,0)+VLOOKUP($D5,유선_약갱!$C:$AE,'유선_합계(수식)'!AB$1,0)</f>
        <v>#N/A</v>
      </c>
      <c r="AC5" s="718" t="e">
        <f>VLOOKUP($D5,유선목표!$A:$Z,AC$1,0)+VLOOKUP($D5,유선_약갱!$C:$AE,'유선_합계(수식)'!AC$1,0)</f>
        <v>#N/A</v>
      </c>
      <c r="AD5" s="718" t="e">
        <f>VLOOKUP($D5,유선목표!$A:$Z,AD$1,0)+VLOOKUP($D5,유선_약갱!$C:$AE,'유선_합계(수식)'!AD$1,0)</f>
        <v>#N/A</v>
      </c>
      <c r="AE5" s="718" t="e">
        <f>VLOOKUP($D5,유선목표!$A:$Z,AE$1,0)+VLOOKUP($D5,유선_약갱!$C:$AE,'유선_합계(수식)'!AE$1,0)</f>
        <v>#N/A</v>
      </c>
      <c r="AF5" s="718" t="e">
        <f>VLOOKUP($D5,유선목표!$A:$Z,AF$1,0)+VLOOKUP($D5,유선_약갱!$C:$AE,'유선_합계(수식)'!AF$1,0)</f>
        <v>#N/A</v>
      </c>
      <c r="AG5" s="718" t="e">
        <f>VLOOKUP($D5,유선목표!$A:$Z,AG$1,0)+VLOOKUP($D5,유선_약갱!$C:$AE,'유선_합계(수식)'!AG$1,0)</f>
        <v>#N/A</v>
      </c>
      <c r="AH5" s="718" t="e">
        <f>VLOOKUP($D5,유선목표!$A:$Z,AH$1,0)+VLOOKUP($D5,유선_약갱!$C:$AE,'유선_합계(수식)'!AH$1,0)</f>
        <v>#N/A</v>
      </c>
      <c r="AI5" s="718" t="e">
        <f>VLOOKUP($D5,유선목표!$A:$Z,AI$1,0)+VLOOKUP($D5,유선_약갱!$C:$AE,'유선_합계(수식)'!AI$1,0)</f>
        <v>#N/A</v>
      </c>
      <c r="AJ5" s="718" t="e">
        <f>VLOOKUP($D5,유선목표!$A:$Z,AJ$1,0)+VLOOKUP($D5,유선_약갱!$C:$AE,'유선_합계(수식)'!AJ$1,0)</f>
        <v>#N/A</v>
      </c>
    </row>
    <row r="6" spans="1:36" ht="24" customHeight="1">
      <c r="A6" s="714" t="e">
        <f>VLOOKUP(D6,#REF!,2,0)</f>
        <v>#REF!</v>
      </c>
      <c r="B6" s="710">
        <v>3</v>
      </c>
      <c r="C6" s="711" t="s">
        <v>589</v>
      </c>
      <c r="D6" s="711" t="s">
        <v>399</v>
      </c>
      <c r="E6" s="718" t="e">
        <f t="shared" si="0"/>
        <v>#N/A</v>
      </c>
      <c r="F6" s="718" t="e">
        <f>VLOOKUP($D6,유선목표!$A:$Z,F$1,0)+VLOOKUP($D6,유선_약갱!$C:$AE,'유선_합계(수식)'!F$1,0)</f>
        <v>#N/A</v>
      </c>
      <c r="G6" s="718" t="e">
        <f>VLOOKUP($D6,유선목표!$A:$Z,G$1,0)+VLOOKUP($D6,유선_약갱!$C:$AE,'유선_합계(수식)'!G$1,0)</f>
        <v>#N/A</v>
      </c>
      <c r="H6" s="718" t="e">
        <f>VLOOKUP($D6,유선목표!$A:$Z,H$1,0)+VLOOKUP($D6,유선_약갱!$C:$AE,'유선_합계(수식)'!H$1,0)</f>
        <v>#N/A</v>
      </c>
      <c r="I6" s="718" t="e">
        <f>VLOOKUP($D6,유선목표!$A:$Z,I$1,0)+VLOOKUP($D6,유선_약갱!$C:$AE,'유선_합계(수식)'!I$1,0)</f>
        <v>#N/A</v>
      </c>
      <c r="J6" s="718" t="e">
        <f>VLOOKUP($D6,유선목표!$A:$Z,J$1,0)+VLOOKUP($D6,유선_약갱!$C:$AE,'유선_합계(수식)'!J$1,0)</f>
        <v>#N/A</v>
      </c>
      <c r="K6" s="718" t="e">
        <f>VLOOKUP($D6,유선목표!$A:$Z,K$1,0)+VLOOKUP($D6,유선_약갱!$C:$AE,'유선_합계(수식)'!K$1,0)</f>
        <v>#N/A</v>
      </c>
      <c r="L6" s="718" t="e">
        <f>VLOOKUP($D6,유선목표!$A:$Z,L$1,0)+VLOOKUP($D6,유선_약갱!$C:$AE,'유선_합계(수식)'!L$1,0)</f>
        <v>#N/A</v>
      </c>
      <c r="M6" s="718" t="e">
        <f>VLOOKUP($D6,유선목표!$A:$Z,M$1,0)+VLOOKUP($D6,유선_약갱!$C:$AE,'유선_합계(수식)'!M$1,0)</f>
        <v>#N/A</v>
      </c>
      <c r="N6" s="718" t="e">
        <f>VLOOKUP($D6,유선목표!$A:$Z,N$1,0)+VLOOKUP($D6,유선_약갱!$C:$AE,'유선_합계(수식)'!N$1,0)</f>
        <v>#N/A</v>
      </c>
      <c r="O6" s="718" t="e">
        <f>VLOOKUP($D6,유선목표!$A:$Z,O$1,0)+VLOOKUP($D6,유선_약갱!$C:$AE,'유선_합계(수식)'!O$1,0)</f>
        <v>#N/A</v>
      </c>
      <c r="P6" s="718" t="e">
        <f>VLOOKUP($D6,유선목표!$A:$Z,P$1,0)+VLOOKUP($D6,유선_약갱!$C:$AE,'유선_합계(수식)'!P$1,0)</f>
        <v>#N/A</v>
      </c>
      <c r="Q6" s="718" t="e">
        <f>VLOOKUP($D6,유선목표!$A:$Z,Q$1,0)+VLOOKUP($D6,유선_약갱!$C:$AE,'유선_합계(수식)'!Q$1,0)</f>
        <v>#N/A</v>
      </c>
      <c r="R6" s="718" t="e">
        <f>VLOOKUP($D6,유선목표!$A:$Z,R$1,0)+VLOOKUP($D6,유선_약갱!$C:$AE,'유선_합계(수식)'!R$1,0)</f>
        <v>#N/A</v>
      </c>
      <c r="S6" s="718" t="e">
        <f>VLOOKUP($D6,유선목표!$A:$Z,S$1,0)+VLOOKUP($D6,유선_약갱!$C:$AE,'유선_합계(수식)'!S$1,0)</f>
        <v>#N/A</v>
      </c>
      <c r="T6" s="718" t="e">
        <f>VLOOKUP($D6,유선목표!$A:$Z,T$1,0)+VLOOKUP($D6,유선_약갱!$C:$AE,'유선_합계(수식)'!T$1,0)</f>
        <v>#N/A</v>
      </c>
      <c r="U6" s="718" t="e">
        <f>VLOOKUP($D6,유선목표!$A:$Z,U$1,0)+VLOOKUP($D6,유선_약갱!$C:$AE,'유선_합계(수식)'!U$1,0)</f>
        <v>#N/A</v>
      </c>
      <c r="V6" s="718" t="e">
        <f>VLOOKUP($D6,유선목표!$A:$Z,V$1,0)+VLOOKUP($D6,유선_약갱!$C:$AE,'유선_합계(수식)'!V$1,0)</f>
        <v>#N/A</v>
      </c>
      <c r="W6" s="718" t="e">
        <f>VLOOKUP($D6,유선목표!$A:$Z,W$1,0)+VLOOKUP($D6,유선_약갱!$C:$AE,'유선_합계(수식)'!W$1,0)</f>
        <v>#N/A</v>
      </c>
      <c r="X6" s="718" t="e">
        <f>VLOOKUP($D6,유선목표!$A:$Z,X$1,0)+VLOOKUP($D6,유선_약갱!$C:$AE,'유선_합계(수식)'!X$1,0)</f>
        <v>#N/A</v>
      </c>
      <c r="Y6" s="718" t="e">
        <f>VLOOKUP($D6,유선목표!$A:$Z,Y$1,0)+VLOOKUP($D6,유선_약갱!$C:$AE,'유선_합계(수식)'!Y$1,0)</f>
        <v>#N/A</v>
      </c>
      <c r="Z6" s="718" t="e">
        <f>VLOOKUP($D6,유선목표!$A:$Z,Z$1,0)+VLOOKUP($D6,유선_약갱!$C:$AE,'유선_합계(수식)'!Z$1,0)</f>
        <v>#N/A</v>
      </c>
      <c r="AA6" s="718" t="e">
        <f>VLOOKUP($D6,유선목표!$A:$Z,AA$1,0)+VLOOKUP($D6,유선_약갱!$C:$AE,'유선_합계(수식)'!AA$1,0)</f>
        <v>#N/A</v>
      </c>
      <c r="AB6" s="718" t="e">
        <f>VLOOKUP($D6,유선목표!$A:$Z,AB$1,0)+VLOOKUP($D6,유선_약갱!$C:$AE,'유선_합계(수식)'!AB$1,0)</f>
        <v>#N/A</v>
      </c>
      <c r="AC6" s="718" t="e">
        <f>VLOOKUP($D6,유선목표!$A:$Z,AC$1,0)+VLOOKUP($D6,유선_약갱!$C:$AE,'유선_합계(수식)'!AC$1,0)</f>
        <v>#N/A</v>
      </c>
      <c r="AD6" s="718" t="e">
        <f>VLOOKUP($D6,유선목표!$A:$Z,AD$1,0)+VLOOKUP($D6,유선_약갱!$C:$AE,'유선_합계(수식)'!AD$1,0)</f>
        <v>#N/A</v>
      </c>
      <c r="AE6" s="718" t="e">
        <f>VLOOKUP($D6,유선목표!$A:$Z,AE$1,0)+VLOOKUP($D6,유선_약갱!$C:$AE,'유선_합계(수식)'!AE$1,0)</f>
        <v>#N/A</v>
      </c>
      <c r="AF6" s="718" t="e">
        <f>VLOOKUP($D6,유선목표!$A:$Z,AF$1,0)+VLOOKUP($D6,유선_약갱!$C:$AE,'유선_합계(수식)'!AF$1,0)</f>
        <v>#N/A</v>
      </c>
      <c r="AG6" s="718" t="e">
        <f>VLOOKUP($D6,유선목표!$A:$Z,AG$1,0)+VLOOKUP($D6,유선_약갱!$C:$AE,'유선_합계(수식)'!AG$1,0)</f>
        <v>#N/A</v>
      </c>
      <c r="AH6" s="718" t="e">
        <f>VLOOKUP($D6,유선목표!$A:$Z,AH$1,0)+VLOOKUP($D6,유선_약갱!$C:$AE,'유선_합계(수식)'!AH$1,0)</f>
        <v>#N/A</v>
      </c>
      <c r="AI6" s="718" t="e">
        <f>VLOOKUP($D6,유선목표!$A:$Z,AI$1,0)+VLOOKUP($D6,유선_약갱!$C:$AE,'유선_합계(수식)'!AI$1,0)</f>
        <v>#N/A</v>
      </c>
      <c r="AJ6" s="718" t="e">
        <f>VLOOKUP($D6,유선목표!$A:$Z,AJ$1,0)+VLOOKUP($D6,유선_약갱!$C:$AE,'유선_합계(수식)'!AJ$1,0)</f>
        <v>#N/A</v>
      </c>
    </row>
    <row r="7" spans="1:36" ht="24" customHeight="1">
      <c r="A7" s="714" t="e">
        <f>VLOOKUP(D7,#REF!,2,0)</f>
        <v>#REF!</v>
      </c>
      <c r="B7" s="710">
        <v>4</v>
      </c>
      <c r="C7" s="711" t="s">
        <v>597</v>
      </c>
      <c r="D7" s="711" t="s">
        <v>419</v>
      </c>
      <c r="E7" s="718" t="e">
        <f t="shared" si="0"/>
        <v>#N/A</v>
      </c>
      <c r="F7" s="718" t="e">
        <f>VLOOKUP($D7,유선목표!$A:$Z,F$1,0)+VLOOKUP($D7,유선_약갱!$C:$AE,'유선_합계(수식)'!F$1,0)</f>
        <v>#N/A</v>
      </c>
      <c r="G7" s="718" t="e">
        <f>VLOOKUP($D7,유선목표!$A:$Z,G$1,0)+VLOOKUP($D7,유선_약갱!$C:$AE,'유선_합계(수식)'!G$1,0)</f>
        <v>#N/A</v>
      </c>
      <c r="H7" s="718" t="e">
        <f>VLOOKUP($D7,유선목표!$A:$Z,H$1,0)+VLOOKUP($D7,유선_약갱!$C:$AE,'유선_합계(수식)'!H$1,0)</f>
        <v>#N/A</v>
      </c>
      <c r="I7" s="718" t="e">
        <f>VLOOKUP($D7,유선목표!$A:$Z,I$1,0)+VLOOKUP($D7,유선_약갱!$C:$AE,'유선_합계(수식)'!I$1,0)</f>
        <v>#N/A</v>
      </c>
      <c r="J7" s="718" t="e">
        <f>VLOOKUP($D7,유선목표!$A:$Z,J$1,0)+VLOOKUP($D7,유선_약갱!$C:$AE,'유선_합계(수식)'!J$1,0)</f>
        <v>#N/A</v>
      </c>
      <c r="K7" s="718" t="e">
        <f>VLOOKUP($D7,유선목표!$A:$Z,K$1,0)+VLOOKUP($D7,유선_약갱!$C:$AE,'유선_합계(수식)'!K$1,0)</f>
        <v>#N/A</v>
      </c>
      <c r="L7" s="718" t="e">
        <f>VLOOKUP($D7,유선목표!$A:$Z,L$1,0)+VLOOKUP($D7,유선_약갱!$C:$AE,'유선_합계(수식)'!L$1,0)</f>
        <v>#N/A</v>
      </c>
      <c r="M7" s="718" t="e">
        <f>VLOOKUP($D7,유선목표!$A:$Z,M$1,0)+VLOOKUP($D7,유선_약갱!$C:$AE,'유선_합계(수식)'!M$1,0)</f>
        <v>#N/A</v>
      </c>
      <c r="N7" s="718" t="e">
        <f>VLOOKUP($D7,유선목표!$A:$Z,N$1,0)+VLOOKUP($D7,유선_약갱!$C:$AE,'유선_합계(수식)'!N$1,0)</f>
        <v>#N/A</v>
      </c>
      <c r="O7" s="718" t="e">
        <f>VLOOKUP($D7,유선목표!$A:$Z,O$1,0)+VLOOKUP($D7,유선_약갱!$C:$AE,'유선_합계(수식)'!O$1,0)</f>
        <v>#N/A</v>
      </c>
      <c r="P7" s="718" t="e">
        <f>VLOOKUP($D7,유선목표!$A:$Z,P$1,0)+VLOOKUP($D7,유선_약갱!$C:$AE,'유선_합계(수식)'!P$1,0)</f>
        <v>#N/A</v>
      </c>
      <c r="Q7" s="718" t="e">
        <f>VLOOKUP($D7,유선목표!$A:$Z,Q$1,0)+VLOOKUP($D7,유선_약갱!$C:$AE,'유선_합계(수식)'!Q$1,0)</f>
        <v>#N/A</v>
      </c>
      <c r="R7" s="718" t="e">
        <f>VLOOKUP($D7,유선목표!$A:$Z,R$1,0)+VLOOKUP($D7,유선_약갱!$C:$AE,'유선_합계(수식)'!R$1,0)</f>
        <v>#N/A</v>
      </c>
      <c r="S7" s="718" t="e">
        <f>VLOOKUP($D7,유선목표!$A:$Z,S$1,0)+VLOOKUP($D7,유선_약갱!$C:$AE,'유선_합계(수식)'!S$1,0)</f>
        <v>#N/A</v>
      </c>
      <c r="T7" s="718" t="e">
        <f>VLOOKUP($D7,유선목표!$A:$Z,T$1,0)+VLOOKUP($D7,유선_약갱!$C:$AE,'유선_합계(수식)'!T$1,0)</f>
        <v>#N/A</v>
      </c>
      <c r="U7" s="718" t="e">
        <f>VLOOKUP($D7,유선목표!$A:$Z,U$1,0)+VLOOKUP($D7,유선_약갱!$C:$AE,'유선_합계(수식)'!U$1,0)</f>
        <v>#N/A</v>
      </c>
      <c r="V7" s="718" t="e">
        <f>VLOOKUP($D7,유선목표!$A:$Z,V$1,0)+VLOOKUP($D7,유선_약갱!$C:$AE,'유선_합계(수식)'!V$1,0)</f>
        <v>#N/A</v>
      </c>
      <c r="W7" s="718" t="e">
        <f>VLOOKUP($D7,유선목표!$A:$Z,W$1,0)+VLOOKUP($D7,유선_약갱!$C:$AE,'유선_합계(수식)'!W$1,0)</f>
        <v>#N/A</v>
      </c>
      <c r="X7" s="718" t="e">
        <f>VLOOKUP($D7,유선목표!$A:$Z,X$1,0)+VLOOKUP($D7,유선_약갱!$C:$AE,'유선_합계(수식)'!X$1,0)</f>
        <v>#N/A</v>
      </c>
      <c r="Y7" s="718" t="e">
        <f>VLOOKUP($D7,유선목표!$A:$Z,Y$1,0)+VLOOKUP($D7,유선_약갱!$C:$AE,'유선_합계(수식)'!Y$1,0)</f>
        <v>#N/A</v>
      </c>
      <c r="Z7" s="718" t="e">
        <f>VLOOKUP($D7,유선목표!$A:$Z,Z$1,0)+VLOOKUP($D7,유선_약갱!$C:$AE,'유선_합계(수식)'!Z$1,0)</f>
        <v>#N/A</v>
      </c>
      <c r="AA7" s="718" t="e">
        <f>VLOOKUP($D7,유선목표!$A:$Z,AA$1,0)+VLOOKUP($D7,유선_약갱!$C:$AE,'유선_합계(수식)'!AA$1,0)</f>
        <v>#N/A</v>
      </c>
      <c r="AB7" s="718" t="e">
        <f>VLOOKUP($D7,유선목표!$A:$Z,AB$1,0)+VLOOKUP($D7,유선_약갱!$C:$AE,'유선_합계(수식)'!AB$1,0)</f>
        <v>#N/A</v>
      </c>
      <c r="AC7" s="718" t="e">
        <f>VLOOKUP($D7,유선목표!$A:$Z,AC$1,0)+VLOOKUP($D7,유선_약갱!$C:$AE,'유선_합계(수식)'!AC$1,0)</f>
        <v>#N/A</v>
      </c>
      <c r="AD7" s="718" t="e">
        <f>VLOOKUP($D7,유선목표!$A:$Z,AD$1,0)+VLOOKUP($D7,유선_약갱!$C:$AE,'유선_합계(수식)'!AD$1,0)</f>
        <v>#N/A</v>
      </c>
      <c r="AE7" s="718" t="e">
        <f>VLOOKUP($D7,유선목표!$A:$Z,AE$1,0)+VLOOKUP($D7,유선_약갱!$C:$AE,'유선_합계(수식)'!AE$1,0)</f>
        <v>#N/A</v>
      </c>
      <c r="AF7" s="718" t="e">
        <f>VLOOKUP($D7,유선목표!$A:$Z,AF$1,0)+VLOOKUP($D7,유선_약갱!$C:$AE,'유선_합계(수식)'!AF$1,0)</f>
        <v>#N/A</v>
      </c>
      <c r="AG7" s="718" t="e">
        <f>VLOOKUP($D7,유선목표!$A:$Z,AG$1,0)+VLOOKUP($D7,유선_약갱!$C:$AE,'유선_합계(수식)'!AG$1,0)</f>
        <v>#N/A</v>
      </c>
      <c r="AH7" s="718" t="e">
        <f>VLOOKUP($D7,유선목표!$A:$Z,AH$1,0)+VLOOKUP($D7,유선_약갱!$C:$AE,'유선_합계(수식)'!AH$1,0)</f>
        <v>#N/A</v>
      </c>
      <c r="AI7" s="718" t="e">
        <f>VLOOKUP($D7,유선목표!$A:$Z,AI$1,0)+VLOOKUP($D7,유선_약갱!$C:$AE,'유선_합계(수식)'!AI$1,0)</f>
        <v>#N/A</v>
      </c>
      <c r="AJ7" s="718" t="e">
        <f>VLOOKUP($D7,유선목표!$A:$Z,AJ$1,0)+VLOOKUP($D7,유선_약갱!$C:$AE,'유선_합계(수식)'!AJ$1,0)</f>
        <v>#N/A</v>
      </c>
    </row>
    <row r="8" spans="1:36" ht="24" customHeight="1">
      <c r="A8" s="714" t="e">
        <f>VLOOKUP(D8,#REF!,2,0)</f>
        <v>#REF!</v>
      </c>
      <c r="B8" s="710">
        <v>5</v>
      </c>
      <c r="C8" s="711" t="s">
        <v>573</v>
      </c>
      <c r="D8" s="711" t="s">
        <v>370</v>
      </c>
      <c r="E8" s="718" t="e">
        <f t="shared" si="0"/>
        <v>#N/A</v>
      </c>
      <c r="F8" s="718" t="e">
        <f>VLOOKUP($D8,유선목표!$A:$Z,F$1,0)+VLOOKUP($D8,유선_약갱!$C:$AE,'유선_합계(수식)'!F$1,0)</f>
        <v>#N/A</v>
      </c>
      <c r="G8" s="718" t="e">
        <f>VLOOKUP($D8,유선목표!$A:$Z,G$1,0)+VLOOKUP($D8,유선_약갱!$C:$AE,'유선_합계(수식)'!G$1,0)</f>
        <v>#N/A</v>
      </c>
      <c r="H8" s="718" t="e">
        <f>VLOOKUP($D8,유선목표!$A:$Z,H$1,0)+VLOOKUP($D8,유선_약갱!$C:$AE,'유선_합계(수식)'!H$1,0)</f>
        <v>#N/A</v>
      </c>
      <c r="I8" s="718" t="e">
        <f>VLOOKUP($D8,유선목표!$A:$Z,I$1,0)+VLOOKUP($D8,유선_약갱!$C:$AE,'유선_합계(수식)'!I$1,0)</f>
        <v>#N/A</v>
      </c>
      <c r="J8" s="718" t="e">
        <f>VLOOKUP($D8,유선목표!$A:$Z,J$1,0)+VLOOKUP($D8,유선_약갱!$C:$AE,'유선_합계(수식)'!J$1,0)</f>
        <v>#N/A</v>
      </c>
      <c r="K8" s="718" t="e">
        <f>VLOOKUP($D8,유선목표!$A:$Z,K$1,0)+VLOOKUP($D8,유선_약갱!$C:$AE,'유선_합계(수식)'!K$1,0)</f>
        <v>#N/A</v>
      </c>
      <c r="L8" s="718" t="e">
        <f>VLOOKUP($D8,유선목표!$A:$Z,L$1,0)+VLOOKUP($D8,유선_약갱!$C:$AE,'유선_합계(수식)'!L$1,0)</f>
        <v>#N/A</v>
      </c>
      <c r="M8" s="718" t="e">
        <f>VLOOKUP($D8,유선목표!$A:$Z,M$1,0)+VLOOKUP($D8,유선_약갱!$C:$AE,'유선_합계(수식)'!M$1,0)</f>
        <v>#N/A</v>
      </c>
      <c r="N8" s="718" t="e">
        <f>VLOOKUP($D8,유선목표!$A:$Z,N$1,0)+VLOOKUP($D8,유선_약갱!$C:$AE,'유선_합계(수식)'!N$1,0)</f>
        <v>#N/A</v>
      </c>
      <c r="O8" s="718" t="e">
        <f>VLOOKUP($D8,유선목표!$A:$Z,O$1,0)+VLOOKUP($D8,유선_약갱!$C:$AE,'유선_합계(수식)'!O$1,0)</f>
        <v>#N/A</v>
      </c>
      <c r="P8" s="718" t="e">
        <f>VLOOKUP($D8,유선목표!$A:$Z,P$1,0)+VLOOKUP($D8,유선_약갱!$C:$AE,'유선_합계(수식)'!P$1,0)</f>
        <v>#N/A</v>
      </c>
      <c r="Q8" s="718" t="e">
        <f>VLOOKUP($D8,유선목표!$A:$Z,Q$1,0)+VLOOKUP($D8,유선_약갱!$C:$AE,'유선_합계(수식)'!Q$1,0)</f>
        <v>#N/A</v>
      </c>
      <c r="R8" s="718" t="e">
        <f>VLOOKUP($D8,유선목표!$A:$Z,R$1,0)+VLOOKUP($D8,유선_약갱!$C:$AE,'유선_합계(수식)'!R$1,0)</f>
        <v>#N/A</v>
      </c>
      <c r="S8" s="718" t="e">
        <f>VLOOKUP($D8,유선목표!$A:$Z,S$1,0)+VLOOKUP($D8,유선_약갱!$C:$AE,'유선_합계(수식)'!S$1,0)</f>
        <v>#N/A</v>
      </c>
      <c r="T8" s="718" t="e">
        <f>VLOOKUP($D8,유선목표!$A:$Z,T$1,0)+VLOOKUP($D8,유선_약갱!$C:$AE,'유선_합계(수식)'!T$1,0)</f>
        <v>#N/A</v>
      </c>
      <c r="U8" s="718" t="e">
        <f>VLOOKUP($D8,유선목표!$A:$Z,U$1,0)+VLOOKUP($D8,유선_약갱!$C:$AE,'유선_합계(수식)'!U$1,0)</f>
        <v>#N/A</v>
      </c>
      <c r="V8" s="718" t="e">
        <f>VLOOKUP($D8,유선목표!$A:$Z,V$1,0)+VLOOKUP($D8,유선_약갱!$C:$AE,'유선_합계(수식)'!V$1,0)</f>
        <v>#N/A</v>
      </c>
      <c r="W8" s="718" t="e">
        <f>VLOOKUP($D8,유선목표!$A:$Z,W$1,0)+VLOOKUP($D8,유선_약갱!$C:$AE,'유선_합계(수식)'!W$1,0)</f>
        <v>#N/A</v>
      </c>
      <c r="X8" s="718" t="e">
        <f>VLOOKUP($D8,유선목표!$A:$Z,X$1,0)+VLOOKUP($D8,유선_약갱!$C:$AE,'유선_합계(수식)'!X$1,0)</f>
        <v>#N/A</v>
      </c>
      <c r="Y8" s="718" t="e">
        <f>VLOOKUP($D8,유선목표!$A:$Z,Y$1,0)+VLOOKUP($D8,유선_약갱!$C:$AE,'유선_합계(수식)'!Y$1,0)</f>
        <v>#N/A</v>
      </c>
      <c r="Z8" s="718" t="e">
        <f>VLOOKUP($D8,유선목표!$A:$Z,Z$1,0)+VLOOKUP($D8,유선_약갱!$C:$AE,'유선_합계(수식)'!Z$1,0)</f>
        <v>#N/A</v>
      </c>
      <c r="AA8" s="718" t="e">
        <f>VLOOKUP($D8,유선목표!$A:$Z,AA$1,0)+VLOOKUP($D8,유선_약갱!$C:$AE,'유선_합계(수식)'!AA$1,0)</f>
        <v>#N/A</v>
      </c>
      <c r="AB8" s="718" t="e">
        <f>VLOOKUP($D8,유선목표!$A:$Z,AB$1,0)+VLOOKUP($D8,유선_약갱!$C:$AE,'유선_합계(수식)'!AB$1,0)</f>
        <v>#N/A</v>
      </c>
      <c r="AC8" s="718" t="e">
        <f>VLOOKUP($D8,유선목표!$A:$Z,AC$1,0)+VLOOKUP($D8,유선_약갱!$C:$AE,'유선_합계(수식)'!AC$1,0)</f>
        <v>#N/A</v>
      </c>
      <c r="AD8" s="718" t="e">
        <f>VLOOKUP($D8,유선목표!$A:$Z,AD$1,0)+VLOOKUP($D8,유선_약갱!$C:$AE,'유선_합계(수식)'!AD$1,0)</f>
        <v>#N/A</v>
      </c>
      <c r="AE8" s="718" t="e">
        <f>VLOOKUP($D8,유선목표!$A:$Z,AE$1,0)+VLOOKUP($D8,유선_약갱!$C:$AE,'유선_합계(수식)'!AE$1,0)</f>
        <v>#N/A</v>
      </c>
      <c r="AF8" s="718" t="e">
        <f>VLOOKUP($D8,유선목표!$A:$Z,AF$1,0)+VLOOKUP($D8,유선_약갱!$C:$AE,'유선_합계(수식)'!AF$1,0)</f>
        <v>#N/A</v>
      </c>
      <c r="AG8" s="718" t="e">
        <f>VLOOKUP($D8,유선목표!$A:$Z,AG$1,0)+VLOOKUP($D8,유선_약갱!$C:$AE,'유선_합계(수식)'!AG$1,0)</f>
        <v>#N/A</v>
      </c>
      <c r="AH8" s="718" t="e">
        <f>VLOOKUP($D8,유선목표!$A:$Z,AH$1,0)+VLOOKUP($D8,유선_약갱!$C:$AE,'유선_합계(수식)'!AH$1,0)</f>
        <v>#N/A</v>
      </c>
      <c r="AI8" s="718" t="e">
        <f>VLOOKUP($D8,유선목표!$A:$Z,AI$1,0)+VLOOKUP($D8,유선_약갱!$C:$AE,'유선_합계(수식)'!AI$1,0)</f>
        <v>#N/A</v>
      </c>
      <c r="AJ8" s="718" t="e">
        <f>VLOOKUP($D8,유선목표!$A:$Z,AJ$1,0)+VLOOKUP($D8,유선_약갱!$C:$AE,'유선_합계(수식)'!AJ$1,0)</f>
        <v>#N/A</v>
      </c>
    </row>
    <row r="9" spans="1:36" ht="24" customHeight="1">
      <c r="A9" s="714" t="e">
        <f>VLOOKUP(D9,#REF!,2,0)</f>
        <v>#REF!</v>
      </c>
      <c r="B9" s="710">
        <v>6</v>
      </c>
      <c r="C9" s="711" t="s">
        <v>590</v>
      </c>
      <c r="D9" s="711" t="s">
        <v>389</v>
      </c>
      <c r="E9" s="718" t="e">
        <f t="shared" si="0"/>
        <v>#N/A</v>
      </c>
      <c r="F9" s="718" t="e">
        <f>VLOOKUP($D9,유선목표!$A:$Z,F$1,0)+VLOOKUP($D9,유선_약갱!$C:$AE,'유선_합계(수식)'!F$1,0)</f>
        <v>#N/A</v>
      </c>
      <c r="G9" s="718" t="e">
        <f>VLOOKUP($D9,유선목표!$A:$Z,G$1,0)+VLOOKUP($D9,유선_약갱!$C:$AE,'유선_합계(수식)'!G$1,0)</f>
        <v>#N/A</v>
      </c>
      <c r="H9" s="718" t="e">
        <f>VLOOKUP($D9,유선목표!$A:$Z,H$1,0)+VLOOKUP($D9,유선_약갱!$C:$AE,'유선_합계(수식)'!H$1,0)</f>
        <v>#N/A</v>
      </c>
      <c r="I9" s="718" t="e">
        <f>VLOOKUP($D9,유선목표!$A:$Z,I$1,0)+VLOOKUP($D9,유선_약갱!$C:$AE,'유선_합계(수식)'!I$1,0)</f>
        <v>#N/A</v>
      </c>
      <c r="J9" s="718" t="e">
        <f>VLOOKUP($D9,유선목표!$A:$Z,J$1,0)+VLOOKUP($D9,유선_약갱!$C:$AE,'유선_합계(수식)'!J$1,0)</f>
        <v>#N/A</v>
      </c>
      <c r="K9" s="718" t="e">
        <f>VLOOKUP($D9,유선목표!$A:$Z,K$1,0)+VLOOKUP($D9,유선_약갱!$C:$AE,'유선_합계(수식)'!K$1,0)</f>
        <v>#N/A</v>
      </c>
      <c r="L9" s="718" t="e">
        <f>VLOOKUP($D9,유선목표!$A:$Z,L$1,0)+VLOOKUP($D9,유선_약갱!$C:$AE,'유선_합계(수식)'!L$1,0)</f>
        <v>#N/A</v>
      </c>
      <c r="M9" s="718" t="e">
        <f>VLOOKUP($D9,유선목표!$A:$Z,M$1,0)+VLOOKUP($D9,유선_약갱!$C:$AE,'유선_합계(수식)'!M$1,0)</f>
        <v>#N/A</v>
      </c>
      <c r="N9" s="718" t="e">
        <f>VLOOKUP($D9,유선목표!$A:$Z,N$1,0)+VLOOKUP($D9,유선_약갱!$C:$AE,'유선_합계(수식)'!N$1,0)</f>
        <v>#N/A</v>
      </c>
      <c r="O9" s="718" t="e">
        <f>VLOOKUP($D9,유선목표!$A:$Z,O$1,0)+VLOOKUP($D9,유선_약갱!$C:$AE,'유선_합계(수식)'!O$1,0)</f>
        <v>#N/A</v>
      </c>
      <c r="P9" s="718" t="e">
        <f>VLOOKUP($D9,유선목표!$A:$Z,P$1,0)+VLOOKUP($D9,유선_약갱!$C:$AE,'유선_합계(수식)'!P$1,0)</f>
        <v>#N/A</v>
      </c>
      <c r="Q9" s="718" t="e">
        <f>VLOOKUP($D9,유선목표!$A:$Z,Q$1,0)+VLOOKUP($D9,유선_약갱!$C:$AE,'유선_합계(수식)'!Q$1,0)</f>
        <v>#N/A</v>
      </c>
      <c r="R9" s="718" t="e">
        <f>VLOOKUP($D9,유선목표!$A:$Z,R$1,0)+VLOOKUP($D9,유선_약갱!$C:$AE,'유선_합계(수식)'!R$1,0)</f>
        <v>#N/A</v>
      </c>
      <c r="S9" s="718" t="e">
        <f>VLOOKUP($D9,유선목표!$A:$Z,S$1,0)+VLOOKUP($D9,유선_약갱!$C:$AE,'유선_합계(수식)'!S$1,0)</f>
        <v>#N/A</v>
      </c>
      <c r="T9" s="718" t="e">
        <f>VLOOKUP($D9,유선목표!$A:$Z,T$1,0)+VLOOKUP($D9,유선_약갱!$C:$AE,'유선_합계(수식)'!T$1,0)</f>
        <v>#N/A</v>
      </c>
      <c r="U9" s="718" t="e">
        <f>VLOOKUP($D9,유선목표!$A:$Z,U$1,0)+VLOOKUP($D9,유선_약갱!$C:$AE,'유선_합계(수식)'!U$1,0)</f>
        <v>#N/A</v>
      </c>
      <c r="V9" s="718" t="e">
        <f>VLOOKUP($D9,유선목표!$A:$Z,V$1,0)+VLOOKUP($D9,유선_약갱!$C:$AE,'유선_합계(수식)'!V$1,0)</f>
        <v>#N/A</v>
      </c>
      <c r="W9" s="718" t="e">
        <f>VLOOKUP($D9,유선목표!$A:$Z,W$1,0)+VLOOKUP($D9,유선_약갱!$C:$AE,'유선_합계(수식)'!W$1,0)</f>
        <v>#N/A</v>
      </c>
      <c r="X9" s="718" t="e">
        <f>VLOOKUP($D9,유선목표!$A:$Z,X$1,0)+VLOOKUP($D9,유선_약갱!$C:$AE,'유선_합계(수식)'!X$1,0)</f>
        <v>#N/A</v>
      </c>
      <c r="Y9" s="718" t="e">
        <f>VLOOKUP($D9,유선목표!$A:$Z,Y$1,0)+VLOOKUP($D9,유선_약갱!$C:$AE,'유선_합계(수식)'!Y$1,0)</f>
        <v>#N/A</v>
      </c>
      <c r="Z9" s="718" t="e">
        <f>VLOOKUP($D9,유선목표!$A:$Z,Z$1,0)+VLOOKUP($D9,유선_약갱!$C:$AE,'유선_합계(수식)'!Z$1,0)</f>
        <v>#N/A</v>
      </c>
      <c r="AA9" s="718" t="e">
        <f>VLOOKUP($D9,유선목표!$A:$Z,AA$1,0)+VLOOKUP($D9,유선_약갱!$C:$AE,'유선_합계(수식)'!AA$1,0)</f>
        <v>#N/A</v>
      </c>
      <c r="AB9" s="718" t="e">
        <f>VLOOKUP($D9,유선목표!$A:$Z,AB$1,0)+VLOOKUP($D9,유선_약갱!$C:$AE,'유선_합계(수식)'!AB$1,0)</f>
        <v>#N/A</v>
      </c>
      <c r="AC9" s="718" t="e">
        <f>VLOOKUP($D9,유선목표!$A:$Z,AC$1,0)+VLOOKUP($D9,유선_약갱!$C:$AE,'유선_합계(수식)'!AC$1,0)</f>
        <v>#N/A</v>
      </c>
      <c r="AD9" s="718" t="e">
        <f>VLOOKUP($D9,유선목표!$A:$Z,AD$1,0)+VLOOKUP($D9,유선_약갱!$C:$AE,'유선_합계(수식)'!AD$1,0)</f>
        <v>#N/A</v>
      </c>
      <c r="AE9" s="718" t="e">
        <f>VLOOKUP($D9,유선목표!$A:$Z,AE$1,0)+VLOOKUP($D9,유선_약갱!$C:$AE,'유선_합계(수식)'!AE$1,0)</f>
        <v>#N/A</v>
      </c>
      <c r="AF9" s="718" t="e">
        <f>VLOOKUP($D9,유선목표!$A:$Z,AF$1,0)+VLOOKUP($D9,유선_약갱!$C:$AE,'유선_합계(수식)'!AF$1,0)</f>
        <v>#N/A</v>
      </c>
      <c r="AG9" s="718" t="e">
        <f>VLOOKUP($D9,유선목표!$A:$Z,AG$1,0)+VLOOKUP($D9,유선_약갱!$C:$AE,'유선_합계(수식)'!AG$1,0)</f>
        <v>#N/A</v>
      </c>
      <c r="AH9" s="718" t="e">
        <f>VLOOKUP($D9,유선목표!$A:$Z,AH$1,0)+VLOOKUP($D9,유선_약갱!$C:$AE,'유선_합계(수식)'!AH$1,0)</f>
        <v>#N/A</v>
      </c>
      <c r="AI9" s="718" t="e">
        <f>VLOOKUP($D9,유선목표!$A:$Z,AI$1,0)+VLOOKUP($D9,유선_약갱!$C:$AE,'유선_합계(수식)'!AI$1,0)</f>
        <v>#N/A</v>
      </c>
      <c r="AJ9" s="718" t="e">
        <f>VLOOKUP($D9,유선목표!$A:$Z,AJ$1,0)+VLOOKUP($D9,유선_약갱!$C:$AE,'유선_합계(수식)'!AJ$1,0)</f>
        <v>#N/A</v>
      </c>
    </row>
    <row r="10" spans="1:36" ht="24" customHeight="1">
      <c r="A10" s="714" t="e">
        <f>VLOOKUP(D10,#REF!,2,0)</f>
        <v>#REF!</v>
      </c>
      <c r="B10" s="710">
        <v>7</v>
      </c>
      <c r="C10" s="711" t="s">
        <v>598</v>
      </c>
      <c r="D10" s="711" t="s">
        <v>411</v>
      </c>
      <c r="E10" s="718" t="e">
        <f t="shared" si="0"/>
        <v>#N/A</v>
      </c>
      <c r="F10" s="718" t="e">
        <f>VLOOKUP($D10,유선목표!$A:$Z,F$1,0)+VLOOKUP($D10,유선_약갱!$C:$AE,'유선_합계(수식)'!F$1,0)</f>
        <v>#N/A</v>
      </c>
      <c r="G10" s="718" t="e">
        <f>VLOOKUP($D10,유선목표!$A:$Z,G$1,0)+VLOOKUP($D10,유선_약갱!$C:$AE,'유선_합계(수식)'!G$1,0)</f>
        <v>#N/A</v>
      </c>
      <c r="H10" s="718" t="e">
        <f>VLOOKUP($D10,유선목표!$A:$Z,H$1,0)+VLOOKUP($D10,유선_약갱!$C:$AE,'유선_합계(수식)'!H$1,0)</f>
        <v>#N/A</v>
      </c>
      <c r="I10" s="718" t="e">
        <f>VLOOKUP($D10,유선목표!$A:$Z,I$1,0)+VLOOKUP($D10,유선_약갱!$C:$AE,'유선_합계(수식)'!I$1,0)</f>
        <v>#N/A</v>
      </c>
      <c r="J10" s="718" t="e">
        <f>VLOOKUP($D10,유선목표!$A:$Z,J$1,0)+VLOOKUP($D10,유선_약갱!$C:$AE,'유선_합계(수식)'!J$1,0)</f>
        <v>#N/A</v>
      </c>
      <c r="K10" s="718" t="e">
        <f>VLOOKUP($D10,유선목표!$A:$Z,K$1,0)+VLOOKUP($D10,유선_약갱!$C:$AE,'유선_합계(수식)'!K$1,0)</f>
        <v>#N/A</v>
      </c>
      <c r="L10" s="718" t="e">
        <f>VLOOKUP($D10,유선목표!$A:$Z,L$1,0)+VLOOKUP($D10,유선_약갱!$C:$AE,'유선_합계(수식)'!L$1,0)</f>
        <v>#N/A</v>
      </c>
      <c r="M10" s="718" t="e">
        <f>VLOOKUP($D10,유선목표!$A:$Z,M$1,0)+VLOOKUP($D10,유선_약갱!$C:$AE,'유선_합계(수식)'!M$1,0)</f>
        <v>#N/A</v>
      </c>
      <c r="N10" s="718" t="e">
        <f>VLOOKUP($D10,유선목표!$A:$Z,N$1,0)+VLOOKUP($D10,유선_약갱!$C:$AE,'유선_합계(수식)'!N$1,0)</f>
        <v>#N/A</v>
      </c>
      <c r="O10" s="718" t="e">
        <f>VLOOKUP($D10,유선목표!$A:$Z,O$1,0)+VLOOKUP($D10,유선_약갱!$C:$AE,'유선_합계(수식)'!O$1,0)</f>
        <v>#N/A</v>
      </c>
      <c r="P10" s="718" t="e">
        <f>VLOOKUP($D10,유선목표!$A:$Z,P$1,0)+VLOOKUP($D10,유선_약갱!$C:$AE,'유선_합계(수식)'!P$1,0)</f>
        <v>#N/A</v>
      </c>
      <c r="Q10" s="718" t="e">
        <f>VLOOKUP($D10,유선목표!$A:$Z,Q$1,0)+VLOOKUP($D10,유선_약갱!$C:$AE,'유선_합계(수식)'!Q$1,0)</f>
        <v>#N/A</v>
      </c>
      <c r="R10" s="718" t="e">
        <f>VLOOKUP($D10,유선목표!$A:$Z,R$1,0)+VLOOKUP($D10,유선_약갱!$C:$AE,'유선_합계(수식)'!R$1,0)</f>
        <v>#N/A</v>
      </c>
      <c r="S10" s="718" t="e">
        <f>VLOOKUP($D10,유선목표!$A:$Z,S$1,0)+VLOOKUP($D10,유선_약갱!$C:$AE,'유선_합계(수식)'!S$1,0)</f>
        <v>#N/A</v>
      </c>
      <c r="T10" s="718" t="e">
        <f>VLOOKUP($D10,유선목표!$A:$Z,T$1,0)+VLOOKUP($D10,유선_약갱!$C:$AE,'유선_합계(수식)'!T$1,0)</f>
        <v>#N/A</v>
      </c>
      <c r="U10" s="718" t="e">
        <f>VLOOKUP($D10,유선목표!$A:$Z,U$1,0)+VLOOKUP($D10,유선_약갱!$C:$AE,'유선_합계(수식)'!U$1,0)</f>
        <v>#N/A</v>
      </c>
      <c r="V10" s="718" t="e">
        <f>VLOOKUP($D10,유선목표!$A:$Z,V$1,0)+VLOOKUP($D10,유선_약갱!$C:$AE,'유선_합계(수식)'!V$1,0)</f>
        <v>#N/A</v>
      </c>
      <c r="W10" s="718" t="e">
        <f>VLOOKUP($D10,유선목표!$A:$Z,W$1,0)+VLOOKUP($D10,유선_약갱!$C:$AE,'유선_합계(수식)'!W$1,0)</f>
        <v>#N/A</v>
      </c>
      <c r="X10" s="718" t="e">
        <f>VLOOKUP($D10,유선목표!$A:$Z,X$1,0)+VLOOKUP($D10,유선_약갱!$C:$AE,'유선_합계(수식)'!X$1,0)</f>
        <v>#N/A</v>
      </c>
      <c r="Y10" s="718" t="e">
        <f>VLOOKUP($D10,유선목표!$A:$Z,Y$1,0)+VLOOKUP($D10,유선_약갱!$C:$AE,'유선_합계(수식)'!Y$1,0)</f>
        <v>#N/A</v>
      </c>
      <c r="Z10" s="718" t="e">
        <f>VLOOKUP($D10,유선목표!$A:$Z,Z$1,0)+VLOOKUP($D10,유선_약갱!$C:$AE,'유선_합계(수식)'!Z$1,0)</f>
        <v>#N/A</v>
      </c>
      <c r="AA10" s="718" t="e">
        <f>VLOOKUP($D10,유선목표!$A:$Z,AA$1,0)+VLOOKUP($D10,유선_약갱!$C:$AE,'유선_합계(수식)'!AA$1,0)</f>
        <v>#N/A</v>
      </c>
      <c r="AB10" s="718" t="e">
        <f>VLOOKUP($D10,유선목표!$A:$Z,AB$1,0)+VLOOKUP($D10,유선_약갱!$C:$AE,'유선_합계(수식)'!AB$1,0)</f>
        <v>#N/A</v>
      </c>
      <c r="AC10" s="718" t="e">
        <f>VLOOKUP($D10,유선목표!$A:$Z,AC$1,0)+VLOOKUP($D10,유선_약갱!$C:$AE,'유선_합계(수식)'!AC$1,0)</f>
        <v>#N/A</v>
      </c>
      <c r="AD10" s="718" t="e">
        <f>VLOOKUP($D10,유선목표!$A:$Z,AD$1,0)+VLOOKUP($D10,유선_약갱!$C:$AE,'유선_합계(수식)'!AD$1,0)</f>
        <v>#N/A</v>
      </c>
      <c r="AE10" s="718" t="e">
        <f>VLOOKUP($D10,유선목표!$A:$Z,AE$1,0)+VLOOKUP($D10,유선_약갱!$C:$AE,'유선_합계(수식)'!AE$1,0)</f>
        <v>#N/A</v>
      </c>
      <c r="AF10" s="718" t="e">
        <f>VLOOKUP($D10,유선목표!$A:$Z,AF$1,0)+VLOOKUP($D10,유선_약갱!$C:$AE,'유선_합계(수식)'!AF$1,0)</f>
        <v>#N/A</v>
      </c>
      <c r="AG10" s="718" t="e">
        <f>VLOOKUP($D10,유선목표!$A:$Z,AG$1,0)+VLOOKUP($D10,유선_약갱!$C:$AE,'유선_합계(수식)'!AG$1,0)</f>
        <v>#N/A</v>
      </c>
      <c r="AH10" s="718" t="e">
        <f>VLOOKUP($D10,유선목표!$A:$Z,AH$1,0)+VLOOKUP($D10,유선_약갱!$C:$AE,'유선_합계(수식)'!AH$1,0)</f>
        <v>#N/A</v>
      </c>
      <c r="AI10" s="718" t="e">
        <f>VLOOKUP($D10,유선목표!$A:$Z,AI$1,0)+VLOOKUP($D10,유선_약갱!$C:$AE,'유선_합계(수식)'!AI$1,0)</f>
        <v>#N/A</v>
      </c>
      <c r="AJ10" s="718" t="e">
        <f>VLOOKUP($D10,유선목표!$A:$Z,AJ$1,0)+VLOOKUP($D10,유선_약갱!$C:$AE,'유선_합계(수식)'!AJ$1,0)</f>
        <v>#N/A</v>
      </c>
    </row>
    <row r="11" spans="1:36" ht="24" customHeight="1">
      <c r="A11" s="714" t="e">
        <f>VLOOKUP(D11,#REF!,2,0)</f>
        <v>#REF!</v>
      </c>
      <c r="B11" s="710">
        <v>8</v>
      </c>
      <c r="C11" s="711" t="s">
        <v>574</v>
      </c>
      <c r="D11" s="711" t="s">
        <v>374</v>
      </c>
      <c r="E11" s="718" t="e">
        <f t="shared" si="0"/>
        <v>#N/A</v>
      </c>
      <c r="F11" s="718" t="e">
        <f>VLOOKUP($D11,유선목표!$A:$Z,F$1,0)+VLOOKUP($D11,유선_약갱!$C:$AE,'유선_합계(수식)'!F$1,0)</f>
        <v>#N/A</v>
      </c>
      <c r="G11" s="718" t="e">
        <f>VLOOKUP($D11,유선목표!$A:$Z,G$1,0)+VLOOKUP($D11,유선_약갱!$C:$AE,'유선_합계(수식)'!G$1,0)</f>
        <v>#N/A</v>
      </c>
      <c r="H11" s="718" t="e">
        <f>VLOOKUP($D11,유선목표!$A:$Z,H$1,0)+VLOOKUP($D11,유선_약갱!$C:$AE,'유선_합계(수식)'!H$1,0)</f>
        <v>#N/A</v>
      </c>
      <c r="I11" s="718" t="e">
        <f>VLOOKUP($D11,유선목표!$A:$Z,I$1,0)+VLOOKUP($D11,유선_약갱!$C:$AE,'유선_합계(수식)'!I$1,0)</f>
        <v>#N/A</v>
      </c>
      <c r="J11" s="718" t="e">
        <f>VLOOKUP($D11,유선목표!$A:$Z,J$1,0)+VLOOKUP($D11,유선_약갱!$C:$AE,'유선_합계(수식)'!J$1,0)</f>
        <v>#N/A</v>
      </c>
      <c r="K11" s="718" t="e">
        <f>VLOOKUP($D11,유선목표!$A:$Z,K$1,0)+VLOOKUP($D11,유선_약갱!$C:$AE,'유선_합계(수식)'!K$1,0)</f>
        <v>#N/A</v>
      </c>
      <c r="L11" s="718" t="e">
        <f>VLOOKUP($D11,유선목표!$A:$Z,L$1,0)+VLOOKUP($D11,유선_약갱!$C:$AE,'유선_합계(수식)'!L$1,0)</f>
        <v>#N/A</v>
      </c>
      <c r="M11" s="718" t="e">
        <f>VLOOKUP($D11,유선목표!$A:$Z,M$1,0)+VLOOKUP($D11,유선_약갱!$C:$AE,'유선_합계(수식)'!M$1,0)</f>
        <v>#N/A</v>
      </c>
      <c r="N11" s="718" t="e">
        <f>VLOOKUP($D11,유선목표!$A:$Z,N$1,0)+VLOOKUP($D11,유선_약갱!$C:$AE,'유선_합계(수식)'!N$1,0)</f>
        <v>#N/A</v>
      </c>
      <c r="O11" s="718" t="e">
        <f>VLOOKUP($D11,유선목표!$A:$Z,O$1,0)+VLOOKUP($D11,유선_약갱!$C:$AE,'유선_합계(수식)'!O$1,0)</f>
        <v>#N/A</v>
      </c>
      <c r="P11" s="718" t="e">
        <f>VLOOKUP($D11,유선목표!$A:$Z,P$1,0)+VLOOKUP($D11,유선_약갱!$C:$AE,'유선_합계(수식)'!P$1,0)</f>
        <v>#N/A</v>
      </c>
      <c r="Q11" s="718" t="e">
        <f>VLOOKUP($D11,유선목표!$A:$Z,Q$1,0)+VLOOKUP($D11,유선_약갱!$C:$AE,'유선_합계(수식)'!Q$1,0)</f>
        <v>#N/A</v>
      </c>
      <c r="R11" s="718" t="e">
        <f>VLOOKUP($D11,유선목표!$A:$Z,R$1,0)+VLOOKUP($D11,유선_약갱!$C:$AE,'유선_합계(수식)'!R$1,0)</f>
        <v>#N/A</v>
      </c>
      <c r="S11" s="718" t="e">
        <f>VLOOKUP($D11,유선목표!$A:$Z,S$1,0)+VLOOKUP($D11,유선_약갱!$C:$AE,'유선_합계(수식)'!S$1,0)</f>
        <v>#N/A</v>
      </c>
      <c r="T11" s="718" t="e">
        <f>VLOOKUP($D11,유선목표!$A:$Z,T$1,0)+VLOOKUP($D11,유선_약갱!$C:$AE,'유선_합계(수식)'!T$1,0)</f>
        <v>#N/A</v>
      </c>
      <c r="U11" s="718" t="e">
        <f>VLOOKUP($D11,유선목표!$A:$Z,U$1,0)+VLOOKUP($D11,유선_약갱!$C:$AE,'유선_합계(수식)'!U$1,0)</f>
        <v>#N/A</v>
      </c>
      <c r="V11" s="718" t="e">
        <f>VLOOKUP($D11,유선목표!$A:$Z,V$1,0)+VLOOKUP($D11,유선_약갱!$C:$AE,'유선_합계(수식)'!V$1,0)</f>
        <v>#N/A</v>
      </c>
      <c r="W11" s="718" t="e">
        <f>VLOOKUP($D11,유선목표!$A:$Z,W$1,0)+VLOOKUP($D11,유선_약갱!$C:$AE,'유선_합계(수식)'!W$1,0)</f>
        <v>#N/A</v>
      </c>
      <c r="X11" s="718" t="e">
        <f>VLOOKUP($D11,유선목표!$A:$Z,X$1,0)+VLOOKUP($D11,유선_약갱!$C:$AE,'유선_합계(수식)'!X$1,0)</f>
        <v>#N/A</v>
      </c>
      <c r="Y11" s="718" t="e">
        <f>VLOOKUP($D11,유선목표!$A:$Z,Y$1,0)+VLOOKUP($D11,유선_약갱!$C:$AE,'유선_합계(수식)'!Y$1,0)</f>
        <v>#N/A</v>
      </c>
      <c r="Z11" s="718" t="e">
        <f>VLOOKUP($D11,유선목표!$A:$Z,Z$1,0)+VLOOKUP($D11,유선_약갱!$C:$AE,'유선_합계(수식)'!Z$1,0)</f>
        <v>#N/A</v>
      </c>
      <c r="AA11" s="718" t="e">
        <f>VLOOKUP($D11,유선목표!$A:$Z,AA$1,0)+VLOOKUP($D11,유선_약갱!$C:$AE,'유선_합계(수식)'!AA$1,0)</f>
        <v>#N/A</v>
      </c>
      <c r="AB11" s="718" t="e">
        <f>VLOOKUP($D11,유선목표!$A:$Z,AB$1,0)+VLOOKUP($D11,유선_약갱!$C:$AE,'유선_합계(수식)'!AB$1,0)</f>
        <v>#N/A</v>
      </c>
      <c r="AC11" s="718" t="e">
        <f>VLOOKUP($D11,유선목표!$A:$Z,AC$1,0)+VLOOKUP($D11,유선_약갱!$C:$AE,'유선_합계(수식)'!AC$1,0)</f>
        <v>#N/A</v>
      </c>
      <c r="AD11" s="718" t="e">
        <f>VLOOKUP($D11,유선목표!$A:$Z,AD$1,0)+VLOOKUP($D11,유선_약갱!$C:$AE,'유선_합계(수식)'!AD$1,0)</f>
        <v>#N/A</v>
      </c>
      <c r="AE11" s="718" t="e">
        <f>VLOOKUP($D11,유선목표!$A:$Z,AE$1,0)+VLOOKUP($D11,유선_약갱!$C:$AE,'유선_합계(수식)'!AE$1,0)</f>
        <v>#N/A</v>
      </c>
      <c r="AF11" s="718" t="e">
        <f>VLOOKUP($D11,유선목표!$A:$Z,AF$1,0)+VLOOKUP($D11,유선_약갱!$C:$AE,'유선_합계(수식)'!AF$1,0)</f>
        <v>#N/A</v>
      </c>
      <c r="AG11" s="718" t="e">
        <f>VLOOKUP($D11,유선목표!$A:$Z,AG$1,0)+VLOOKUP($D11,유선_약갱!$C:$AE,'유선_합계(수식)'!AG$1,0)</f>
        <v>#N/A</v>
      </c>
      <c r="AH11" s="718" t="e">
        <f>VLOOKUP($D11,유선목표!$A:$Z,AH$1,0)+VLOOKUP($D11,유선_약갱!$C:$AE,'유선_합계(수식)'!AH$1,0)</f>
        <v>#N/A</v>
      </c>
      <c r="AI11" s="718" t="e">
        <f>VLOOKUP($D11,유선목표!$A:$Z,AI$1,0)+VLOOKUP($D11,유선_약갱!$C:$AE,'유선_합계(수식)'!AI$1,0)</f>
        <v>#N/A</v>
      </c>
      <c r="AJ11" s="718" t="e">
        <f>VLOOKUP($D11,유선목표!$A:$Z,AJ$1,0)+VLOOKUP($D11,유선_약갱!$C:$AE,'유선_합계(수식)'!AJ$1,0)</f>
        <v>#N/A</v>
      </c>
    </row>
    <row r="12" spans="1:36" ht="24" customHeight="1">
      <c r="A12" s="714" t="e">
        <f>VLOOKUP(D12,#REF!,2,0)</f>
        <v>#REF!</v>
      </c>
      <c r="B12" s="710">
        <v>9</v>
      </c>
      <c r="C12" s="711" t="s">
        <v>599</v>
      </c>
      <c r="D12" s="711" t="s">
        <v>407</v>
      </c>
      <c r="E12" s="718" t="e">
        <f t="shared" si="0"/>
        <v>#N/A</v>
      </c>
      <c r="F12" s="718" t="e">
        <f>VLOOKUP($D12,유선목표!$A:$Z,F$1,0)+VLOOKUP($D12,유선_약갱!$C:$AE,'유선_합계(수식)'!F$1,0)</f>
        <v>#N/A</v>
      </c>
      <c r="G12" s="718" t="e">
        <f>VLOOKUP($D12,유선목표!$A:$Z,G$1,0)+VLOOKUP($D12,유선_약갱!$C:$AE,'유선_합계(수식)'!G$1,0)</f>
        <v>#N/A</v>
      </c>
      <c r="H12" s="718" t="e">
        <f>VLOOKUP($D12,유선목표!$A:$Z,H$1,0)+VLOOKUP($D12,유선_약갱!$C:$AE,'유선_합계(수식)'!H$1,0)</f>
        <v>#N/A</v>
      </c>
      <c r="I12" s="718" t="e">
        <f>VLOOKUP($D12,유선목표!$A:$Z,I$1,0)+VLOOKUP($D12,유선_약갱!$C:$AE,'유선_합계(수식)'!I$1,0)</f>
        <v>#N/A</v>
      </c>
      <c r="J12" s="718" t="e">
        <f>VLOOKUP($D12,유선목표!$A:$Z,J$1,0)+VLOOKUP($D12,유선_약갱!$C:$AE,'유선_합계(수식)'!J$1,0)</f>
        <v>#N/A</v>
      </c>
      <c r="K12" s="718" t="e">
        <f>VLOOKUP($D12,유선목표!$A:$Z,K$1,0)+VLOOKUP($D12,유선_약갱!$C:$AE,'유선_합계(수식)'!K$1,0)</f>
        <v>#N/A</v>
      </c>
      <c r="L12" s="718" t="e">
        <f>VLOOKUP($D12,유선목표!$A:$Z,L$1,0)+VLOOKUP($D12,유선_약갱!$C:$AE,'유선_합계(수식)'!L$1,0)</f>
        <v>#N/A</v>
      </c>
      <c r="M12" s="718" t="e">
        <f>VLOOKUP($D12,유선목표!$A:$Z,M$1,0)+VLOOKUP($D12,유선_약갱!$C:$AE,'유선_합계(수식)'!M$1,0)</f>
        <v>#N/A</v>
      </c>
      <c r="N12" s="718" t="e">
        <f>VLOOKUP($D12,유선목표!$A:$Z,N$1,0)+VLOOKUP($D12,유선_약갱!$C:$AE,'유선_합계(수식)'!N$1,0)</f>
        <v>#N/A</v>
      </c>
      <c r="O12" s="718" t="e">
        <f>VLOOKUP($D12,유선목표!$A:$Z,O$1,0)+VLOOKUP($D12,유선_약갱!$C:$AE,'유선_합계(수식)'!O$1,0)</f>
        <v>#N/A</v>
      </c>
      <c r="P12" s="718" t="e">
        <f>VLOOKUP($D12,유선목표!$A:$Z,P$1,0)+VLOOKUP($D12,유선_약갱!$C:$AE,'유선_합계(수식)'!P$1,0)</f>
        <v>#N/A</v>
      </c>
      <c r="Q12" s="718" t="e">
        <f>VLOOKUP($D12,유선목표!$A:$Z,Q$1,0)+VLOOKUP($D12,유선_약갱!$C:$AE,'유선_합계(수식)'!Q$1,0)</f>
        <v>#N/A</v>
      </c>
      <c r="R12" s="718" t="e">
        <f>VLOOKUP($D12,유선목표!$A:$Z,R$1,0)+VLOOKUP($D12,유선_약갱!$C:$AE,'유선_합계(수식)'!R$1,0)</f>
        <v>#N/A</v>
      </c>
      <c r="S12" s="718" t="e">
        <f>VLOOKUP($D12,유선목표!$A:$Z,S$1,0)+VLOOKUP($D12,유선_약갱!$C:$AE,'유선_합계(수식)'!S$1,0)</f>
        <v>#N/A</v>
      </c>
      <c r="T12" s="718" t="e">
        <f>VLOOKUP($D12,유선목표!$A:$Z,T$1,0)+VLOOKUP($D12,유선_약갱!$C:$AE,'유선_합계(수식)'!T$1,0)</f>
        <v>#N/A</v>
      </c>
      <c r="U12" s="718" t="e">
        <f>VLOOKUP($D12,유선목표!$A:$Z,U$1,0)+VLOOKUP($D12,유선_약갱!$C:$AE,'유선_합계(수식)'!U$1,0)</f>
        <v>#N/A</v>
      </c>
      <c r="V12" s="718" t="e">
        <f>VLOOKUP($D12,유선목표!$A:$Z,V$1,0)+VLOOKUP($D12,유선_약갱!$C:$AE,'유선_합계(수식)'!V$1,0)</f>
        <v>#N/A</v>
      </c>
      <c r="W12" s="718" t="e">
        <f>VLOOKUP($D12,유선목표!$A:$Z,W$1,0)+VLOOKUP($D12,유선_약갱!$C:$AE,'유선_합계(수식)'!W$1,0)</f>
        <v>#N/A</v>
      </c>
      <c r="X12" s="718" t="e">
        <f>VLOOKUP($D12,유선목표!$A:$Z,X$1,0)+VLOOKUP($D12,유선_약갱!$C:$AE,'유선_합계(수식)'!X$1,0)</f>
        <v>#N/A</v>
      </c>
      <c r="Y12" s="718" t="e">
        <f>VLOOKUP($D12,유선목표!$A:$Z,Y$1,0)+VLOOKUP($D12,유선_약갱!$C:$AE,'유선_합계(수식)'!Y$1,0)</f>
        <v>#N/A</v>
      </c>
      <c r="Z12" s="718" t="e">
        <f>VLOOKUP($D12,유선목표!$A:$Z,Z$1,0)+VLOOKUP($D12,유선_약갱!$C:$AE,'유선_합계(수식)'!Z$1,0)</f>
        <v>#N/A</v>
      </c>
      <c r="AA12" s="718" t="e">
        <f>VLOOKUP($D12,유선목표!$A:$Z,AA$1,0)+VLOOKUP($D12,유선_약갱!$C:$AE,'유선_합계(수식)'!AA$1,0)</f>
        <v>#N/A</v>
      </c>
      <c r="AB12" s="718" t="e">
        <f>VLOOKUP($D12,유선목표!$A:$Z,AB$1,0)+VLOOKUP($D12,유선_약갱!$C:$AE,'유선_합계(수식)'!AB$1,0)</f>
        <v>#N/A</v>
      </c>
      <c r="AC12" s="718" t="e">
        <f>VLOOKUP($D12,유선목표!$A:$Z,AC$1,0)+VLOOKUP($D12,유선_약갱!$C:$AE,'유선_합계(수식)'!AC$1,0)</f>
        <v>#N/A</v>
      </c>
      <c r="AD12" s="718" t="e">
        <f>VLOOKUP($D12,유선목표!$A:$Z,AD$1,0)+VLOOKUP($D12,유선_약갱!$C:$AE,'유선_합계(수식)'!AD$1,0)</f>
        <v>#N/A</v>
      </c>
      <c r="AE12" s="718" t="e">
        <f>VLOOKUP($D12,유선목표!$A:$Z,AE$1,0)+VLOOKUP($D12,유선_약갱!$C:$AE,'유선_합계(수식)'!AE$1,0)</f>
        <v>#N/A</v>
      </c>
      <c r="AF12" s="718" t="e">
        <f>VLOOKUP($D12,유선목표!$A:$Z,AF$1,0)+VLOOKUP($D12,유선_약갱!$C:$AE,'유선_합계(수식)'!AF$1,0)</f>
        <v>#N/A</v>
      </c>
      <c r="AG12" s="718" t="e">
        <f>VLOOKUP($D12,유선목표!$A:$Z,AG$1,0)+VLOOKUP($D12,유선_약갱!$C:$AE,'유선_합계(수식)'!AG$1,0)</f>
        <v>#N/A</v>
      </c>
      <c r="AH12" s="718" t="e">
        <f>VLOOKUP($D12,유선목표!$A:$Z,AH$1,0)+VLOOKUP($D12,유선_약갱!$C:$AE,'유선_합계(수식)'!AH$1,0)</f>
        <v>#N/A</v>
      </c>
      <c r="AI12" s="718" t="e">
        <f>VLOOKUP($D12,유선목표!$A:$Z,AI$1,0)+VLOOKUP($D12,유선_약갱!$C:$AE,'유선_합계(수식)'!AI$1,0)</f>
        <v>#N/A</v>
      </c>
      <c r="AJ12" s="718" t="e">
        <f>VLOOKUP($D12,유선목표!$A:$Z,AJ$1,0)+VLOOKUP($D12,유선_약갱!$C:$AE,'유선_합계(수식)'!AJ$1,0)</f>
        <v>#N/A</v>
      </c>
    </row>
    <row r="13" spans="1:36" ht="24" customHeight="1">
      <c r="A13" s="714" t="e">
        <f>VLOOKUP(D13,#REF!,2,0)</f>
        <v>#REF!</v>
      </c>
      <c r="B13" s="710">
        <v>10</v>
      </c>
      <c r="C13" s="711" t="s">
        <v>582</v>
      </c>
      <c r="D13" s="711" t="s">
        <v>385</v>
      </c>
      <c r="E13" s="718" t="e">
        <f t="shared" si="0"/>
        <v>#N/A</v>
      </c>
      <c r="F13" s="718" t="e">
        <f>VLOOKUP($D13,유선목표!$A:$Z,F$1,0)+VLOOKUP($D13,유선_약갱!$C:$AE,'유선_합계(수식)'!F$1,0)</f>
        <v>#N/A</v>
      </c>
      <c r="G13" s="718" t="e">
        <f>VLOOKUP($D13,유선목표!$A:$Z,G$1,0)+VLOOKUP($D13,유선_약갱!$C:$AE,'유선_합계(수식)'!G$1,0)</f>
        <v>#N/A</v>
      </c>
      <c r="H13" s="718" t="e">
        <f>VLOOKUP($D13,유선목표!$A:$Z,H$1,0)+VLOOKUP($D13,유선_약갱!$C:$AE,'유선_합계(수식)'!H$1,0)</f>
        <v>#N/A</v>
      </c>
      <c r="I13" s="718" t="e">
        <f>VLOOKUP($D13,유선목표!$A:$Z,I$1,0)+VLOOKUP($D13,유선_약갱!$C:$AE,'유선_합계(수식)'!I$1,0)</f>
        <v>#N/A</v>
      </c>
      <c r="J13" s="718" t="e">
        <f>VLOOKUP($D13,유선목표!$A:$Z,J$1,0)+VLOOKUP($D13,유선_약갱!$C:$AE,'유선_합계(수식)'!J$1,0)</f>
        <v>#N/A</v>
      </c>
      <c r="K13" s="718" t="e">
        <f>VLOOKUP($D13,유선목표!$A:$Z,K$1,0)+VLOOKUP($D13,유선_약갱!$C:$AE,'유선_합계(수식)'!K$1,0)</f>
        <v>#N/A</v>
      </c>
      <c r="L13" s="718" t="e">
        <f>VLOOKUP($D13,유선목표!$A:$Z,L$1,0)+VLOOKUP($D13,유선_약갱!$C:$AE,'유선_합계(수식)'!L$1,0)</f>
        <v>#N/A</v>
      </c>
      <c r="M13" s="718" t="e">
        <f>VLOOKUP($D13,유선목표!$A:$Z,M$1,0)+VLOOKUP($D13,유선_약갱!$C:$AE,'유선_합계(수식)'!M$1,0)</f>
        <v>#N/A</v>
      </c>
      <c r="N13" s="718" t="e">
        <f>VLOOKUP($D13,유선목표!$A:$Z,N$1,0)+VLOOKUP($D13,유선_약갱!$C:$AE,'유선_합계(수식)'!N$1,0)</f>
        <v>#N/A</v>
      </c>
      <c r="O13" s="718" t="e">
        <f>VLOOKUP($D13,유선목표!$A:$Z,O$1,0)+VLOOKUP($D13,유선_약갱!$C:$AE,'유선_합계(수식)'!O$1,0)</f>
        <v>#N/A</v>
      </c>
      <c r="P13" s="718" t="e">
        <f>VLOOKUP($D13,유선목표!$A:$Z,P$1,0)+VLOOKUP($D13,유선_약갱!$C:$AE,'유선_합계(수식)'!P$1,0)</f>
        <v>#N/A</v>
      </c>
      <c r="Q13" s="718" t="e">
        <f>VLOOKUP($D13,유선목표!$A:$Z,Q$1,0)+VLOOKUP($D13,유선_약갱!$C:$AE,'유선_합계(수식)'!Q$1,0)</f>
        <v>#N/A</v>
      </c>
      <c r="R13" s="718" t="e">
        <f>VLOOKUP($D13,유선목표!$A:$Z,R$1,0)+VLOOKUP($D13,유선_약갱!$C:$AE,'유선_합계(수식)'!R$1,0)</f>
        <v>#N/A</v>
      </c>
      <c r="S13" s="718" t="e">
        <f>VLOOKUP($D13,유선목표!$A:$Z,S$1,0)+VLOOKUP($D13,유선_약갱!$C:$AE,'유선_합계(수식)'!S$1,0)</f>
        <v>#N/A</v>
      </c>
      <c r="T13" s="718" t="e">
        <f>VLOOKUP($D13,유선목표!$A:$Z,T$1,0)+VLOOKUP($D13,유선_약갱!$C:$AE,'유선_합계(수식)'!T$1,0)</f>
        <v>#N/A</v>
      </c>
      <c r="U13" s="718" t="e">
        <f>VLOOKUP($D13,유선목표!$A:$Z,U$1,0)+VLOOKUP($D13,유선_약갱!$C:$AE,'유선_합계(수식)'!U$1,0)</f>
        <v>#N/A</v>
      </c>
      <c r="V13" s="718" t="e">
        <f>VLOOKUP($D13,유선목표!$A:$Z,V$1,0)+VLOOKUP($D13,유선_약갱!$C:$AE,'유선_합계(수식)'!V$1,0)</f>
        <v>#N/A</v>
      </c>
      <c r="W13" s="718" t="e">
        <f>VLOOKUP($D13,유선목표!$A:$Z,W$1,0)+VLOOKUP($D13,유선_약갱!$C:$AE,'유선_합계(수식)'!W$1,0)</f>
        <v>#N/A</v>
      </c>
      <c r="X13" s="718" t="e">
        <f>VLOOKUP($D13,유선목표!$A:$Z,X$1,0)+VLOOKUP($D13,유선_약갱!$C:$AE,'유선_합계(수식)'!X$1,0)</f>
        <v>#N/A</v>
      </c>
      <c r="Y13" s="718" t="e">
        <f>VLOOKUP($D13,유선목표!$A:$Z,Y$1,0)+VLOOKUP($D13,유선_약갱!$C:$AE,'유선_합계(수식)'!Y$1,0)</f>
        <v>#N/A</v>
      </c>
      <c r="Z13" s="718" t="e">
        <f>VLOOKUP($D13,유선목표!$A:$Z,Z$1,0)+VLOOKUP($D13,유선_약갱!$C:$AE,'유선_합계(수식)'!Z$1,0)</f>
        <v>#N/A</v>
      </c>
      <c r="AA13" s="718" t="e">
        <f>VLOOKUP($D13,유선목표!$A:$Z,AA$1,0)+VLOOKUP($D13,유선_약갱!$C:$AE,'유선_합계(수식)'!AA$1,0)</f>
        <v>#N/A</v>
      </c>
      <c r="AB13" s="718" t="e">
        <f>VLOOKUP($D13,유선목표!$A:$Z,AB$1,0)+VLOOKUP($D13,유선_약갱!$C:$AE,'유선_합계(수식)'!AB$1,0)</f>
        <v>#N/A</v>
      </c>
      <c r="AC13" s="718" t="e">
        <f>VLOOKUP($D13,유선목표!$A:$Z,AC$1,0)+VLOOKUP($D13,유선_약갱!$C:$AE,'유선_합계(수식)'!AC$1,0)</f>
        <v>#N/A</v>
      </c>
      <c r="AD13" s="718" t="e">
        <f>VLOOKUP($D13,유선목표!$A:$Z,AD$1,0)+VLOOKUP($D13,유선_약갱!$C:$AE,'유선_합계(수식)'!AD$1,0)</f>
        <v>#N/A</v>
      </c>
      <c r="AE13" s="718" t="e">
        <f>VLOOKUP($D13,유선목표!$A:$Z,AE$1,0)+VLOOKUP($D13,유선_약갱!$C:$AE,'유선_합계(수식)'!AE$1,0)</f>
        <v>#N/A</v>
      </c>
      <c r="AF13" s="718" t="e">
        <f>VLOOKUP($D13,유선목표!$A:$Z,AF$1,0)+VLOOKUP($D13,유선_약갱!$C:$AE,'유선_합계(수식)'!AF$1,0)</f>
        <v>#N/A</v>
      </c>
      <c r="AG13" s="718" t="e">
        <f>VLOOKUP($D13,유선목표!$A:$Z,AG$1,0)+VLOOKUP($D13,유선_약갱!$C:$AE,'유선_합계(수식)'!AG$1,0)</f>
        <v>#N/A</v>
      </c>
      <c r="AH13" s="718" t="e">
        <f>VLOOKUP($D13,유선목표!$A:$Z,AH$1,0)+VLOOKUP($D13,유선_약갱!$C:$AE,'유선_합계(수식)'!AH$1,0)</f>
        <v>#N/A</v>
      </c>
      <c r="AI13" s="718" t="e">
        <f>VLOOKUP($D13,유선목표!$A:$Z,AI$1,0)+VLOOKUP($D13,유선_약갱!$C:$AE,'유선_합계(수식)'!AI$1,0)</f>
        <v>#N/A</v>
      </c>
      <c r="AJ13" s="718" t="e">
        <f>VLOOKUP($D13,유선목표!$A:$Z,AJ$1,0)+VLOOKUP($D13,유선_약갱!$C:$AE,'유선_합계(수식)'!AJ$1,0)</f>
        <v>#N/A</v>
      </c>
    </row>
    <row r="14" spans="1:36" ht="24" customHeight="1">
      <c r="A14" s="714" t="e">
        <f>VLOOKUP(D14,#REF!,2,0)</f>
        <v>#REF!</v>
      </c>
      <c r="B14" s="710">
        <v>11</v>
      </c>
      <c r="C14" s="711" t="s">
        <v>600</v>
      </c>
      <c r="D14" s="711" t="s">
        <v>413</v>
      </c>
      <c r="E14" s="718" t="e">
        <f t="shared" si="0"/>
        <v>#N/A</v>
      </c>
      <c r="F14" s="718" t="e">
        <f>VLOOKUP($D14,유선목표!$A:$Z,F$1,0)+VLOOKUP($D14,유선_약갱!$C:$AE,'유선_합계(수식)'!F$1,0)</f>
        <v>#N/A</v>
      </c>
      <c r="G14" s="718" t="e">
        <f>VLOOKUP($D14,유선목표!$A:$Z,G$1,0)+VLOOKUP($D14,유선_약갱!$C:$AE,'유선_합계(수식)'!G$1,0)</f>
        <v>#N/A</v>
      </c>
      <c r="H14" s="718" t="e">
        <f>VLOOKUP($D14,유선목표!$A:$Z,H$1,0)+VLOOKUP($D14,유선_약갱!$C:$AE,'유선_합계(수식)'!H$1,0)</f>
        <v>#N/A</v>
      </c>
      <c r="I14" s="718" t="e">
        <f>VLOOKUP($D14,유선목표!$A:$Z,I$1,0)+VLOOKUP($D14,유선_약갱!$C:$AE,'유선_합계(수식)'!I$1,0)</f>
        <v>#N/A</v>
      </c>
      <c r="J14" s="718" t="e">
        <f>VLOOKUP($D14,유선목표!$A:$Z,J$1,0)+VLOOKUP($D14,유선_약갱!$C:$AE,'유선_합계(수식)'!J$1,0)</f>
        <v>#N/A</v>
      </c>
      <c r="K14" s="718" t="e">
        <f>VLOOKUP($D14,유선목표!$A:$Z,K$1,0)+VLOOKUP($D14,유선_약갱!$C:$AE,'유선_합계(수식)'!K$1,0)</f>
        <v>#N/A</v>
      </c>
      <c r="L14" s="718" t="e">
        <f>VLOOKUP($D14,유선목표!$A:$Z,L$1,0)+VLOOKUP($D14,유선_약갱!$C:$AE,'유선_합계(수식)'!L$1,0)</f>
        <v>#N/A</v>
      </c>
      <c r="M14" s="718" t="e">
        <f>VLOOKUP($D14,유선목표!$A:$Z,M$1,0)+VLOOKUP($D14,유선_약갱!$C:$AE,'유선_합계(수식)'!M$1,0)</f>
        <v>#N/A</v>
      </c>
      <c r="N14" s="718" t="e">
        <f>VLOOKUP($D14,유선목표!$A:$Z,N$1,0)+VLOOKUP($D14,유선_약갱!$C:$AE,'유선_합계(수식)'!N$1,0)</f>
        <v>#N/A</v>
      </c>
      <c r="O14" s="718" t="e">
        <f>VLOOKUP($D14,유선목표!$A:$Z,O$1,0)+VLOOKUP($D14,유선_약갱!$C:$AE,'유선_합계(수식)'!O$1,0)</f>
        <v>#N/A</v>
      </c>
      <c r="P14" s="718" t="e">
        <f>VLOOKUP($D14,유선목표!$A:$Z,P$1,0)+VLOOKUP($D14,유선_약갱!$C:$AE,'유선_합계(수식)'!P$1,0)</f>
        <v>#N/A</v>
      </c>
      <c r="Q14" s="718" t="e">
        <f>VLOOKUP($D14,유선목표!$A:$Z,Q$1,0)+VLOOKUP($D14,유선_약갱!$C:$AE,'유선_합계(수식)'!Q$1,0)</f>
        <v>#N/A</v>
      </c>
      <c r="R14" s="718" t="e">
        <f>VLOOKUP($D14,유선목표!$A:$Z,R$1,0)+VLOOKUP($D14,유선_약갱!$C:$AE,'유선_합계(수식)'!R$1,0)</f>
        <v>#N/A</v>
      </c>
      <c r="S14" s="718" t="e">
        <f>VLOOKUP($D14,유선목표!$A:$Z,S$1,0)+VLOOKUP($D14,유선_약갱!$C:$AE,'유선_합계(수식)'!S$1,0)</f>
        <v>#N/A</v>
      </c>
      <c r="T14" s="718" t="e">
        <f>VLOOKUP($D14,유선목표!$A:$Z,T$1,0)+VLOOKUP($D14,유선_약갱!$C:$AE,'유선_합계(수식)'!T$1,0)</f>
        <v>#N/A</v>
      </c>
      <c r="U14" s="718" t="e">
        <f>VLOOKUP($D14,유선목표!$A:$Z,U$1,0)+VLOOKUP($D14,유선_약갱!$C:$AE,'유선_합계(수식)'!U$1,0)</f>
        <v>#N/A</v>
      </c>
      <c r="V14" s="718" t="e">
        <f>VLOOKUP($D14,유선목표!$A:$Z,V$1,0)+VLOOKUP($D14,유선_약갱!$C:$AE,'유선_합계(수식)'!V$1,0)</f>
        <v>#N/A</v>
      </c>
      <c r="W14" s="718" t="e">
        <f>VLOOKUP($D14,유선목표!$A:$Z,W$1,0)+VLOOKUP($D14,유선_약갱!$C:$AE,'유선_합계(수식)'!W$1,0)</f>
        <v>#N/A</v>
      </c>
      <c r="X14" s="718" t="e">
        <f>VLOOKUP($D14,유선목표!$A:$Z,X$1,0)+VLOOKUP($D14,유선_약갱!$C:$AE,'유선_합계(수식)'!X$1,0)</f>
        <v>#N/A</v>
      </c>
      <c r="Y14" s="718" t="e">
        <f>VLOOKUP($D14,유선목표!$A:$Z,Y$1,0)+VLOOKUP($D14,유선_약갱!$C:$AE,'유선_합계(수식)'!Y$1,0)</f>
        <v>#N/A</v>
      </c>
      <c r="Z14" s="718" t="e">
        <f>VLOOKUP($D14,유선목표!$A:$Z,Z$1,0)+VLOOKUP($D14,유선_약갱!$C:$AE,'유선_합계(수식)'!Z$1,0)</f>
        <v>#N/A</v>
      </c>
      <c r="AA14" s="718" t="e">
        <f>VLOOKUP($D14,유선목표!$A:$Z,AA$1,0)+VLOOKUP($D14,유선_약갱!$C:$AE,'유선_합계(수식)'!AA$1,0)</f>
        <v>#N/A</v>
      </c>
      <c r="AB14" s="718" t="e">
        <f>VLOOKUP($D14,유선목표!$A:$Z,AB$1,0)+VLOOKUP($D14,유선_약갱!$C:$AE,'유선_합계(수식)'!AB$1,0)</f>
        <v>#N/A</v>
      </c>
      <c r="AC14" s="718" t="e">
        <f>VLOOKUP($D14,유선목표!$A:$Z,AC$1,0)+VLOOKUP($D14,유선_약갱!$C:$AE,'유선_합계(수식)'!AC$1,0)</f>
        <v>#N/A</v>
      </c>
      <c r="AD14" s="718" t="e">
        <f>VLOOKUP($D14,유선목표!$A:$Z,AD$1,0)+VLOOKUP($D14,유선_약갱!$C:$AE,'유선_합계(수식)'!AD$1,0)</f>
        <v>#N/A</v>
      </c>
      <c r="AE14" s="718" t="e">
        <f>VLOOKUP($D14,유선목표!$A:$Z,AE$1,0)+VLOOKUP($D14,유선_약갱!$C:$AE,'유선_합계(수식)'!AE$1,0)</f>
        <v>#N/A</v>
      </c>
      <c r="AF14" s="718" t="e">
        <f>VLOOKUP($D14,유선목표!$A:$Z,AF$1,0)+VLOOKUP($D14,유선_약갱!$C:$AE,'유선_합계(수식)'!AF$1,0)</f>
        <v>#N/A</v>
      </c>
      <c r="AG14" s="718" t="e">
        <f>VLOOKUP($D14,유선목표!$A:$Z,AG$1,0)+VLOOKUP($D14,유선_약갱!$C:$AE,'유선_합계(수식)'!AG$1,0)</f>
        <v>#N/A</v>
      </c>
      <c r="AH14" s="718" t="e">
        <f>VLOOKUP($D14,유선목표!$A:$Z,AH$1,0)+VLOOKUP($D14,유선_약갱!$C:$AE,'유선_합계(수식)'!AH$1,0)</f>
        <v>#N/A</v>
      </c>
      <c r="AI14" s="718" t="e">
        <f>VLOOKUP($D14,유선목표!$A:$Z,AI$1,0)+VLOOKUP($D14,유선_약갱!$C:$AE,'유선_합계(수식)'!AI$1,0)</f>
        <v>#N/A</v>
      </c>
      <c r="AJ14" s="718" t="e">
        <f>VLOOKUP($D14,유선목표!$A:$Z,AJ$1,0)+VLOOKUP($D14,유선_약갱!$C:$AE,'유선_합계(수식)'!AJ$1,0)</f>
        <v>#N/A</v>
      </c>
    </row>
    <row r="15" spans="1:36" ht="24" customHeight="1">
      <c r="A15" s="714" t="e">
        <f>VLOOKUP(D15,#REF!,2,0)</f>
        <v>#REF!</v>
      </c>
      <c r="B15" s="710">
        <v>12</v>
      </c>
      <c r="C15" s="711" t="s">
        <v>575</v>
      </c>
      <c r="D15" s="711" t="s">
        <v>368</v>
      </c>
      <c r="E15" s="718" t="e">
        <f t="shared" si="0"/>
        <v>#N/A</v>
      </c>
      <c r="F15" s="718" t="e">
        <f>VLOOKUP($D15,유선목표!$A:$Z,F$1,0)+VLOOKUP($D15,유선_약갱!$C:$AE,'유선_합계(수식)'!F$1,0)</f>
        <v>#N/A</v>
      </c>
      <c r="G15" s="718" t="e">
        <f>VLOOKUP($D15,유선목표!$A:$Z,G$1,0)+VLOOKUP($D15,유선_약갱!$C:$AE,'유선_합계(수식)'!G$1,0)</f>
        <v>#N/A</v>
      </c>
      <c r="H15" s="718" t="e">
        <f>VLOOKUP($D15,유선목표!$A:$Z,H$1,0)+VLOOKUP($D15,유선_약갱!$C:$AE,'유선_합계(수식)'!H$1,0)</f>
        <v>#N/A</v>
      </c>
      <c r="I15" s="718" t="e">
        <f>VLOOKUP($D15,유선목표!$A:$Z,I$1,0)+VLOOKUP($D15,유선_약갱!$C:$AE,'유선_합계(수식)'!I$1,0)</f>
        <v>#N/A</v>
      </c>
      <c r="J15" s="718" t="e">
        <f>VLOOKUP($D15,유선목표!$A:$Z,J$1,0)+VLOOKUP($D15,유선_약갱!$C:$AE,'유선_합계(수식)'!J$1,0)</f>
        <v>#N/A</v>
      </c>
      <c r="K15" s="718" t="e">
        <f>VLOOKUP($D15,유선목표!$A:$Z,K$1,0)+VLOOKUP($D15,유선_약갱!$C:$AE,'유선_합계(수식)'!K$1,0)</f>
        <v>#N/A</v>
      </c>
      <c r="L15" s="718" t="e">
        <f>VLOOKUP($D15,유선목표!$A:$Z,L$1,0)+VLOOKUP($D15,유선_약갱!$C:$AE,'유선_합계(수식)'!L$1,0)</f>
        <v>#N/A</v>
      </c>
      <c r="M15" s="718" t="e">
        <f>VLOOKUP($D15,유선목표!$A:$Z,M$1,0)+VLOOKUP($D15,유선_약갱!$C:$AE,'유선_합계(수식)'!M$1,0)</f>
        <v>#N/A</v>
      </c>
      <c r="N15" s="718" t="e">
        <f>VLOOKUP($D15,유선목표!$A:$Z,N$1,0)+VLOOKUP($D15,유선_약갱!$C:$AE,'유선_합계(수식)'!N$1,0)</f>
        <v>#N/A</v>
      </c>
      <c r="O15" s="718" t="e">
        <f>VLOOKUP($D15,유선목표!$A:$Z,O$1,0)+VLOOKUP($D15,유선_약갱!$C:$AE,'유선_합계(수식)'!O$1,0)</f>
        <v>#N/A</v>
      </c>
      <c r="P15" s="718" t="e">
        <f>VLOOKUP($D15,유선목표!$A:$Z,P$1,0)+VLOOKUP($D15,유선_약갱!$C:$AE,'유선_합계(수식)'!P$1,0)</f>
        <v>#N/A</v>
      </c>
      <c r="Q15" s="718" t="e">
        <f>VLOOKUP($D15,유선목표!$A:$Z,Q$1,0)+VLOOKUP($D15,유선_약갱!$C:$AE,'유선_합계(수식)'!Q$1,0)</f>
        <v>#N/A</v>
      </c>
      <c r="R15" s="718" t="e">
        <f>VLOOKUP($D15,유선목표!$A:$Z,R$1,0)+VLOOKUP($D15,유선_약갱!$C:$AE,'유선_합계(수식)'!R$1,0)</f>
        <v>#N/A</v>
      </c>
      <c r="S15" s="718" t="e">
        <f>VLOOKUP($D15,유선목표!$A:$Z,S$1,0)+VLOOKUP($D15,유선_약갱!$C:$AE,'유선_합계(수식)'!S$1,0)</f>
        <v>#N/A</v>
      </c>
      <c r="T15" s="718" t="e">
        <f>VLOOKUP($D15,유선목표!$A:$Z,T$1,0)+VLOOKUP($D15,유선_약갱!$C:$AE,'유선_합계(수식)'!T$1,0)</f>
        <v>#N/A</v>
      </c>
      <c r="U15" s="718" t="e">
        <f>VLOOKUP($D15,유선목표!$A:$Z,U$1,0)+VLOOKUP($D15,유선_약갱!$C:$AE,'유선_합계(수식)'!U$1,0)</f>
        <v>#N/A</v>
      </c>
      <c r="V15" s="718" t="e">
        <f>VLOOKUP($D15,유선목표!$A:$Z,V$1,0)+VLOOKUP($D15,유선_약갱!$C:$AE,'유선_합계(수식)'!V$1,0)</f>
        <v>#N/A</v>
      </c>
      <c r="W15" s="718" t="e">
        <f>VLOOKUP($D15,유선목표!$A:$Z,W$1,0)+VLOOKUP($D15,유선_약갱!$C:$AE,'유선_합계(수식)'!W$1,0)</f>
        <v>#N/A</v>
      </c>
      <c r="X15" s="718" t="e">
        <f>VLOOKUP($D15,유선목표!$A:$Z,X$1,0)+VLOOKUP($D15,유선_약갱!$C:$AE,'유선_합계(수식)'!X$1,0)</f>
        <v>#N/A</v>
      </c>
      <c r="Y15" s="718" t="e">
        <f>VLOOKUP($D15,유선목표!$A:$Z,Y$1,0)+VLOOKUP($D15,유선_약갱!$C:$AE,'유선_합계(수식)'!Y$1,0)</f>
        <v>#N/A</v>
      </c>
      <c r="Z15" s="718" t="e">
        <f>VLOOKUP($D15,유선목표!$A:$Z,Z$1,0)+VLOOKUP($D15,유선_약갱!$C:$AE,'유선_합계(수식)'!Z$1,0)</f>
        <v>#N/A</v>
      </c>
      <c r="AA15" s="718" t="e">
        <f>VLOOKUP($D15,유선목표!$A:$Z,AA$1,0)+VLOOKUP($D15,유선_약갱!$C:$AE,'유선_합계(수식)'!AA$1,0)</f>
        <v>#N/A</v>
      </c>
      <c r="AB15" s="718" t="e">
        <f>VLOOKUP($D15,유선목표!$A:$Z,AB$1,0)+VLOOKUP($D15,유선_약갱!$C:$AE,'유선_합계(수식)'!AB$1,0)</f>
        <v>#N/A</v>
      </c>
      <c r="AC15" s="718" t="e">
        <f>VLOOKUP($D15,유선목표!$A:$Z,AC$1,0)+VLOOKUP($D15,유선_약갱!$C:$AE,'유선_합계(수식)'!AC$1,0)</f>
        <v>#N/A</v>
      </c>
      <c r="AD15" s="718" t="e">
        <f>VLOOKUP($D15,유선목표!$A:$Z,AD$1,0)+VLOOKUP($D15,유선_약갱!$C:$AE,'유선_합계(수식)'!AD$1,0)</f>
        <v>#N/A</v>
      </c>
      <c r="AE15" s="718" t="e">
        <f>VLOOKUP($D15,유선목표!$A:$Z,AE$1,0)+VLOOKUP($D15,유선_약갱!$C:$AE,'유선_합계(수식)'!AE$1,0)</f>
        <v>#N/A</v>
      </c>
      <c r="AF15" s="718" t="e">
        <f>VLOOKUP($D15,유선목표!$A:$Z,AF$1,0)+VLOOKUP($D15,유선_약갱!$C:$AE,'유선_합계(수식)'!AF$1,0)</f>
        <v>#N/A</v>
      </c>
      <c r="AG15" s="718" t="e">
        <f>VLOOKUP($D15,유선목표!$A:$Z,AG$1,0)+VLOOKUP($D15,유선_약갱!$C:$AE,'유선_합계(수식)'!AG$1,0)</f>
        <v>#N/A</v>
      </c>
      <c r="AH15" s="718" t="e">
        <f>VLOOKUP($D15,유선목표!$A:$Z,AH$1,0)+VLOOKUP($D15,유선_약갱!$C:$AE,'유선_합계(수식)'!AH$1,0)</f>
        <v>#N/A</v>
      </c>
      <c r="AI15" s="718" t="e">
        <f>VLOOKUP($D15,유선목표!$A:$Z,AI$1,0)+VLOOKUP($D15,유선_약갱!$C:$AE,'유선_합계(수식)'!AI$1,0)</f>
        <v>#N/A</v>
      </c>
      <c r="AJ15" s="718" t="e">
        <f>VLOOKUP($D15,유선목표!$A:$Z,AJ$1,0)+VLOOKUP($D15,유선_약갱!$C:$AE,'유선_합계(수식)'!AJ$1,0)</f>
        <v>#N/A</v>
      </c>
    </row>
    <row r="16" spans="1:36" ht="24" customHeight="1">
      <c r="A16" s="714" t="e">
        <f>VLOOKUP(D16,#REF!,2,0)</f>
        <v>#REF!</v>
      </c>
      <c r="B16" s="710">
        <v>13</v>
      </c>
      <c r="C16" s="711" t="s">
        <v>583</v>
      </c>
      <c r="D16" s="711" t="s">
        <v>383</v>
      </c>
      <c r="E16" s="718" t="e">
        <f t="shared" si="0"/>
        <v>#N/A</v>
      </c>
      <c r="F16" s="718" t="e">
        <f>VLOOKUP($D16,유선목표!$A:$Z,F$1,0)+VLOOKUP($D16,유선_약갱!$C:$AE,'유선_합계(수식)'!F$1,0)</f>
        <v>#N/A</v>
      </c>
      <c r="G16" s="718" t="e">
        <f>VLOOKUP($D16,유선목표!$A:$Z,G$1,0)+VLOOKUP($D16,유선_약갱!$C:$AE,'유선_합계(수식)'!G$1,0)</f>
        <v>#N/A</v>
      </c>
      <c r="H16" s="718" t="e">
        <f>VLOOKUP($D16,유선목표!$A:$Z,H$1,0)+VLOOKUP($D16,유선_약갱!$C:$AE,'유선_합계(수식)'!H$1,0)</f>
        <v>#N/A</v>
      </c>
      <c r="I16" s="718" t="e">
        <f>VLOOKUP($D16,유선목표!$A:$Z,I$1,0)+VLOOKUP($D16,유선_약갱!$C:$AE,'유선_합계(수식)'!I$1,0)</f>
        <v>#N/A</v>
      </c>
      <c r="J16" s="718" t="e">
        <f>VLOOKUP($D16,유선목표!$A:$Z,J$1,0)+VLOOKUP($D16,유선_약갱!$C:$AE,'유선_합계(수식)'!J$1,0)</f>
        <v>#N/A</v>
      </c>
      <c r="K16" s="718" t="e">
        <f>VLOOKUP($D16,유선목표!$A:$Z,K$1,0)+VLOOKUP($D16,유선_약갱!$C:$AE,'유선_합계(수식)'!K$1,0)</f>
        <v>#N/A</v>
      </c>
      <c r="L16" s="718" t="e">
        <f>VLOOKUP($D16,유선목표!$A:$Z,L$1,0)+VLOOKUP($D16,유선_약갱!$C:$AE,'유선_합계(수식)'!L$1,0)</f>
        <v>#N/A</v>
      </c>
      <c r="M16" s="718" t="e">
        <f>VLOOKUP($D16,유선목표!$A:$Z,M$1,0)+VLOOKUP($D16,유선_약갱!$C:$AE,'유선_합계(수식)'!M$1,0)</f>
        <v>#N/A</v>
      </c>
      <c r="N16" s="718" t="e">
        <f>VLOOKUP($D16,유선목표!$A:$Z,N$1,0)+VLOOKUP($D16,유선_약갱!$C:$AE,'유선_합계(수식)'!N$1,0)</f>
        <v>#N/A</v>
      </c>
      <c r="O16" s="718" t="e">
        <f>VLOOKUP($D16,유선목표!$A:$Z,O$1,0)+VLOOKUP($D16,유선_약갱!$C:$AE,'유선_합계(수식)'!O$1,0)</f>
        <v>#N/A</v>
      </c>
      <c r="P16" s="718" t="e">
        <f>VLOOKUP($D16,유선목표!$A:$Z,P$1,0)+VLOOKUP($D16,유선_약갱!$C:$AE,'유선_합계(수식)'!P$1,0)</f>
        <v>#N/A</v>
      </c>
      <c r="Q16" s="718" t="e">
        <f>VLOOKUP($D16,유선목표!$A:$Z,Q$1,0)+VLOOKUP($D16,유선_약갱!$C:$AE,'유선_합계(수식)'!Q$1,0)</f>
        <v>#N/A</v>
      </c>
      <c r="R16" s="718" t="e">
        <f>VLOOKUP($D16,유선목표!$A:$Z,R$1,0)+VLOOKUP($D16,유선_약갱!$C:$AE,'유선_합계(수식)'!R$1,0)</f>
        <v>#N/A</v>
      </c>
      <c r="S16" s="718" t="e">
        <f>VLOOKUP($D16,유선목표!$A:$Z,S$1,0)+VLOOKUP($D16,유선_약갱!$C:$AE,'유선_합계(수식)'!S$1,0)</f>
        <v>#N/A</v>
      </c>
      <c r="T16" s="718" t="e">
        <f>VLOOKUP($D16,유선목표!$A:$Z,T$1,0)+VLOOKUP($D16,유선_약갱!$C:$AE,'유선_합계(수식)'!T$1,0)</f>
        <v>#N/A</v>
      </c>
      <c r="U16" s="718" t="e">
        <f>VLOOKUP($D16,유선목표!$A:$Z,U$1,0)+VLOOKUP($D16,유선_약갱!$C:$AE,'유선_합계(수식)'!U$1,0)</f>
        <v>#N/A</v>
      </c>
      <c r="V16" s="718" t="e">
        <f>VLOOKUP($D16,유선목표!$A:$Z,V$1,0)+VLOOKUP($D16,유선_약갱!$C:$AE,'유선_합계(수식)'!V$1,0)</f>
        <v>#N/A</v>
      </c>
      <c r="W16" s="718" t="e">
        <f>VLOOKUP($D16,유선목표!$A:$Z,W$1,0)+VLOOKUP($D16,유선_약갱!$C:$AE,'유선_합계(수식)'!W$1,0)</f>
        <v>#N/A</v>
      </c>
      <c r="X16" s="718" t="e">
        <f>VLOOKUP($D16,유선목표!$A:$Z,X$1,0)+VLOOKUP($D16,유선_약갱!$C:$AE,'유선_합계(수식)'!X$1,0)</f>
        <v>#N/A</v>
      </c>
      <c r="Y16" s="718" t="e">
        <f>VLOOKUP($D16,유선목표!$A:$Z,Y$1,0)+VLOOKUP($D16,유선_약갱!$C:$AE,'유선_합계(수식)'!Y$1,0)</f>
        <v>#N/A</v>
      </c>
      <c r="Z16" s="718" t="e">
        <f>VLOOKUP($D16,유선목표!$A:$Z,Z$1,0)+VLOOKUP($D16,유선_약갱!$C:$AE,'유선_합계(수식)'!Z$1,0)</f>
        <v>#N/A</v>
      </c>
      <c r="AA16" s="718" t="e">
        <f>VLOOKUP($D16,유선목표!$A:$Z,AA$1,0)+VLOOKUP($D16,유선_약갱!$C:$AE,'유선_합계(수식)'!AA$1,0)</f>
        <v>#N/A</v>
      </c>
      <c r="AB16" s="718" t="e">
        <f>VLOOKUP($D16,유선목표!$A:$Z,AB$1,0)+VLOOKUP($D16,유선_약갱!$C:$AE,'유선_합계(수식)'!AB$1,0)</f>
        <v>#N/A</v>
      </c>
      <c r="AC16" s="718" t="e">
        <f>VLOOKUP($D16,유선목표!$A:$Z,AC$1,0)+VLOOKUP($D16,유선_약갱!$C:$AE,'유선_합계(수식)'!AC$1,0)</f>
        <v>#N/A</v>
      </c>
      <c r="AD16" s="718" t="e">
        <f>VLOOKUP($D16,유선목표!$A:$Z,AD$1,0)+VLOOKUP($D16,유선_약갱!$C:$AE,'유선_합계(수식)'!AD$1,0)</f>
        <v>#N/A</v>
      </c>
      <c r="AE16" s="718" t="e">
        <f>VLOOKUP($D16,유선목표!$A:$Z,AE$1,0)+VLOOKUP($D16,유선_약갱!$C:$AE,'유선_합계(수식)'!AE$1,0)</f>
        <v>#N/A</v>
      </c>
      <c r="AF16" s="718" t="e">
        <f>VLOOKUP($D16,유선목표!$A:$Z,AF$1,0)+VLOOKUP($D16,유선_약갱!$C:$AE,'유선_합계(수식)'!AF$1,0)</f>
        <v>#N/A</v>
      </c>
      <c r="AG16" s="718" t="e">
        <f>VLOOKUP($D16,유선목표!$A:$Z,AG$1,0)+VLOOKUP($D16,유선_약갱!$C:$AE,'유선_합계(수식)'!AG$1,0)</f>
        <v>#N/A</v>
      </c>
      <c r="AH16" s="718" t="e">
        <f>VLOOKUP($D16,유선목표!$A:$Z,AH$1,0)+VLOOKUP($D16,유선_약갱!$C:$AE,'유선_합계(수식)'!AH$1,0)</f>
        <v>#N/A</v>
      </c>
      <c r="AI16" s="718" t="e">
        <f>VLOOKUP($D16,유선목표!$A:$Z,AI$1,0)+VLOOKUP($D16,유선_약갱!$C:$AE,'유선_합계(수식)'!AI$1,0)</f>
        <v>#N/A</v>
      </c>
      <c r="AJ16" s="718" t="e">
        <f>VLOOKUP($D16,유선목표!$A:$Z,AJ$1,0)+VLOOKUP($D16,유선_약갱!$C:$AE,'유선_합계(수식)'!AJ$1,0)</f>
        <v>#N/A</v>
      </c>
    </row>
    <row r="17" spans="1:36" ht="24" customHeight="1">
      <c r="A17" s="714" t="e">
        <f>VLOOKUP(D17,#REF!,2,0)</f>
        <v>#REF!</v>
      </c>
      <c r="B17" s="710">
        <v>14</v>
      </c>
      <c r="C17" s="711" t="s">
        <v>591</v>
      </c>
      <c r="D17" s="711" t="s">
        <v>392</v>
      </c>
      <c r="E17" s="718" t="e">
        <f t="shared" si="0"/>
        <v>#N/A</v>
      </c>
      <c r="F17" s="718" t="e">
        <f>VLOOKUP($D17,유선목표!$A:$Z,F$1,0)+VLOOKUP($D17,유선_약갱!$C:$AE,'유선_합계(수식)'!F$1,0)</f>
        <v>#N/A</v>
      </c>
      <c r="G17" s="718" t="e">
        <f>VLOOKUP($D17,유선목표!$A:$Z,G$1,0)+VLOOKUP($D17,유선_약갱!$C:$AE,'유선_합계(수식)'!G$1,0)</f>
        <v>#N/A</v>
      </c>
      <c r="H17" s="718" t="e">
        <f>VLOOKUP($D17,유선목표!$A:$Z,H$1,0)+VLOOKUP($D17,유선_약갱!$C:$AE,'유선_합계(수식)'!H$1,0)</f>
        <v>#N/A</v>
      </c>
      <c r="I17" s="718" t="e">
        <f>VLOOKUP($D17,유선목표!$A:$Z,I$1,0)+VLOOKUP($D17,유선_약갱!$C:$AE,'유선_합계(수식)'!I$1,0)</f>
        <v>#N/A</v>
      </c>
      <c r="J17" s="718" t="e">
        <f>VLOOKUP($D17,유선목표!$A:$Z,J$1,0)+VLOOKUP($D17,유선_약갱!$C:$AE,'유선_합계(수식)'!J$1,0)</f>
        <v>#N/A</v>
      </c>
      <c r="K17" s="718" t="e">
        <f>VLOOKUP($D17,유선목표!$A:$Z,K$1,0)+VLOOKUP($D17,유선_약갱!$C:$AE,'유선_합계(수식)'!K$1,0)</f>
        <v>#N/A</v>
      </c>
      <c r="L17" s="718" t="e">
        <f>VLOOKUP($D17,유선목표!$A:$Z,L$1,0)+VLOOKUP($D17,유선_약갱!$C:$AE,'유선_합계(수식)'!L$1,0)</f>
        <v>#N/A</v>
      </c>
      <c r="M17" s="718" t="e">
        <f>VLOOKUP($D17,유선목표!$A:$Z,M$1,0)+VLOOKUP($D17,유선_약갱!$C:$AE,'유선_합계(수식)'!M$1,0)</f>
        <v>#N/A</v>
      </c>
      <c r="N17" s="718" t="e">
        <f>VLOOKUP($D17,유선목표!$A:$Z,N$1,0)+VLOOKUP($D17,유선_약갱!$C:$AE,'유선_합계(수식)'!N$1,0)</f>
        <v>#N/A</v>
      </c>
      <c r="O17" s="718" t="e">
        <f>VLOOKUP($D17,유선목표!$A:$Z,O$1,0)+VLOOKUP($D17,유선_약갱!$C:$AE,'유선_합계(수식)'!O$1,0)</f>
        <v>#N/A</v>
      </c>
      <c r="P17" s="718" t="e">
        <f>VLOOKUP($D17,유선목표!$A:$Z,P$1,0)+VLOOKUP($D17,유선_약갱!$C:$AE,'유선_합계(수식)'!P$1,0)</f>
        <v>#N/A</v>
      </c>
      <c r="Q17" s="718" t="e">
        <f>VLOOKUP($D17,유선목표!$A:$Z,Q$1,0)+VLOOKUP($D17,유선_약갱!$C:$AE,'유선_합계(수식)'!Q$1,0)</f>
        <v>#N/A</v>
      </c>
      <c r="R17" s="718" t="e">
        <f>VLOOKUP($D17,유선목표!$A:$Z,R$1,0)+VLOOKUP($D17,유선_약갱!$C:$AE,'유선_합계(수식)'!R$1,0)</f>
        <v>#N/A</v>
      </c>
      <c r="S17" s="718" t="e">
        <f>VLOOKUP($D17,유선목표!$A:$Z,S$1,0)+VLOOKUP($D17,유선_약갱!$C:$AE,'유선_합계(수식)'!S$1,0)</f>
        <v>#N/A</v>
      </c>
      <c r="T17" s="718" t="e">
        <f>VLOOKUP($D17,유선목표!$A:$Z,T$1,0)+VLOOKUP($D17,유선_약갱!$C:$AE,'유선_합계(수식)'!T$1,0)</f>
        <v>#N/A</v>
      </c>
      <c r="U17" s="718" t="e">
        <f>VLOOKUP($D17,유선목표!$A:$Z,U$1,0)+VLOOKUP($D17,유선_약갱!$C:$AE,'유선_합계(수식)'!U$1,0)</f>
        <v>#N/A</v>
      </c>
      <c r="V17" s="718" t="e">
        <f>VLOOKUP($D17,유선목표!$A:$Z,V$1,0)+VLOOKUP($D17,유선_약갱!$C:$AE,'유선_합계(수식)'!V$1,0)</f>
        <v>#N/A</v>
      </c>
      <c r="W17" s="718" t="e">
        <f>VLOOKUP($D17,유선목표!$A:$Z,W$1,0)+VLOOKUP($D17,유선_약갱!$C:$AE,'유선_합계(수식)'!W$1,0)</f>
        <v>#N/A</v>
      </c>
      <c r="X17" s="718" t="e">
        <f>VLOOKUP($D17,유선목표!$A:$Z,X$1,0)+VLOOKUP($D17,유선_약갱!$C:$AE,'유선_합계(수식)'!X$1,0)</f>
        <v>#N/A</v>
      </c>
      <c r="Y17" s="718" t="e">
        <f>VLOOKUP($D17,유선목표!$A:$Z,Y$1,0)+VLOOKUP($D17,유선_약갱!$C:$AE,'유선_합계(수식)'!Y$1,0)</f>
        <v>#N/A</v>
      </c>
      <c r="Z17" s="718" t="e">
        <f>VLOOKUP($D17,유선목표!$A:$Z,Z$1,0)+VLOOKUP($D17,유선_약갱!$C:$AE,'유선_합계(수식)'!Z$1,0)</f>
        <v>#N/A</v>
      </c>
      <c r="AA17" s="718" t="e">
        <f>VLOOKUP($D17,유선목표!$A:$Z,AA$1,0)+VLOOKUP($D17,유선_약갱!$C:$AE,'유선_합계(수식)'!AA$1,0)</f>
        <v>#N/A</v>
      </c>
      <c r="AB17" s="718" t="e">
        <f>VLOOKUP($D17,유선목표!$A:$Z,AB$1,0)+VLOOKUP($D17,유선_약갱!$C:$AE,'유선_합계(수식)'!AB$1,0)</f>
        <v>#N/A</v>
      </c>
      <c r="AC17" s="718" t="e">
        <f>VLOOKUP($D17,유선목표!$A:$Z,AC$1,0)+VLOOKUP($D17,유선_약갱!$C:$AE,'유선_합계(수식)'!AC$1,0)</f>
        <v>#N/A</v>
      </c>
      <c r="AD17" s="718" t="e">
        <f>VLOOKUP($D17,유선목표!$A:$Z,AD$1,0)+VLOOKUP($D17,유선_약갱!$C:$AE,'유선_합계(수식)'!AD$1,0)</f>
        <v>#N/A</v>
      </c>
      <c r="AE17" s="718" t="e">
        <f>VLOOKUP($D17,유선목표!$A:$Z,AE$1,0)+VLOOKUP($D17,유선_약갱!$C:$AE,'유선_합계(수식)'!AE$1,0)</f>
        <v>#N/A</v>
      </c>
      <c r="AF17" s="718" t="e">
        <f>VLOOKUP($D17,유선목표!$A:$Z,AF$1,0)+VLOOKUP($D17,유선_약갱!$C:$AE,'유선_합계(수식)'!AF$1,0)</f>
        <v>#N/A</v>
      </c>
      <c r="AG17" s="718" t="e">
        <f>VLOOKUP($D17,유선목표!$A:$Z,AG$1,0)+VLOOKUP($D17,유선_약갱!$C:$AE,'유선_합계(수식)'!AG$1,0)</f>
        <v>#N/A</v>
      </c>
      <c r="AH17" s="718" t="e">
        <f>VLOOKUP($D17,유선목표!$A:$Z,AH$1,0)+VLOOKUP($D17,유선_약갱!$C:$AE,'유선_합계(수식)'!AH$1,0)</f>
        <v>#N/A</v>
      </c>
      <c r="AI17" s="718" t="e">
        <f>VLOOKUP($D17,유선목표!$A:$Z,AI$1,0)+VLOOKUP($D17,유선_약갱!$C:$AE,'유선_합계(수식)'!AI$1,0)</f>
        <v>#N/A</v>
      </c>
      <c r="AJ17" s="718" t="e">
        <f>VLOOKUP($D17,유선목표!$A:$Z,AJ$1,0)+VLOOKUP($D17,유선_약갱!$C:$AE,'유선_합계(수식)'!AJ$1,0)</f>
        <v>#N/A</v>
      </c>
    </row>
    <row r="18" spans="1:36" ht="24" customHeight="1">
      <c r="A18" s="714" t="e">
        <f>VLOOKUP(D18,#REF!,2,0)</f>
        <v>#REF!</v>
      </c>
      <c r="B18" s="710">
        <v>15</v>
      </c>
      <c r="C18" s="711" t="s">
        <v>576</v>
      </c>
      <c r="D18" s="711" t="s">
        <v>366</v>
      </c>
      <c r="E18" s="718" t="e">
        <f t="shared" si="0"/>
        <v>#N/A</v>
      </c>
      <c r="F18" s="718" t="e">
        <f>VLOOKUP($D18,유선목표!$A:$Z,F$1,0)+VLOOKUP($D18,유선_약갱!$C:$AE,'유선_합계(수식)'!F$1,0)</f>
        <v>#N/A</v>
      </c>
      <c r="G18" s="718" t="e">
        <f>VLOOKUP($D18,유선목표!$A:$Z,G$1,0)+VLOOKUP($D18,유선_약갱!$C:$AE,'유선_합계(수식)'!G$1,0)</f>
        <v>#N/A</v>
      </c>
      <c r="H18" s="718" t="e">
        <f>VLOOKUP($D18,유선목표!$A:$Z,H$1,0)+VLOOKUP($D18,유선_약갱!$C:$AE,'유선_합계(수식)'!H$1,0)</f>
        <v>#N/A</v>
      </c>
      <c r="I18" s="718" t="e">
        <f>VLOOKUP($D18,유선목표!$A:$Z,I$1,0)+VLOOKUP($D18,유선_약갱!$C:$AE,'유선_합계(수식)'!I$1,0)</f>
        <v>#N/A</v>
      </c>
      <c r="J18" s="718" t="e">
        <f>VLOOKUP($D18,유선목표!$A:$Z,J$1,0)+VLOOKUP($D18,유선_약갱!$C:$AE,'유선_합계(수식)'!J$1,0)</f>
        <v>#N/A</v>
      </c>
      <c r="K18" s="718" t="e">
        <f>VLOOKUP($D18,유선목표!$A:$Z,K$1,0)+VLOOKUP($D18,유선_약갱!$C:$AE,'유선_합계(수식)'!K$1,0)</f>
        <v>#N/A</v>
      </c>
      <c r="L18" s="718" t="e">
        <f>VLOOKUP($D18,유선목표!$A:$Z,L$1,0)+VLOOKUP($D18,유선_약갱!$C:$AE,'유선_합계(수식)'!L$1,0)</f>
        <v>#N/A</v>
      </c>
      <c r="M18" s="718" t="e">
        <f>VLOOKUP($D18,유선목표!$A:$Z,M$1,0)+VLOOKUP($D18,유선_약갱!$C:$AE,'유선_합계(수식)'!M$1,0)</f>
        <v>#N/A</v>
      </c>
      <c r="N18" s="718" t="e">
        <f>VLOOKUP($D18,유선목표!$A:$Z,N$1,0)+VLOOKUP($D18,유선_약갱!$C:$AE,'유선_합계(수식)'!N$1,0)</f>
        <v>#N/A</v>
      </c>
      <c r="O18" s="718" t="e">
        <f>VLOOKUP($D18,유선목표!$A:$Z,O$1,0)+VLOOKUP($D18,유선_약갱!$C:$AE,'유선_합계(수식)'!O$1,0)</f>
        <v>#N/A</v>
      </c>
      <c r="P18" s="718" t="e">
        <f>VLOOKUP($D18,유선목표!$A:$Z,P$1,0)+VLOOKUP($D18,유선_약갱!$C:$AE,'유선_합계(수식)'!P$1,0)</f>
        <v>#N/A</v>
      </c>
      <c r="Q18" s="718" t="e">
        <f>VLOOKUP($D18,유선목표!$A:$Z,Q$1,0)+VLOOKUP($D18,유선_약갱!$C:$AE,'유선_합계(수식)'!Q$1,0)</f>
        <v>#N/A</v>
      </c>
      <c r="R18" s="718" t="e">
        <f>VLOOKUP($D18,유선목표!$A:$Z,R$1,0)+VLOOKUP($D18,유선_약갱!$C:$AE,'유선_합계(수식)'!R$1,0)</f>
        <v>#N/A</v>
      </c>
      <c r="S18" s="718" t="e">
        <f>VLOOKUP($D18,유선목표!$A:$Z,S$1,0)+VLOOKUP($D18,유선_약갱!$C:$AE,'유선_합계(수식)'!S$1,0)</f>
        <v>#N/A</v>
      </c>
      <c r="T18" s="718" t="e">
        <f>VLOOKUP($D18,유선목표!$A:$Z,T$1,0)+VLOOKUP($D18,유선_약갱!$C:$AE,'유선_합계(수식)'!T$1,0)</f>
        <v>#N/A</v>
      </c>
      <c r="U18" s="718" t="e">
        <f>VLOOKUP($D18,유선목표!$A:$Z,U$1,0)+VLOOKUP($D18,유선_약갱!$C:$AE,'유선_합계(수식)'!U$1,0)</f>
        <v>#N/A</v>
      </c>
      <c r="V18" s="718" t="e">
        <f>VLOOKUP($D18,유선목표!$A:$Z,V$1,0)+VLOOKUP($D18,유선_약갱!$C:$AE,'유선_합계(수식)'!V$1,0)</f>
        <v>#N/A</v>
      </c>
      <c r="W18" s="718" t="e">
        <f>VLOOKUP($D18,유선목표!$A:$Z,W$1,0)+VLOOKUP($D18,유선_약갱!$C:$AE,'유선_합계(수식)'!W$1,0)</f>
        <v>#N/A</v>
      </c>
      <c r="X18" s="718" t="e">
        <f>VLOOKUP($D18,유선목표!$A:$Z,X$1,0)+VLOOKUP($D18,유선_약갱!$C:$AE,'유선_합계(수식)'!X$1,0)</f>
        <v>#N/A</v>
      </c>
      <c r="Y18" s="718" t="e">
        <f>VLOOKUP($D18,유선목표!$A:$Z,Y$1,0)+VLOOKUP($D18,유선_약갱!$C:$AE,'유선_합계(수식)'!Y$1,0)</f>
        <v>#N/A</v>
      </c>
      <c r="Z18" s="718" t="e">
        <f>VLOOKUP($D18,유선목표!$A:$Z,Z$1,0)+VLOOKUP($D18,유선_약갱!$C:$AE,'유선_합계(수식)'!Z$1,0)</f>
        <v>#N/A</v>
      </c>
      <c r="AA18" s="718" t="e">
        <f>VLOOKUP($D18,유선목표!$A:$Z,AA$1,0)+VLOOKUP($D18,유선_약갱!$C:$AE,'유선_합계(수식)'!AA$1,0)</f>
        <v>#N/A</v>
      </c>
      <c r="AB18" s="718" t="e">
        <f>VLOOKUP($D18,유선목표!$A:$Z,AB$1,0)+VLOOKUP($D18,유선_약갱!$C:$AE,'유선_합계(수식)'!AB$1,0)</f>
        <v>#N/A</v>
      </c>
      <c r="AC18" s="718" t="e">
        <f>VLOOKUP($D18,유선목표!$A:$Z,AC$1,0)+VLOOKUP($D18,유선_약갱!$C:$AE,'유선_합계(수식)'!AC$1,0)</f>
        <v>#N/A</v>
      </c>
      <c r="AD18" s="718" t="e">
        <f>VLOOKUP($D18,유선목표!$A:$Z,AD$1,0)+VLOOKUP($D18,유선_약갱!$C:$AE,'유선_합계(수식)'!AD$1,0)</f>
        <v>#N/A</v>
      </c>
      <c r="AE18" s="718" t="e">
        <f>VLOOKUP($D18,유선목표!$A:$Z,AE$1,0)+VLOOKUP($D18,유선_약갱!$C:$AE,'유선_합계(수식)'!AE$1,0)</f>
        <v>#N/A</v>
      </c>
      <c r="AF18" s="718" t="e">
        <f>VLOOKUP($D18,유선목표!$A:$Z,AF$1,0)+VLOOKUP($D18,유선_약갱!$C:$AE,'유선_합계(수식)'!AF$1,0)</f>
        <v>#N/A</v>
      </c>
      <c r="AG18" s="718" t="e">
        <f>VLOOKUP($D18,유선목표!$A:$Z,AG$1,0)+VLOOKUP($D18,유선_약갱!$C:$AE,'유선_합계(수식)'!AG$1,0)</f>
        <v>#N/A</v>
      </c>
      <c r="AH18" s="718" t="e">
        <f>VLOOKUP($D18,유선목표!$A:$Z,AH$1,0)+VLOOKUP($D18,유선_약갱!$C:$AE,'유선_합계(수식)'!AH$1,0)</f>
        <v>#N/A</v>
      </c>
      <c r="AI18" s="718" t="e">
        <f>VLOOKUP($D18,유선목표!$A:$Z,AI$1,0)+VLOOKUP($D18,유선_약갱!$C:$AE,'유선_합계(수식)'!AI$1,0)</f>
        <v>#N/A</v>
      </c>
      <c r="AJ18" s="718" t="e">
        <f>VLOOKUP($D18,유선목표!$A:$Z,AJ$1,0)+VLOOKUP($D18,유선_약갱!$C:$AE,'유선_합계(수식)'!AJ$1,0)</f>
        <v>#N/A</v>
      </c>
    </row>
    <row r="19" spans="1:36" ht="24" customHeight="1">
      <c r="A19" s="714" t="e">
        <f>VLOOKUP(D19,#REF!,2,0)</f>
        <v>#REF!</v>
      </c>
      <c r="B19" s="710">
        <v>16</v>
      </c>
      <c r="C19" s="711" t="s">
        <v>592</v>
      </c>
      <c r="D19" s="711" t="s">
        <v>395</v>
      </c>
      <c r="E19" s="718" t="e">
        <f t="shared" si="0"/>
        <v>#N/A</v>
      </c>
      <c r="F19" s="718" t="e">
        <f>VLOOKUP($D19,유선목표!$A:$Z,F$1,0)+VLOOKUP($D19,유선_약갱!$C:$AE,'유선_합계(수식)'!F$1,0)</f>
        <v>#N/A</v>
      </c>
      <c r="G19" s="718" t="e">
        <f>VLOOKUP($D19,유선목표!$A:$Z,G$1,0)+VLOOKUP($D19,유선_약갱!$C:$AE,'유선_합계(수식)'!G$1,0)</f>
        <v>#N/A</v>
      </c>
      <c r="H19" s="718" t="e">
        <f>VLOOKUP($D19,유선목표!$A:$Z,H$1,0)+VLOOKUP($D19,유선_약갱!$C:$AE,'유선_합계(수식)'!H$1,0)</f>
        <v>#N/A</v>
      </c>
      <c r="I19" s="718" t="e">
        <f>VLOOKUP($D19,유선목표!$A:$Z,I$1,0)+VLOOKUP($D19,유선_약갱!$C:$AE,'유선_합계(수식)'!I$1,0)</f>
        <v>#N/A</v>
      </c>
      <c r="J19" s="718" t="e">
        <f>VLOOKUP($D19,유선목표!$A:$Z,J$1,0)+VLOOKUP($D19,유선_약갱!$C:$AE,'유선_합계(수식)'!J$1,0)</f>
        <v>#N/A</v>
      </c>
      <c r="K19" s="718" t="e">
        <f>VLOOKUP($D19,유선목표!$A:$Z,K$1,0)+VLOOKUP($D19,유선_약갱!$C:$AE,'유선_합계(수식)'!K$1,0)</f>
        <v>#N/A</v>
      </c>
      <c r="L19" s="718" t="e">
        <f>VLOOKUP($D19,유선목표!$A:$Z,L$1,0)+VLOOKUP($D19,유선_약갱!$C:$AE,'유선_합계(수식)'!L$1,0)</f>
        <v>#N/A</v>
      </c>
      <c r="M19" s="718" t="e">
        <f>VLOOKUP($D19,유선목표!$A:$Z,M$1,0)+VLOOKUP($D19,유선_약갱!$C:$AE,'유선_합계(수식)'!M$1,0)</f>
        <v>#N/A</v>
      </c>
      <c r="N19" s="718" t="e">
        <f>VLOOKUP($D19,유선목표!$A:$Z,N$1,0)+VLOOKUP($D19,유선_약갱!$C:$AE,'유선_합계(수식)'!N$1,0)</f>
        <v>#N/A</v>
      </c>
      <c r="O19" s="718" t="e">
        <f>VLOOKUP($D19,유선목표!$A:$Z,O$1,0)+VLOOKUP($D19,유선_약갱!$C:$AE,'유선_합계(수식)'!O$1,0)</f>
        <v>#N/A</v>
      </c>
      <c r="P19" s="718" t="e">
        <f>VLOOKUP($D19,유선목표!$A:$Z,P$1,0)+VLOOKUP($D19,유선_약갱!$C:$AE,'유선_합계(수식)'!P$1,0)</f>
        <v>#N/A</v>
      </c>
      <c r="Q19" s="718" t="e">
        <f>VLOOKUP($D19,유선목표!$A:$Z,Q$1,0)+VLOOKUP($D19,유선_약갱!$C:$AE,'유선_합계(수식)'!Q$1,0)</f>
        <v>#N/A</v>
      </c>
      <c r="R19" s="718" t="e">
        <f>VLOOKUP($D19,유선목표!$A:$Z,R$1,0)+VLOOKUP($D19,유선_약갱!$C:$AE,'유선_합계(수식)'!R$1,0)</f>
        <v>#N/A</v>
      </c>
      <c r="S19" s="718" t="e">
        <f>VLOOKUP($D19,유선목표!$A:$Z,S$1,0)+VLOOKUP($D19,유선_약갱!$C:$AE,'유선_합계(수식)'!S$1,0)</f>
        <v>#N/A</v>
      </c>
      <c r="T19" s="718" t="e">
        <f>VLOOKUP($D19,유선목표!$A:$Z,T$1,0)+VLOOKUP($D19,유선_약갱!$C:$AE,'유선_합계(수식)'!T$1,0)</f>
        <v>#N/A</v>
      </c>
      <c r="U19" s="718" t="e">
        <f>VLOOKUP($D19,유선목표!$A:$Z,U$1,0)+VLOOKUP($D19,유선_약갱!$C:$AE,'유선_합계(수식)'!U$1,0)</f>
        <v>#N/A</v>
      </c>
      <c r="V19" s="718" t="e">
        <f>VLOOKUP($D19,유선목표!$A:$Z,V$1,0)+VLOOKUP($D19,유선_약갱!$C:$AE,'유선_합계(수식)'!V$1,0)</f>
        <v>#N/A</v>
      </c>
      <c r="W19" s="718" t="e">
        <f>VLOOKUP($D19,유선목표!$A:$Z,W$1,0)+VLOOKUP($D19,유선_약갱!$C:$AE,'유선_합계(수식)'!W$1,0)</f>
        <v>#N/A</v>
      </c>
      <c r="X19" s="718" t="e">
        <f>VLOOKUP($D19,유선목표!$A:$Z,X$1,0)+VLOOKUP($D19,유선_약갱!$C:$AE,'유선_합계(수식)'!X$1,0)</f>
        <v>#N/A</v>
      </c>
      <c r="Y19" s="718" t="e">
        <f>VLOOKUP($D19,유선목표!$A:$Z,Y$1,0)+VLOOKUP($D19,유선_약갱!$C:$AE,'유선_합계(수식)'!Y$1,0)</f>
        <v>#N/A</v>
      </c>
      <c r="Z19" s="718" t="e">
        <f>VLOOKUP($D19,유선목표!$A:$Z,Z$1,0)+VLOOKUP($D19,유선_약갱!$C:$AE,'유선_합계(수식)'!Z$1,0)</f>
        <v>#N/A</v>
      </c>
      <c r="AA19" s="718" t="e">
        <f>VLOOKUP($D19,유선목표!$A:$Z,AA$1,0)+VLOOKUP($D19,유선_약갱!$C:$AE,'유선_합계(수식)'!AA$1,0)</f>
        <v>#N/A</v>
      </c>
      <c r="AB19" s="718" t="e">
        <f>VLOOKUP($D19,유선목표!$A:$Z,AB$1,0)+VLOOKUP($D19,유선_약갱!$C:$AE,'유선_합계(수식)'!AB$1,0)</f>
        <v>#N/A</v>
      </c>
      <c r="AC19" s="718" t="e">
        <f>VLOOKUP($D19,유선목표!$A:$Z,AC$1,0)+VLOOKUP($D19,유선_약갱!$C:$AE,'유선_합계(수식)'!AC$1,0)</f>
        <v>#N/A</v>
      </c>
      <c r="AD19" s="718" t="e">
        <f>VLOOKUP($D19,유선목표!$A:$Z,AD$1,0)+VLOOKUP($D19,유선_약갱!$C:$AE,'유선_합계(수식)'!AD$1,0)</f>
        <v>#N/A</v>
      </c>
      <c r="AE19" s="718" t="e">
        <f>VLOOKUP($D19,유선목표!$A:$Z,AE$1,0)+VLOOKUP($D19,유선_약갱!$C:$AE,'유선_합계(수식)'!AE$1,0)</f>
        <v>#N/A</v>
      </c>
      <c r="AF19" s="718" t="e">
        <f>VLOOKUP($D19,유선목표!$A:$Z,AF$1,0)+VLOOKUP($D19,유선_약갱!$C:$AE,'유선_합계(수식)'!AF$1,0)</f>
        <v>#N/A</v>
      </c>
      <c r="AG19" s="718" t="e">
        <f>VLOOKUP($D19,유선목표!$A:$Z,AG$1,0)+VLOOKUP($D19,유선_약갱!$C:$AE,'유선_합계(수식)'!AG$1,0)</f>
        <v>#N/A</v>
      </c>
      <c r="AH19" s="718" t="e">
        <f>VLOOKUP($D19,유선목표!$A:$Z,AH$1,0)+VLOOKUP($D19,유선_약갱!$C:$AE,'유선_합계(수식)'!AH$1,0)</f>
        <v>#N/A</v>
      </c>
      <c r="AI19" s="718" t="e">
        <f>VLOOKUP($D19,유선목표!$A:$Z,AI$1,0)+VLOOKUP($D19,유선_약갱!$C:$AE,'유선_합계(수식)'!AI$1,0)</f>
        <v>#N/A</v>
      </c>
      <c r="AJ19" s="718" t="e">
        <f>VLOOKUP($D19,유선목표!$A:$Z,AJ$1,0)+VLOOKUP($D19,유선_약갱!$C:$AE,'유선_합계(수식)'!AJ$1,0)</f>
        <v>#N/A</v>
      </c>
    </row>
    <row r="20" spans="1:36" ht="24" customHeight="1">
      <c r="A20" s="714" t="e">
        <f>VLOOKUP(D20,#REF!,2,0)</f>
        <v>#REF!</v>
      </c>
      <c r="B20" s="710">
        <v>17</v>
      </c>
      <c r="C20" s="711" t="s">
        <v>593</v>
      </c>
      <c r="D20" s="711" t="s">
        <v>397</v>
      </c>
      <c r="E20" s="718" t="e">
        <f t="shared" si="0"/>
        <v>#N/A</v>
      </c>
      <c r="F20" s="718" t="e">
        <f>VLOOKUP($D20,유선목표!$A:$Z,F$1,0)+VLOOKUP($D20,유선_약갱!$C:$AE,'유선_합계(수식)'!F$1,0)</f>
        <v>#N/A</v>
      </c>
      <c r="G20" s="718" t="e">
        <f>VLOOKUP($D20,유선목표!$A:$Z,G$1,0)+VLOOKUP($D20,유선_약갱!$C:$AE,'유선_합계(수식)'!G$1,0)</f>
        <v>#N/A</v>
      </c>
      <c r="H20" s="718" t="e">
        <f>VLOOKUP($D20,유선목표!$A:$Z,H$1,0)+VLOOKUP($D20,유선_약갱!$C:$AE,'유선_합계(수식)'!H$1,0)</f>
        <v>#N/A</v>
      </c>
      <c r="I20" s="718" t="e">
        <f>VLOOKUP($D20,유선목표!$A:$Z,I$1,0)+VLOOKUP($D20,유선_약갱!$C:$AE,'유선_합계(수식)'!I$1,0)</f>
        <v>#N/A</v>
      </c>
      <c r="J20" s="718" t="e">
        <f>VLOOKUP($D20,유선목표!$A:$Z,J$1,0)+VLOOKUP($D20,유선_약갱!$C:$AE,'유선_합계(수식)'!J$1,0)</f>
        <v>#N/A</v>
      </c>
      <c r="K20" s="718" t="e">
        <f>VLOOKUP($D20,유선목표!$A:$Z,K$1,0)+VLOOKUP($D20,유선_약갱!$C:$AE,'유선_합계(수식)'!K$1,0)</f>
        <v>#N/A</v>
      </c>
      <c r="L20" s="718" t="e">
        <f>VLOOKUP($D20,유선목표!$A:$Z,L$1,0)+VLOOKUP($D20,유선_약갱!$C:$AE,'유선_합계(수식)'!L$1,0)</f>
        <v>#N/A</v>
      </c>
      <c r="M20" s="718" t="e">
        <f>VLOOKUP($D20,유선목표!$A:$Z,M$1,0)+VLOOKUP($D20,유선_약갱!$C:$AE,'유선_합계(수식)'!M$1,0)</f>
        <v>#N/A</v>
      </c>
      <c r="N20" s="718" t="e">
        <f>VLOOKUP($D20,유선목표!$A:$Z,N$1,0)+VLOOKUP($D20,유선_약갱!$C:$AE,'유선_합계(수식)'!N$1,0)</f>
        <v>#N/A</v>
      </c>
      <c r="O20" s="718" t="e">
        <f>VLOOKUP($D20,유선목표!$A:$Z,O$1,0)+VLOOKUP($D20,유선_약갱!$C:$AE,'유선_합계(수식)'!O$1,0)</f>
        <v>#N/A</v>
      </c>
      <c r="P20" s="718" t="e">
        <f>VLOOKUP($D20,유선목표!$A:$Z,P$1,0)+VLOOKUP($D20,유선_약갱!$C:$AE,'유선_합계(수식)'!P$1,0)</f>
        <v>#N/A</v>
      </c>
      <c r="Q20" s="718" t="e">
        <f>VLOOKUP($D20,유선목표!$A:$Z,Q$1,0)+VLOOKUP($D20,유선_약갱!$C:$AE,'유선_합계(수식)'!Q$1,0)</f>
        <v>#N/A</v>
      </c>
      <c r="R20" s="718" t="e">
        <f>VLOOKUP($D20,유선목표!$A:$Z,R$1,0)+VLOOKUP($D20,유선_약갱!$C:$AE,'유선_합계(수식)'!R$1,0)</f>
        <v>#N/A</v>
      </c>
      <c r="S20" s="718" t="e">
        <f>VLOOKUP($D20,유선목표!$A:$Z,S$1,0)+VLOOKUP($D20,유선_약갱!$C:$AE,'유선_합계(수식)'!S$1,0)</f>
        <v>#N/A</v>
      </c>
      <c r="T20" s="718" t="e">
        <f>VLOOKUP($D20,유선목표!$A:$Z,T$1,0)+VLOOKUP($D20,유선_약갱!$C:$AE,'유선_합계(수식)'!T$1,0)</f>
        <v>#N/A</v>
      </c>
      <c r="U20" s="718" t="e">
        <f>VLOOKUP($D20,유선목표!$A:$Z,U$1,0)+VLOOKUP($D20,유선_약갱!$C:$AE,'유선_합계(수식)'!U$1,0)</f>
        <v>#N/A</v>
      </c>
      <c r="V20" s="718" t="e">
        <f>VLOOKUP($D20,유선목표!$A:$Z,V$1,0)+VLOOKUP($D20,유선_약갱!$C:$AE,'유선_합계(수식)'!V$1,0)</f>
        <v>#N/A</v>
      </c>
      <c r="W20" s="718" t="e">
        <f>VLOOKUP($D20,유선목표!$A:$Z,W$1,0)+VLOOKUP($D20,유선_약갱!$C:$AE,'유선_합계(수식)'!W$1,0)</f>
        <v>#N/A</v>
      </c>
      <c r="X20" s="718" t="e">
        <f>VLOOKUP($D20,유선목표!$A:$Z,X$1,0)+VLOOKUP($D20,유선_약갱!$C:$AE,'유선_합계(수식)'!X$1,0)</f>
        <v>#N/A</v>
      </c>
      <c r="Y20" s="718" t="e">
        <f>VLOOKUP($D20,유선목표!$A:$Z,Y$1,0)+VLOOKUP($D20,유선_약갱!$C:$AE,'유선_합계(수식)'!Y$1,0)</f>
        <v>#N/A</v>
      </c>
      <c r="Z20" s="718" t="e">
        <f>VLOOKUP($D20,유선목표!$A:$Z,Z$1,0)+VLOOKUP($D20,유선_약갱!$C:$AE,'유선_합계(수식)'!Z$1,0)</f>
        <v>#N/A</v>
      </c>
      <c r="AA20" s="718" t="e">
        <f>VLOOKUP($D20,유선목표!$A:$Z,AA$1,0)+VLOOKUP($D20,유선_약갱!$C:$AE,'유선_합계(수식)'!AA$1,0)</f>
        <v>#N/A</v>
      </c>
      <c r="AB20" s="718" t="e">
        <f>VLOOKUP($D20,유선목표!$A:$Z,AB$1,0)+VLOOKUP($D20,유선_약갱!$C:$AE,'유선_합계(수식)'!AB$1,0)</f>
        <v>#N/A</v>
      </c>
      <c r="AC20" s="718" t="e">
        <f>VLOOKUP($D20,유선목표!$A:$Z,AC$1,0)+VLOOKUP($D20,유선_약갱!$C:$AE,'유선_합계(수식)'!AC$1,0)</f>
        <v>#N/A</v>
      </c>
      <c r="AD20" s="718" t="e">
        <f>VLOOKUP($D20,유선목표!$A:$Z,AD$1,0)+VLOOKUP($D20,유선_약갱!$C:$AE,'유선_합계(수식)'!AD$1,0)</f>
        <v>#N/A</v>
      </c>
      <c r="AE20" s="718" t="e">
        <f>VLOOKUP($D20,유선목표!$A:$Z,AE$1,0)+VLOOKUP($D20,유선_약갱!$C:$AE,'유선_합계(수식)'!AE$1,0)</f>
        <v>#N/A</v>
      </c>
      <c r="AF20" s="718" t="e">
        <f>VLOOKUP($D20,유선목표!$A:$Z,AF$1,0)+VLOOKUP($D20,유선_약갱!$C:$AE,'유선_합계(수식)'!AF$1,0)</f>
        <v>#N/A</v>
      </c>
      <c r="AG20" s="718" t="e">
        <f>VLOOKUP($D20,유선목표!$A:$Z,AG$1,0)+VLOOKUP($D20,유선_약갱!$C:$AE,'유선_합계(수식)'!AG$1,0)</f>
        <v>#N/A</v>
      </c>
      <c r="AH20" s="718" t="e">
        <f>VLOOKUP($D20,유선목표!$A:$Z,AH$1,0)+VLOOKUP($D20,유선_약갱!$C:$AE,'유선_합계(수식)'!AH$1,0)</f>
        <v>#N/A</v>
      </c>
      <c r="AI20" s="718" t="e">
        <f>VLOOKUP($D20,유선목표!$A:$Z,AI$1,0)+VLOOKUP($D20,유선_약갱!$C:$AE,'유선_합계(수식)'!AI$1,0)</f>
        <v>#N/A</v>
      </c>
      <c r="AJ20" s="718" t="e">
        <f>VLOOKUP($D20,유선목표!$A:$Z,AJ$1,0)+VLOOKUP($D20,유선_약갱!$C:$AE,'유선_합계(수식)'!AJ$1,0)</f>
        <v>#N/A</v>
      </c>
    </row>
    <row r="21" spans="1:36" ht="24" customHeight="1">
      <c r="A21" s="714" t="e">
        <f>VLOOKUP(D21,#REF!,2,0)</f>
        <v>#REF!</v>
      </c>
      <c r="B21" s="710">
        <v>18</v>
      </c>
      <c r="C21" s="711" t="s">
        <v>577</v>
      </c>
      <c r="D21" s="711" t="s">
        <v>377</v>
      </c>
      <c r="E21" s="718" t="e">
        <f t="shared" si="0"/>
        <v>#N/A</v>
      </c>
      <c r="F21" s="718" t="e">
        <f>VLOOKUP($D21,유선목표!$A:$Z,F$1,0)+VLOOKUP($D21,유선_약갱!$C:$AE,'유선_합계(수식)'!F$1,0)</f>
        <v>#N/A</v>
      </c>
      <c r="G21" s="718" t="e">
        <f>VLOOKUP($D21,유선목표!$A:$Z,G$1,0)+VLOOKUP($D21,유선_약갱!$C:$AE,'유선_합계(수식)'!G$1,0)</f>
        <v>#N/A</v>
      </c>
      <c r="H21" s="718" t="e">
        <f>VLOOKUP($D21,유선목표!$A:$Z,H$1,0)+VLOOKUP($D21,유선_약갱!$C:$AE,'유선_합계(수식)'!H$1,0)</f>
        <v>#N/A</v>
      </c>
      <c r="I21" s="718" t="e">
        <f>VLOOKUP($D21,유선목표!$A:$Z,I$1,0)+VLOOKUP($D21,유선_약갱!$C:$AE,'유선_합계(수식)'!I$1,0)</f>
        <v>#N/A</v>
      </c>
      <c r="J21" s="718" t="e">
        <f>VLOOKUP($D21,유선목표!$A:$Z,J$1,0)+VLOOKUP($D21,유선_약갱!$C:$AE,'유선_합계(수식)'!J$1,0)</f>
        <v>#N/A</v>
      </c>
      <c r="K21" s="718" t="e">
        <f>VLOOKUP($D21,유선목표!$A:$Z,K$1,0)+VLOOKUP($D21,유선_약갱!$C:$AE,'유선_합계(수식)'!K$1,0)</f>
        <v>#N/A</v>
      </c>
      <c r="L21" s="718" t="e">
        <f>VLOOKUP($D21,유선목표!$A:$Z,L$1,0)+VLOOKUP($D21,유선_약갱!$C:$AE,'유선_합계(수식)'!L$1,0)</f>
        <v>#N/A</v>
      </c>
      <c r="M21" s="718" t="e">
        <f>VLOOKUP($D21,유선목표!$A:$Z,M$1,0)+VLOOKUP($D21,유선_약갱!$C:$AE,'유선_합계(수식)'!M$1,0)</f>
        <v>#N/A</v>
      </c>
      <c r="N21" s="718" t="e">
        <f>VLOOKUP($D21,유선목표!$A:$Z,N$1,0)+VLOOKUP($D21,유선_약갱!$C:$AE,'유선_합계(수식)'!N$1,0)</f>
        <v>#N/A</v>
      </c>
      <c r="O21" s="718" t="e">
        <f>VLOOKUP($D21,유선목표!$A:$Z,O$1,0)+VLOOKUP($D21,유선_약갱!$C:$AE,'유선_합계(수식)'!O$1,0)</f>
        <v>#N/A</v>
      </c>
      <c r="P21" s="718" t="e">
        <f>VLOOKUP($D21,유선목표!$A:$Z,P$1,0)+VLOOKUP($D21,유선_약갱!$C:$AE,'유선_합계(수식)'!P$1,0)</f>
        <v>#N/A</v>
      </c>
      <c r="Q21" s="718" t="e">
        <f>VLOOKUP($D21,유선목표!$A:$Z,Q$1,0)+VLOOKUP($D21,유선_약갱!$C:$AE,'유선_합계(수식)'!Q$1,0)</f>
        <v>#N/A</v>
      </c>
      <c r="R21" s="718" t="e">
        <f>VLOOKUP($D21,유선목표!$A:$Z,R$1,0)+VLOOKUP($D21,유선_약갱!$C:$AE,'유선_합계(수식)'!R$1,0)</f>
        <v>#N/A</v>
      </c>
      <c r="S21" s="718" t="e">
        <f>VLOOKUP($D21,유선목표!$A:$Z,S$1,0)+VLOOKUP($D21,유선_약갱!$C:$AE,'유선_합계(수식)'!S$1,0)</f>
        <v>#N/A</v>
      </c>
      <c r="T21" s="718" t="e">
        <f>VLOOKUP($D21,유선목표!$A:$Z,T$1,0)+VLOOKUP($D21,유선_약갱!$C:$AE,'유선_합계(수식)'!T$1,0)</f>
        <v>#N/A</v>
      </c>
      <c r="U21" s="718" t="e">
        <f>VLOOKUP($D21,유선목표!$A:$Z,U$1,0)+VLOOKUP($D21,유선_약갱!$C:$AE,'유선_합계(수식)'!U$1,0)</f>
        <v>#N/A</v>
      </c>
      <c r="V21" s="718" t="e">
        <f>VLOOKUP($D21,유선목표!$A:$Z,V$1,0)+VLOOKUP($D21,유선_약갱!$C:$AE,'유선_합계(수식)'!V$1,0)</f>
        <v>#N/A</v>
      </c>
      <c r="W21" s="718" t="e">
        <f>VLOOKUP($D21,유선목표!$A:$Z,W$1,0)+VLOOKUP($D21,유선_약갱!$C:$AE,'유선_합계(수식)'!W$1,0)</f>
        <v>#N/A</v>
      </c>
      <c r="X21" s="718" t="e">
        <f>VLOOKUP($D21,유선목표!$A:$Z,X$1,0)+VLOOKUP($D21,유선_약갱!$C:$AE,'유선_합계(수식)'!X$1,0)</f>
        <v>#N/A</v>
      </c>
      <c r="Y21" s="718" t="e">
        <f>VLOOKUP($D21,유선목표!$A:$Z,Y$1,0)+VLOOKUP($D21,유선_약갱!$C:$AE,'유선_합계(수식)'!Y$1,0)</f>
        <v>#N/A</v>
      </c>
      <c r="Z21" s="718" t="e">
        <f>VLOOKUP($D21,유선목표!$A:$Z,Z$1,0)+VLOOKUP($D21,유선_약갱!$C:$AE,'유선_합계(수식)'!Z$1,0)</f>
        <v>#N/A</v>
      </c>
      <c r="AA21" s="718" t="e">
        <f>VLOOKUP($D21,유선목표!$A:$Z,AA$1,0)+VLOOKUP($D21,유선_약갱!$C:$AE,'유선_합계(수식)'!AA$1,0)</f>
        <v>#N/A</v>
      </c>
      <c r="AB21" s="718" t="e">
        <f>VLOOKUP($D21,유선목표!$A:$Z,AB$1,0)+VLOOKUP($D21,유선_약갱!$C:$AE,'유선_합계(수식)'!AB$1,0)</f>
        <v>#N/A</v>
      </c>
      <c r="AC21" s="718" t="e">
        <f>VLOOKUP($D21,유선목표!$A:$Z,AC$1,0)+VLOOKUP($D21,유선_약갱!$C:$AE,'유선_합계(수식)'!AC$1,0)</f>
        <v>#N/A</v>
      </c>
      <c r="AD21" s="718" t="e">
        <f>VLOOKUP($D21,유선목표!$A:$Z,AD$1,0)+VLOOKUP($D21,유선_약갱!$C:$AE,'유선_합계(수식)'!AD$1,0)</f>
        <v>#N/A</v>
      </c>
      <c r="AE21" s="718" t="e">
        <f>VLOOKUP($D21,유선목표!$A:$Z,AE$1,0)+VLOOKUP($D21,유선_약갱!$C:$AE,'유선_합계(수식)'!AE$1,0)</f>
        <v>#N/A</v>
      </c>
      <c r="AF21" s="718" t="e">
        <f>VLOOKUP($D21,유선목표!$A:$Z,AF$1,0)+VLOOKUP($D21,유선_약갱!$C:$AE,'유선_합계(수식)'!AF$1,0)</f>
        <v>#N/A</v>
      </c>
      <c r="AG21" s="718" t="e">
        <f>VLOOKUP($D21,유선목표!$A:$Z,AG$1,0)+VLOOKUP($D21,유선_약갱!$C:$AE,'유선_합계(수식)'!AG$1,0)</f>
        <v>#N/A</v>
      </c>
      <c r="AH21" s="718" t="e">
        <f>VLOOKUP($D21,유선목표!$A:$Z,AH$1,0)+VLOOKUP($D21,유선_약갱!$C:$AE,'유선_합계(수식)'!AH$1,0)</f>
        <v>#N/A</v>
      </c>
      <c r="AI21" s="718" t="e">
        <f>VLOOKUP($D21,유선목표!$A:$Z,AI$1,0)+VLOOKUP($D21,유선_약갱!$C:$AE,'유선_합계(수식)'!AI$1,0)</f>
        <v>#N/A</v>
      </c>
      <c r="AJ21" s="718" t="e">
        <f>VLOOKUP($D21,유선목표!$A:$Z,AJ$1,0)+VLOOKUP($D21,유선_약갱!$C:$AE,'유선_합계(수식)'!AJ$1,0)</f>
        <v>#N/A</v>
      </c>
    </row>
    <row r="22" spans="1:36" ht="24" customHeight="1">
      <c r="A22" s="714" t="e">
        <f>VLOOKUP(D22,#REF!,2,0)</f>
        <v>#REF!</v>
      </c>
      <c r="B22" s="710">
        <v>19</v>
      </c>
      <c r="C22" s="711" t="s">
        <v>578</v>
      </c>
      <c r="D22" s="711" t="s">
        <v>381</v>
      </c>
      <c r="E22" s="718" t="e">
        <f t="shared" si="0"/>
        <v>#N/A</v>
      </c>
      <c r="F22" s="718" t="e">
        <f>VLOOKUP($D22,유선목표!$A:$Z,F$1,0)+VLOOKUP($D22,유선_약갱!$C:$AE,'유선_합계(수식)'!F$1,0)</f>
        <v>#N/A</v>
      </c>
      <c r="G22" s="718" t="e">
        <f>VLOOKUP($D22,유선목표!$A:$Z,G$1,0)+VLOOKUP($D22,유선_약갱!$C:$AE,'유선_합계(수식)'!G$1,0)</f>
        <v>#N/A</v>
      </c>
      <c r="H22" s="718" t="e">
        <f>VLOOKUP($D22,유선목표!$A:$Z,H$1,0)+VLOOKUP($D22,유선_약갱!$C:$AE,'유선_합계(수식)'!H$1,0)</f>
        <v>#N/A</v>
      </c>
      <c r="I22" s="718" t="e">
        <f>VLOOKUP($D22,유선목표!$A:$Z,I$1,0)+VLOOKUP($D22,유선_약갱!$C:$AE,'유선_합계(수식)'!I$1,0)</f>
        <v>#N/A</v>
      </c>
      <c r="J22" s="718" t="e">
        <f>VLOOKUP($D22,유선목표!$A:$Z,J$1,0)+VLOOKUP($D22,유선_약갱!$C:$AE,'유선_합계(수식)'!J$1,0)</f>
        <v>#N/A</v>
      </c>
      <c r="K22" s="718" t="e">
        <f>VLOOKUP($D22,유선목표!$A:$Z,K$1,0)+VLOOKUP($D22,유선_약갱!$C:$AE,'유선_합계(수식)'!K$1,0)</f>
        <v>#N/A</v>
      </c>
      <c r="L22" s="718" t="e">
        <f>VLOOKUP($D22,유선목표!$A:$Z,L$1,0)+VLOOKUP($D22,유선_약갱!$C:$AE,'유선_합계(수식)'!L$1,0)</f>
        <v>#N/A</v>
      </c>
      <c r="M22" s="718" t="e">
        <f>VLOOKUP($D22,유선목표!$A:$Z,M$1,0)+VLOOKUP($D22,유선_약갱!$C:$AE,'유선_합계(수식)'!M$1,0)</f>
        <v>#N/A</v>
      </c>
      <c r="N22" s="718" t="e">
        <f>VLOOKUP($D22,유선목표!$A:$Z,N$1,0)+VLOOKUP($D22,유선_약갱!$C:$AE,'유선_합계(수식)'!N$1,0)</f>
        <v>#N/A</v>
      </c>
      <c r="O22" s="718" t="e">
        <f>VLOOKUP($D22,유선목표!$A:$Z,O$1,0)+VLOOKUP($D22,유선_약갱!$C:$AE,'유선_합계(수식)'!O$1,0)</f>
        <v>#N/A</v>
      </c>
      <c r="P22" s="718" t="e">
        <f>VLOOKUP($D22,유선목표!$A:$Z,P$1,0)+VLOOKUP($D22,유선_약갱!$C:$AE,'유선_합계(수식)'!P$1,0)</f>
        <v>#N/A</v>
      </c>
      <c r="Q22" s="718" t="e">
        <f>VLOOKUP($D22,유선목표!$A:$Z,Q$1,0)+VLOOKUP($D22,유선_약갱!$C:$AE,'유선_합계(수식)'!Q$1,0)</f>
        <v>#N/A</v>
      </c>
      <c r="R22" s="718" t="e">
        <f>VLOOKUP($D22,유선목표!$A:$Z,R$1,0)+VLOOKUP($D22,유선_약갱!$C:$AE,'유선_합계(수식)'!R$1,0)</f>
        <v>#N/A</v>
      </c>
      <c r="S22" s="718" t="e">
        <f>VLOOKUP($D22,유선목표!$A:$Z,S$1,0)+VLOOKUP($D22,유선_약갱!$C:$AE,'유선_합계(수식)'!S$1,0)</f>
        <v>#N/A</v>
      </c>
      <c r="T22" s="718" t="e">
        <f>VLOOKUP($D22,유선목표!$A:$Z,T$1,0)+VLOOKUP($D22,유선_약갱!$C:$AE,'유선_합계(수식)'!T$1,0)</f>
        <v>#N/A</v>
      </c>
      <c r="U22" s="718" t="e">
        <f>VLOOKUP($D22,유선목표!$A:$Z,U$1,0)+VLOOKUP($D22,유선_약갱!$C:$AE,'유선_합계(수식)'!U$1,0)</f>
        <v>#N/A</v>
      </c>
      <c r="V22" s="718" t="e">
        <f>VLOOKUP($D22,유선목표!$A:$Z,V$1,0)+VLOOKUP($D22,유선_약갱!$C:$AE,'유선_합계(수식)'!V$1,0)</f>
        <v>#N/A</v>
      </c>
      <c r="W22" s="718" t="e">
        <f>VLOOKUP($D22,유선목표!$A:$Z,W$1,0)+VLOOKUP($D22,유선_약갱!$C:$AE,'유선_합계(수식)'!W$1,0)</f>
        <v>#N/A</v>
      </c>
      <c r="X22" s="718" t="e">
        <f>VLOOKUP($D22,유선목표!$A:$Z,X$1,0)+VLOOKUP($D22,유선_약갱!$C:$AE,'유선_합계(수식)'!X$1,0)</f>
        <v>#N/A</v>
      </c>
      <c r="Y22" s="718" t="e">
        <f>VLOOKUP($D22,유선목표!$A:$Z,Y$1,0)+VLOOKUP($D22,유선_약갱!$C:$AE,'유선_합계(수식)'!Y$1,0)</f>
        <v>#N/A</v>
      </c>
      <c r="Z22" s="718" t="e">
        <f>VLOOKUP($D22,유선목표!$A:$Z,Z$1,0)+VLOOKUP($D22,유선_약갱!$C:$AE,'유선_합계(수식)'!Z$1,0)</f>
        <v>#N/A</v>
      </c>
      <c r="AA22" s="718" t="e">
        <f>VLOOKUP($D22,유선목표!$A:$Z,AA$1,0)+VLOOKUP($D22,유선_약갱!$C:$AE,'유선_합계(수식)'!AA$1,0)</f>
        <v>#N/A</v>
      </c>
      <c r="AB22" s="718" t="e">
        <f>VLOOKUP($D22,유선목표!$A:$Z,AB$1,0)+VLOOKUP($D22,유선_약갱!$C:$AE,'유선_합계(수식)'!AB$1,0)</f>
        <v>#N/A</v>
      </c>
      <c r="AC22" s="718" t="e">
        <f>VLOOKUP($D22,유선목표!$A:$Z,AC$1,0)+VLOOKUP($D22,유선_약갱!$C:$AE,'유선_합계(수식)'!AC$1,0)</f>
        <v>#N/A</v>
      </c>
      <c r="AD22" s="718" t="e">
        <f>VLOOKUP($D22,유선목표!$A:$Z,AD$1,0)+VLOOKUP($D22,유선_약갱!$C:$AE,'유선_합계(수식)'!AD$1,0)</f>
        <v>#N/A</v>
      </c>
      <c r="AE22" s="718" t="e">
        <f>VLOOKUP($D22,유선목표!$A:$Z,AE$1,0)+VLOOKUP($D22,유선_약갱!$C:$AE,'유선_합계(수식)'!AE$1,0)</f>
        <v>#N/A</v>
      </c>
      <c r="AF22" s="718" t="e">
        <f>VLOOKUP($D22,유선목표!$A:$Z,AF$1,0)+VLOOKUP($D22,유선_약갱!$C:$AE,'유선_합계(수식)'!AF$1,0)</f>
        <v>#N/A</v>
      </c>
      <c r="AG22" s="718" t="e">
        <f>VLOOKUP($D22,유선목표!$A:$Z,AG$1,0)+VLOOKUP($D22,유선_약갱!$C:$AE,'유선_합계(수식)'!AG$1,0)</f>
        <v>#N/A</v>
      </c>
      <c r="AH22" s="718" t="e">
        <f>VLOOKUP($D22,유선목표!$A:$Z,AH$1,0)+VLOOKUP($D22,유선_약갱!$C:$AE,'유선_합계(수식)'!AH$1,0)</f>
        <v>#N/A</v>
      </c>
      <c r="AI22" s="718" t="e">
        <f>VLOOKUP($D22,유선목표!$A:$Z,AI$1,0)+VLOOKUP($D22,유선_약갱!$C:$AE,'유선_합계(수식)'!AI$1,0)</f>
        <v>#N/A</v>
      </c>
      <c r="AJ22" s="718" t="e">
        <f>VLOOKUP($D22,유선목표!$A:$Z,AJ$1,0)+VLOOKUP($D22,유선_약갱!$C:$AE,'유선_합계(수식)'!AJ$1,0)</f>
        <v>#N/A</v>
      </c>
    </row>
    <row r="23" spans="1:36" ht="24" customHeight="1">
      <c r="A23" s="714" t="e">
        <f>VLOOKUP(D23,#REF!,2,0)</f>
        <v>#REF!</v>
      </c>
      <c r="B23" s="710">
        <v>20</v>
      </c>
      <c r="C23" s="711" t="s">
        <v>601</v>
      </c>
      <c r="D23" s="711" t="s">
        <v>415</v>
      </c>
      <c r="E23" s="718" t="e">
        <f t="shared" si="0"/>
        <v>#N/A</v>
      </c>
      <c r="F23" s="718" t="e">
        <f>VLOOKUP($D23,유선목표!$A:$Z,F$1,0)+VLOOKUP($D23,유선_약갱!$C:$AE,'유선_합계(수식)'!F$1,0)</f>
        <v>#N/A</v>
      </c>
      <c r="G23" s="718" t="e">
        <f>VLOOKUP($D23,유선목표!$A:$Z,G$1,0)+VLOOKUP($D23,유선_약갱!$C:$AE,'유선_합계(수식)'!G$1,0)</f>
        <v>#N/A</v>
      </c>
      <c r="H23" s="718" t="e">
        <f>VLOOKUP($D23,유선목표!$A:$Z,H$1,0)+VLOOKUP($D23,유선_약갱!$C:$AE,'유선_합계(수식)'!H$1,0)</f>
        <v>#N/A</v>
      </c>
      <c r="I23" s="718" t="e">
        <f>VLOOKUP($D23,유선목표!$A:$Z,I$1,0)+VLOOKUP($D23,유선_약갱!$C:$AE,'유선_합계(수식)'!I$1,0)</f>
        <v>#N/A</v>
      </c>
      <c r="J23" s="718" t="e">
        <f>VLOOKUP($D23,유선목표!$A:$Z,J$1,0)+VLOOKUP($D23,유선_약갱!$C:$AE,'유선_합계(수식)'!J$1,0)</f>
        <v>#N/A</v>
      </c>
      <c r="K23" s="718" t="e">
        <f>VLOOKUP($D23,유선목표!$A:$Z,K$1,0)+VLOOKUP($D23,유선_약갱!$C:$AE,'유선_합계(수식)'!K$1,0)</f>
        <v>#N/A</v>
      </c>
      <c r="L23" s="718" t="e">
        <f>VLOOKUP($D23,유선목표!$A:$Z,L$1,0)+VLOOKUP($D23,유선_약갱!$C:$AE,'유선_합계(수식)'!L$1,0)</f>
        <v>#N/A</v>
      </c>
      <c r="M23" s="718" t="e">
        <f>VLOOKUP($D23,유선목표!$A:$Z,M$1,0)+VLOOKUP($D23,유선_약갱!$C:$AE,'유선_합계(수식)'!M$1,0)</f>
        <v>#N/A</v>
      </c>
      <c r="N23" s="718" t="e">
        <f>VLOOKUP($D23,유선목표!$A:$Z,N$1,0)+VLOOKUP($D23,유선_약갱!$C:$AE,'유선_합계(수식)'!N$1,0)</f>
        <v>#N/A</v>
      </c>
      <c r="O23" s="718" t="e">
        <f>VLOOKUP($D23,유선목표!$A:$Z,O$1,0)+VLOOKUP($D23,유선_약갱!$C:$AE,'유선_합계(수식)'!O$1,0)</f>
        <v>#N/A</v>
      </c>
      <c r="P23" s="718" t="e">
        <f>VLOOKUP($D23,유선목표!$A:$Z,P$1,0)+VLOOKUP($D23,유선_약갱!$C:$AE,'유선_합계(수식)'!P$1,0)</f>
        <v>#N/A</v>
      </c>
      <c r="Q23" s="718" t="e">
        <f>VLOOKUP($D23,유선목표!$A:$Z,Q$1,0)+VLOOKUP($D23,유선_약갱!$C:$AE,'유선_합계(수식)'!Q$1,0)</f>
        <v>#N/A</v>
      </c>
      <c r="R23" s="718" t="e">
        <f>VLOOKUP($D23,유선목표!$A:$Z,R$1,0)+VLOOKUP($D23,유선_약갱!$C:$AE,'유선_합계(수식)'!R$1,0)</f>
        <v>#N/A</v>
      </c>
      <c r="S23" s="718" t="e">
        <f>VLOOKUP($D23,유선목표!$A:$Z,S$1,0)+VLOOKUP($D23,유선_약갱!$C:$AE,'유선_합계(수식)'!S$1,0)</f>
        <v>#N/A</v>
      </c>
      <c r="T23" s="718" t="e">
        <f>VLOOKUP($D23,유선목표!$A:$Z,T$1,0)+VLOOKUP($D23,유선_약갱!$C:$AE,'유선_합계(수식)'!T$1,0)</f>
        <v>#N/A</v>
      </c>
      <c r="U23" s="718" t="e">
        <f>VLOOKUP($D23,유선목표!$A:$Z,U$1,0)+VLOOKUP($D23,유선_약갱!$C:$AE,'유선_합계(수식)'!U$1,0)</f>
        <v>#N/A</v>
      </c>
      <c r="V23" s="718" t="e">
        <f>VLOOKUP($D23,유선목표!$A:$Z,V$1,0)+VLOOKUP($D23,유선_약갱!$C:$AE,'유선_합계(수식)'!V$1,0)</f>
        <v>#N/A</v>
      </c>
      <c r="W23" s="718" t="e">
        <f>VLOOKUP($D23,유선목표!$A:$Z,W$1,0)+VLOOKUP($D23,유선_약갱!$C:$AE,'유선_합계(수식)'!W$1,0)</f>
        <v>#N/A</v>
      </c>
      <c r="X23" s="718" t="e">
        <f>VLOOKUP($D23,유선목표!$A:$Z,X$1,0)+VLOOKUP($D23,유선_약갱!$C:$AE,'유선_합계(수식)'!X$1,0)</f>
        <v>#N/A</v>
      </c>
      <c r="Y23" s="718" t="e">
        <f>VLOOKUP($D23,유선목표!$A:$Z,Y$1,0)+VLOOKUP($D23,유선_약갱!$C:$AE,'유선_합계(수식)'!Y$1,0)</f>
        <v>#N/A</v>
      </c>
      <c r="Z23" s="718" t="e">
        <f>VLOOKUP($D23,유선목표!$A:$Z,Z$1,0)+VLOOKUP($D23,유선_약갱!$C:$AE,'유선_합계(수식)'!Z$1,0)</f>
        <v>#N/A</v>
      </c>
      <c r="AA23" s="718" t="e">
        <f>VLOOKUP($D23,유선목표!$A:$Z,AA$1,0)+VLOOKUP($D23,유선_약갱!$C:$AE,'유선_합계(수식)'!AA$1,0)</f>
        <v>#N/A</v>
      </c>
      <c r="AB23" s="718" t="e">
        <f>VLOOKUP($D23,유선목표!$A:$Z,AB$1,0)+VLOOKUP($D23,유선_약갱!$C:$AE,'유선_합계(수식)'!AB$1,0)</f>
        <v>#N/A</v>
      </c>
      <c r="AC23" s="718" t="e">
        <f>VLOOKUP($D23,유선목표!$A:$Z,AC$1,0)+VLOOKUP($D23,유선_약갱!$C:$AE,'유선_합계(수식)'!AC$1,0)</f>
        <v>#N/A</v>
      </c>
      <c r="AD23" s="718" t="e">
        <f>VLOOKUP($D23,유선목표!$A:$Z,AD$1,0)+VLOOKUP($D23,유선_약갱!$C:$AE,'유선_합계(수식)'!AD$1,0)</f>
        <v>#N/A</v>
      </c>
      <c r="AE23" s="718" t="e">
        <f>VLOOKUP($D23,유선목표!$A:$Z,AE$1,0)+VLOOKUP($D23,유선_약갱!$C:$AE,'유선_합계(수식)'!AE$1,0)</f>
        <v>#N/A</v>
      </c>
      <c r="AF23" s="718" t="e">
        <f>VLOOKUP($D23,유선목표!$A:$Z,AF$1,0)+VLOOKUP($D23,유선_약갱!$C:$AE,'유선_합계(수식)'!AF$1,0)</f>
        <v>#N/A</v>
      </c>
      <c r="AG23" s="718" t="e">
        <f>VLOOKUP($D23,유선목표!$A:$Z,AG$1,0)+VLOOKUP($D23,유선_약갱!$C:$AE,'유선_합계(수식)'!AG$1,0)</f>
        <v>#N/A</v>
      </c>
      <c r="AH23" s="718" t="e">
        <f>VLOOKUP($D23,유선목표!$A:$Z,AH$1,0)+VLOOKUP($D23,유선_약갱!$C:$AE,'유선_합계(수식)'!AH$1,0)</f>
        <v>#N/A</v>
      </c>
      <c r="AI23" s="718" t="e">
        <f>VLOOKUP($D23,유선목표!$A:$Z,AI$1,0)+VLOOKUP($D23,유선_약갱!$C:$AE,'유선_합계(수식)'!AI$1,0)</f>
        <v>#N/A</v>
      </c>
      <c r="AJ23" s="718" t="e">
        <f>VLOOKUP($D23,유선목표!$A:$Z,AJ$1,0)+VLOOKUP($D23,유선_약갱!$C:$AE,'유선_합계(수식)'!AJ$1,0)</f>
        <v>#N/A</v>
      </c>
    </row>
    <row r="24" spans="1:36" ht="24" customHeight="1">
      <c r="A24" s="714" t="e">
        <f>VLOOKUP(D24,#REF!,2,0)</f>
        <v>#REF!</v>
      </c>
      <c r="B24" s="710">
        <v>21</v>
      </c>
      <c r="C24" s="711" t="s">
        <v>594</v>
      </c>
      <c r="D24" s="711" t="s">
        <v>401</v>
      </c>
      <c r="E24" s="718" t="e">
        <f t="shared" si="0"/>
        <v>#N/A</v>
      </c>
      <c r="F24" s="718" t="e">
        <f>VLOOKUP($D24,유선목표!$A:$Z,F$1,0)+VLOOKUP($D24,유선_약갱!$C:$AE,'유선_합계(수식)'!F$1,0)</f>
        <v>#N/A</v>
      </c>
      <c r="G24" s="718" t="e">
        <f>VLOOKUP($D24,유선목표!$A:$Z,G$1,0)+VLOOKUP($D24,유선_약갱!$C:$AE,'유선_합계(수식)'!G$1,0)</f>
        <v>#N/A</v>
      </c>
      <c r="H24" s="718" t="e">
        <f>VLOOKUP($D24,유선목표!$A:$Z,H$1,0)+VLOOKUP($D24,유선_약갱!$C:$AE,'유선_합계(수식)'!H$1,0)</f>
        <v>#N/A</v>
      </c>
      <c r="I24" s="718" t="e">
        <f>VLOOKUP($D24,유선목표!$A:$Z,I$1,0)+VLOOKUP($D24,유선_약갱!$C:$AE,'유선_합계(수식)'!I$1,0)</f>
        <v>#N/A</v>
      </c>
      <c r="J24" s="718" t="e">
        <f>VLOOKUP($D24,유선목표!$A:$Z,J$1,0)+VLOOKUP($D24,유선_약갱!$C:$AE,'유선_합계(수식)'!J$1,0)</f>
        <v>#N/A</v>
      </c>
      <c r="K24" s="718" t="e">
        <f>VLOOKUP($D24,유선목표!$A:$Z,K$1,0)+VLOOKUP($D24,유선_약갱!$C:$AE,'유선_합계(수식)'!K$1,0)</f>
        <v>#N/A</v>
      </c>
      <c r="L24" s="718" t="e">
        <f>VLOOKUP($D24,유선목표!$A:$Z,L$1,0)+VLOOKUP($D24,유선_약갱!$C:$AE,'유선_합계(수식)'!L$1,0)</f>
        <v>#N/A</v>
      </c>
      <c r="M24" s="718" t="e">
        <f>VLOOKUP($D24,유선목표!$A:$Z,M$1,0)+VLOOKUP($D24,유선_약갱!$C:$AE,'유선_합계(수식)'!M$1,0)</f>
        <v>#N/A</v>
      </c>
      <c r="N24" s="718" t="e">
        <f>VLOOKUP($D24,유선목표!$A:$Z,N$1,0)+VLOOKUP($D24,유선_약갱!$C:$AE,'유선_합계(수식)'!N$1,0)</f>
        <v>#N/A</v>
      </c>
      <c r="O24" s="718" t="e">
        <f>VLOOKUP($D24,유선목표!$A:$Z,O$1,0)+VLOOKUP($D24,유선_약갱!$C:$AE,'유선_합계(수식)'!O$1,0)</f>
        <v>#N/A</v>
      </c>
      <c r="P24" s="718" t="e">
        <f>VLOOKUP($D24,유선목표!$A:$Z,P$1,0)+VLOOKUP($D24,유선_약갱!$C:$AE,'유선_합계(수식)'!P$1,0)</f>
        <v>#N/A</v>
      </c>
      <c r="Q24" s="718" t="e">
        <f>VLOOKUP($D24,유선목표!$A:$Z,Q$1,0)+VLOOKUP($D24,유선_약갱!$C:$AE,'유선_합계(수식)'!Q$1,0)</f>
        <v>#N/A</v>
      </c>
      <c r="R24" s="718" t="e">
        <f>VLOOKUP($D24,유선목표!$A:$Z,R$1,0)+VLOOKUP($D24,유선_약갱!$C:$AE,'유선_합계(수식)'!R$1,0)</f>
        <v>#N/A</v>
      </c>
      <c r="S24" s="718" t="e">
        <f>VLOOKUP($D24,유선목표!$A:$Z,S$1,0)+VLOOKUP($D24,유선_약갱!$C:$AE,'유선_합계(수식)'!S$1,0)</f>
        <v>#N/A</v>
      </c>
      <c r="T24" s="718" t="e">
        <f>VLOOKUP($D24,유선목표!$A:$Z,T$1,0)+VLOOKUP($D24,유선_약갱!$C:$AE,'유선_합계(수식)'!T$1,0)</f>
        <v>#N/A</v>
      </c>
      <c r="U24" s="718" t="e">
        <f>VLOOKUP($D24,유선목표!$A:$Z,U$1,0)+VLOOKUP($D24,유선_약갱!$C:$AE,'유선_합계(수식)'!U$1,0)</f>
        <v>#N/A</v>
      </c>
      <c r="V24" s="718" t="e">
        <f>VLOOKUP($D24,유선목표!$A:$Z,V$1,0)+VLOOKUP($D24,유선_약갱!$C:$AE,'유선_합계(수식)'!V$1,0)</f>
        <v>#N/A</v>
      </c>
      <c r="W24" s="718" t="e">
        <f>VLOOKUP($D24,유선목표!$A:$Z,W$1,0)+VLOOKUP($D24,유선_약갱!$C:$AE,'유선_합계(수식)'!W$1,0)</f>
        <v>#N/A</v>
      </c>
      <c r="X24" s="718" t="e">
        <f>VLOOKUP($D24,유선목표!$A:$Z,X$1,0)+VLOOKUP($D24,유선_약갱!$C:$AE,'유선_합계(수식)'!X$1,0)</f>
        <v>#N/A</v>
      </c>
      <c r="Y24" s="718" t="e">
        <f>VLOOKUP($D24,유선목표!$A:$Z,Y$1,0)+VLOOKUP($D24,유선_약갱!$C:$AE,'유선_합계(수식)'!Y$1,0)</f>
        <v>#N/A</v>
      </c>
      <c r="Z24" s="718" t="e">
        <f>VLOOKUP($D24,유선목표!$A:$Z,Z$1,0)+VLOOKUP($D24,유선_약갱!$C:$AE,'유선_합계(수식)'!Z$1,0)</f>
        <v>#N/A</v>
      </c>
      <c r="AA24" s="718" t="e">
        <f>VLOOKUP($D24,유선목표!$A:$Z,AA$1,0)+VLOOKUP($D24,유선_약갱!$C:$AE,'유선_합계(수식)'!AA$1,0)</f>
        <v>#N/A</v>
      </c>
      <c r="AB24" s="718" t="e">
        <f>VLOOKUP($D24,유선목표!$A:$Z,AB$1,0)+VLOOKUP($D24,유선_약갱!$C:$AE,'유선_합계(수식)'!AB$1,0)</f>
        <v>#N/A</v>
      </c>
      <c r="AC24" s="718" t="e">
        <f>VLOOKUP($D24,유선목표!$A:$Z,AC$1,0)+VLOOKUP($D24,유선_약갱!$C:$AE,'유선_합계(수식)'!AC$1,0)</f>
        <v>#N/A</v>
      </c>
      <c r="AD24" s="718" t="e">
        <f>VLOOKUP($D24,유선목표!$A:$Z,AD$1,0)+VLOOKUP($D24,유선_약갱!$C:$AE,'유선_합계(수식)'!AD$1,0)</f>
        <v>#N/A</v>
      </c>
      <c r="AE24" s="718" t="e">
        <f>VLOOKUP($D24,유선목표!$A:$Z,AE$1,0)+VLOOKUP($D24,유선_약갱!$C:$AE,'유선_합계(수식)'!AE$1,0)</f>
        <v>#N/A</v>
      </c>
      <c r="AF24" s="718" t="e">
        <f>VLOOKUP($D24,유선목표!$A:$Z,AF$1,0)+VLOOKUP($D24,유선_약갱!$C:$AE,'유선_합계(수식)'!AF$1,0)</f>
        <v>#N/A</v>
      </c>
      <c r="AG24" s="718" t="e">
        <f>VLOOKUP($D24,유선목표!$A:$Z,AG$1,0)+VLOOKUP($D24,유선_약갱!$C:$AE,'유선_합계(수식)'!AG$1,0)</f>
        <v>#N/A</v>
      </c>
      <c r="AH24" s="718" t="e">
        <f>VLOOKUP($D24,유선목표!$A:$Z,AH$1,0)+VLOOKUP($D24,유선_약갱!$C:$AE,'유선_합계(수식)'!AH$1,0)</f>
        <v>#N/A</v>
      </c>
      <c r="AI24" s="718" t="e">
        <f>VLOOKUP($D24,유선목표!$A:$Z,AI$1,0)+VLOOKUP($D24,유선_약갱!$C:$AE,'유선_합계(수식)'!AI$1,0)</f>
        <v>#N/A</v>
      </c>
      <c r="AJ24" s="718" t="e">
        <f>VLOOKUP($D24,유선목표!$A:$Z,AJ$1,0)+VLOOKUP($D24,유선_약갱!$C:$AE,'유선_합계(수식)'!AJ$1,0)</f>
        <v>#N/A</v>
      </c>
    </row>
    <row r="25" spans="1:36" ht="24" customHeight="1">
      <c r="A25" s="714" t="e">
        <f>VLOOKUP(D25,#REF!,2,0)</f>
        <v>#REF!</v>
      </c>
      <c r="B25" s="710">
        <v>22</v>
      </c>
      <c r="C25" s="711" t="s">
        <v>602</v>
      </c>
      <c r="D25" s="711" t="s">
        <v>417</v>
      </c>
      <c r="E25" s="718" t="e">
        <f t="shared" si="0"/>
        <v>#N/A</v>
      </c>
      <c r="F25" s="718" t="e">
        <f>VLOOKUP($D25,유선목표!$A:$Z,F$1,0)+VLOOKUP($D25,유선_약갱!$C:$AE,'유선_합계(수식)'!F$1,0)</f>
        <v>#N/A</v>
      </c>
      <c r="G25" s="718" t="e">
        <f>VLOOKUP($D25,유선목표!$A:$Z,G$1,0)+VLOOKUP($D25,유선_약갱!$C:$AE,'유선_합계(수식)'!G$1,0)</f>
        <v>#N/A</v>
      </c>
      <c r="H25" s="718" t="e">
        <f>VLOOKUP($D25,유선목표!$A:$Z,H$1,0)+VLOOKUP($D25,유선_약갱!$C:$AE,'유선_합계(수식)'!H$1,0)</f>
        <v>#N/A</v>
      </c>
      <c r="I25" s="718" t="e">
        <f>VLOOKUP($D25,유선목표!$A:$Z,I$1,0)+VLOOKUP($D25,유선_약갱!$C:$AE,'유선_합계(수식)'!I$1,0)</f>
        <v>#N/A</v>
      </c>
      <c r="J25" s="718" t="e">
        <f>VLOOKUP($D25,유선목표!$A:$Z,J$1,0)+VLOOKUP($D25,유선_약갱!$C:$AE,'유선_합계(수식)'!J$1,0)</f>
        <v>#N/A</v>
      </c>
      <c r="K25" s="718" t="e">
        <f>VLOOKUP($D25,유선목표!$A:$Z,K$1,0)+VLOOKUP($D25,유선_약갱!$C:$AE,'유선_합계(수식)'!K$1,0)</f>
        <v>#N/A</v>
      </c>
      <c r="L25" s="718" t="e">
        <f>VLOOKUP($D25,유선목표!$A:$Z,L$1,0)+VLOOKUP($D25,유선_약갱!$C:$AE,'유선_합계(수식)'!L$1,0)</f>
        <v>#N/A</v>
      </c>
      <c r="M25" s="718" t="e">
        <f>VLOOKUP($D25,유선목표!$A:$Z,M$1,0)+VLOOKUP($D25,유선_약갱!$C:$AE,'유선_합계(수식)'!M$1,0)</f>
        <v>#N/A</v>
      </c>
      <c r="N25" s="718" t="e">
        <f>VLOOKUP($D25,유선목표!$A:$Z,N$1,0)+VLOOKUP($D25,유선_약갱!$C:$AE,'유선_합계(수식)'!N$1,0)</f>
        <v>#N/A</v>
      </c>
      <c r="O25" s="718" t="e">
        <f>VLOOKUP($D25,유선목표!$A:$Z,O$1,0)+VLOOKUP($D25,유선_약갱!$C:$AE,'유선_합계(수식)'!O$1,0)</f>
        <v>#N/A</v>
      </c>
      <c r="P25" s="718" t="e">
        <f>VLOOKUP($D25,유선목표!$A:$Z,P$1,0)+VLOOKUP($D25,유선_약갱!$C:$AE,'유선_합계(수식)'!P$1,0)</f>
        <v>#N/A</v>
      </c>
      <c r="Q25" s="718" t="e">
        <f>VLOOKUP($D25,유선목표!$A:$Z,Q$1,0)+VLOOKUP($D25,유선_약갱!$C:$AE,'유선_합계(수식)'!Q$1,0)</f>
        <v>#N/A</v>
      </c>
      <c r="R25" s="718" t="e">
        <f>VLOOKUP($D25,유선목표!$A:$Z,R$1,0)+VLOOKUP($D25,유선_약갱!$C:$AE,'유선_합계(수식)'!R$1,0)</f>
        <v>#N/A</v>
      </c>
      <c r="S25" s="718" t="e">
        <f>VLOOKUP($D25,유선목표!$A:$Z,S$1,0)+VLOOKUP($D25,유선_약갱!$C:$AE,'유선_합계(수식)'!S$1,0)</f>
        <v>#N/A</v>
      </c>
      <c r="T25" s="718" t="e">
        <f>VLOOKUP($D25,유선목표!$A:$Z,T$1,0)+VLOOKUP($D25,유선_약갱!$C:$AE,'유선_합계(수식)'!T$1,0)</f>
        <v>#N/A</v>
      </c>
      <c r="U25" s="718" t="e">
        <f>VLOOKUP($D25,유선목표!$A:$Z,U$1,0)+VLOOKUP($D25,유선_약갱!$C:$AE,'유선_합계(수식)'!U$1,0)</f>
        <v>#N/A</v>
      </c>
      <c r="V25" s="718" t="e">
        <f>VLOOKUP($D25,유선목표!$A:$Z,V$1,0)+VLOOKUP($D25,유선_약갱!$C:$AE,'유선_합계(수식)'!V$1,0)</f>
        <v>#N/A</v>
      </c>
      <c r="W25" s="718" t="e">
        <f>VLOOKUP($D25,유선목표!$A:$Z,W$1,0)+VLOOKUP($D25,유선_약갱!$C:$AE,'유선_합계(수식)'!W$1,0)</f>
        <v>#N/A</v>
      </c>
      <c r="X25" s="718" t="e">
        <f>VLOOKUP($D25,유선목표!$A:$Z,X$1,0)+VLOOKUP($D25,유선_약갱!$C:$AE,'유선_합계(수식)'!X$1,0)</f>
        <v>#N/A</v>
      </c>
      <c r="Y25" s="718" t="e">
        <f>VLOOKUP($D25,유선목표!$A:$Z,Y$1,0)+VLOOKUP($D25,유선_약갱!$C:$AE,'유선_합계(수식)'!Y$1,0)</f>
        <v>#N/A</v>
      </c>
      <c r="Z25" s="718" t="e">
        <f>VLOOKUP($D25,유선목표!$A:$Z,Z$1,0)+VLOOKUP($D25,유선_약갱!$C:$AE,'유선_합계(수식)'!Z$1,0)</f>
        <v>#N/A</v>
      </c>
      <c r="AA25" s="718" t="e">
        <f>VLOOKUP($D25,유선목표!$A:$Z,AA$1,0)+VLOOKUP($D25,유선_약갱!$C:$AE,'유선_합계(수식)'!AA$1,0)</f>
        <v>#N/A</v>
      </c>
      <c r="AB25" s="718" t="e">
        <f>VLOOKUP($D25,유선목표!$A:$Z,AB$1,0)+VLOOKUP($D25,유선_약갱!$C:$AE,'유선_합계(수식)'!AB$1,0)</f>
        <v>#N/A</v>
      </c>
      <c r="AC25" s="718" t="e">
        <f>VLOOKUP($D25,유선목표!$A:$Z,AC$1,0)+VLOOKUP($D25,유선_약갱!$C:$AE,'유선_합계(수식)'!AC$1,0)</f>
        <v>#N/A</v>
      </c>
      <c r="AD25" s="718" t="e">
        <f>VLOOKUP($D25,유선목표!$A:$Z,AD$1,0)+VLOOKUP($D25,유선_약갱!$C:$AE,'유선_합계(수식)'!AD$1,0)</f>
        <v>#N/A</v>
      </c>
      <c r="AE25" s="718" t="e">
        <f>VLOOKUP($D25,유선목표!$A:$Z,AE$1,0)+VLOOKUP($D25,유선_약갱!$C:$AE,'유선_합계(수식)'!AE$1,0)</f>
        <v>#N/A</v>
      </c>
      <c r="AF25" s="718" t="e">
        <f>VLOOKUP($D25,유선목표!$A:$Z,AF$1,0)+VLOOKUP($D25,유선_약갱!$C:$AE,'유선_합계(수식)'!AF$1,0)</f>
        <v>#N/A</v>
      </c>
      <c r="AG25" s="718" t="e">
        <f>VLOOKUP($D25,유선목표!$A:$Z,AG$1,0)+VLOOKUP($D25,유선_약갱!$C:$AE,'유선_합계(수식)'!AG$1,0)</f>
        <v>#N/A</v>
      </c>
      <c r="AH25" s="718" t="e">
        <f>VLOOKUP($D25,유선목표!$A:$Z,AH$1,0)+VLOOKUP($D25,유선_약갱!$C:$AE,'유선_합계(수식)'!AH$1,0)</f>
        <v>#N/A</v>
      </c>
      <c r="AI25" s="718" t="e">
        <f>VLOOKUP($D25,유선목표!$A:$Z,AI$1,0)+VLOOKUP($D25,유선_약갱!$C:$AE,'유선_합계(수식)'!AI$1,0)</f>
        <v>#N/A</v>
      </c>
      <c r="AJ25" s="718" t="e">
        <f>VLOOKUP($D25,유선목표!$A:$Z,AJ$1,0)+VLOOKUP($D25,유선_약갱!$C:$AE,'유선_합계(수식)'!AJ$1,0)</f>
        <v>#N/A</v>
      </c>
    </row>
    <row r="26" spans="1:36" ht="24" customHeight="1">
      <c r="A26" s="714" t="e">
        <f>VLOOKUP(D26,#REF!,2,0)</f>
        <v>#REF!</v>
      </c>
      <c r="B26" s="710">
        <v>23</v>
      </c>
      <c r="C26" s="711" t="s">
        <v>627</v>
      </c>
      <c r="D26" s="711" t="s">
        <v>425</v>
      </c>
      <c r="E26" s="718" t="e">
        <f t="shared" si="0"/>
        <v>#N/A</v>
      </c>
      <c r="F26" s="718" t="e">
        <f>VLOOKUP($D26,유선목표!$A:$Z,F$1,0)+VLOOKUP($D26,유선_약갱!$C:$AE,'유선_합계(수식)'!F$1,0)</f>
        <v>#N/A</v>
      </c>
      <c r="G26" s="718" t="e">
        <f>VLOOKUP($D26,유선목표!$A:$Z,G$1,0)+VLOOKUP($D26,유선_약갱!$C:$AE,'유선_합계(수식)'!G$1,0)</f>
        <v>#N/A</v>
      </c>
      <c r="H26" s="718" t="e">
        <f>VLOOKUP($D26,유선목표!$A:$Z,H$1,0)+VLOOKUP($D26,유선_약갱!$C:$AE,'유선_합계(수식)'!H$1,0)</f>
        <v>#N/A</v>
      </c>
      <c r="I26" s="718" t="e">
        <f>VLOOKUP($D26,유선목표!$A:$Z,I$1,0)+VLOOKUP($D26,유선_약갱!$C:$AE,'유선_합계(수식)'!I$1,0)</f>
        <v>#N/A</v>
      </c>
      <c r="J26" s="718" t="e">
        <f>VLOOKUP($D26,유선목표!$A:$Z,J$1,0)+VLOOKUP($D26,유선_약갱!$C:$AE,'유선_합계(수식)'!J$1,0)</f>
        <v>#N/A</v>
      </c>
      <c r="K26" s="718" t="e">
        <f>VLOOKUP($D26,유선목표!$A:$Z,K$1,0)+VLOOKUP($D26,유선_약갱!$C:$AE,'유선_합계(수식)'!K$1,0)</f>
        <v>#N/A</v>
      </c>
      <c r="L26" s="718" t="e">
        <f>VLOOKUP($D26,유선목표!$A:$Z,L$1,0)+VLOOKUP($D26,유선_약갱!$C:$AE,'유선_합계(수식)'!L$1,0)</f>
        <v>#N/A</v>
      </c>
      <c r="M26" s="718" t="e">
        <f>VLOOKUP($D26,유선목표!$A:$Z,M$1,0)+VLOOKUP($D26,유선_약갱!$C:$AE,'유선_합계(수식)'!M$1,0)</f>
        <v>#N/A</v>
      </c>
      <c r="N26" s="718" t="e">
        <f>VLOOKUP($D26,유선목표!$A:$Z,N$1,0)+VLOOKUP($D26,유선_약갱!$C:$AE,'유선_합계(수식)'!N$1,0)</f>
        <v>#N/A</v>
      </c>
      <c r="O26" s="718" t="e">
        <f>VLOOKUP($D26,유선목표!$A:$Z,O$1,0)+VLOOKUP($D26,유선_약갱!$C:$AE,'유선_합계(수식)'!O$1,0)</f>
        <v>#N/A</v>
      </c>
      <c r="P26" s="718" t="e">
        <f>VLOOKUP($D26,유선목표!$A:$Z,P$1,0)+VLOOKUP($D26,유선_약갱!$C:$AE,'유선_합계(수식)'!P$1,0)</f>
        <v>#N/A</v>
      </c>
      <c r="Q26" s="718" t="e">
        <f>VLOOKUP($D26,유선목표!$A:$Z,Q$1,0)+VLOOKUP($D26,유선_약갱!$C:$AE,'유선_합계(수식)'!Q$1,0)</f>
        <v>#N/A</v>
      </c>
      <c r="R26" s="718" t="e">
        <f>VLOOKUP($D26,유선목표!$A:$Z,R$1,0)+VLOOKUP($D26,유선_약갱!$C:$AE,'유선_합계(수식)'!R$1,0)</f>
        <v>#N/A</v>
      </c>
      <c r="S26" s="718" t="e">
        <f>VLOOKUP($D26,유선목표!$A:$Z,S$1,0)+VLOOKUP($D26,유선_약갱!$C:$AE,'유선_합계(수식)'!S$1,0)</f>
        <v>#N/A</v>
      </c>
      <c r="T26" s="718" t="e">
        <f>VLOOKUP($D26,유선목표!$A:$Z,T$1,0)+VLOOKUP($D26,유선_약갱!$C:$AE,'유선_합계(수식)'!T$1,0)</f>
        <v>#N/A</v>
      </c>
      <c r="U26" s="718" t="e">
        <f>VLOOKUP($D26,유선목표!$A:$Z,U$1,0)+VLOOKUP($D26,유선_약갱!$C:$AE,'유선_합계(수식)'!U$1,0)</f>
        <v>#N/A</v>
      </c>
      <c r="V26" s="718" t="e">
        <f>VLOOKUP($D26,유선목표!$A:$Z,V$1,0)+VLOOKUP($D26,유선_약갱!$C:$AE,'유선_합계(수식)'!V$1,0)</f>
        <v>#N/A</v>
      </c>
      <c r="W26" s="718" t="e">
        <f>VLOOKUP($D26,유선목표!$A:$Z,W$1,0)+VLOOKUP($D26,유선_약갱!$C:$AE,'유선_합계(수식)'!W$1,0)</f>
        <v>#N/A</v>
      </c>
      <c r="X26" s="718" t="e">
        <f>VLOOKUP($D26,유선목표!$A:$Z,X$1,0)+VLOOKUP($D26,유선_약갱!$C:$AE,'유선_합계(수식)'!X$1,0)</f>
        <v>#N/A</v>
      </c>
      <c r="Y26" s="718" t="e">
        <f>VLOOKUP($D26,유선목표!$A:$Z,Y$1,0)+VLOOKUP($D26,유선_약갱!$C:$AE,'유선_합계(수식)'!Y$1,0)</f>
        <v>#N/A</v>
      </c>
      <c r="Z26" s="718" t="e">
        <f>VLOOKUP($D26,유선목표!$A:$Z,Z$1,0)+VLOOKUP($D26,유선_약갱!$C:$AE,'유선_합계(수식)'!Z$1,0)</f>
        <v>#N/A</v>
      </c>
      <c r="AA26" s="718" t="e">
        <f>VLOOKUP($D26,유선목표!$A:$Z,AA$1,0)+VLOOKUP($D26,유선_약갱!$C:$AE,'유선_합계(수식)'!AA$1,0)</f>
        <v>#N/A</v>
      </c>
      <c r="AB26" s="718" t="e">
        <f>VLOOKUP($D26,유선목표!$A:$Z,AB$1,0)+VLOOKUP($D26,유선_약갱!$C:$AE,'유선_합계(수식)'!AB$1,0)</f>
        <v>#N/A</v>
      </c>
      <c r="AC26" s="718" t="e">
        <f>VLOOKUP($D26,유선목표!$A:$Z,AC$1,0)+VLOOKUP($D26,유선_약갱!$C:$AE,'유선_합계(수식)'!AC$1,0)</f>
        <v>#N/A</v>
      </c>
      <c r="AD26" s="718" t="e">
        <f>VLOOKUP($D26,유선목표!$A:$Z,AD$1,0)+VLOOKUP($D26,유선_약갱!$C:$AE,'유선_합계(수식)'!AD$1,0)</f>
        <v>#N/A</v>
      </c>
      <c r="AE26" s="718" t="e">
        <f>VLOOKUP($D26,유선목표!$A:$Z,AE$1,0)+VLOOKUP($D26,유선_약갱!$C:$AE,'유선_합계(수식)'!AE$1,0)</f>
        <v>#N/A</v>
      </c>
      <c r="AF26" s="718" t="e">
        <f>VLOOKUP($D26,유선목표!$A:$Z,AF$1,0)+VLOOKUP($D26,유선_약갱!$C:$AE,'유선_합계(수식)'!AF$1,0)</f>
        <v>#N/A</v>
      </c>
      <c r="AG26" s="718" t="e">
        <f>VLOOKUP($D26,유선목표!$A:$Z,AG$1,0)+VLOOKUP($D26,유선_약갱!$C:$AE,'유선_합계(수식)'!AG$1,0)</f>
        <v>#N/A</v>
      </c>
      <c r="AH26" s="718" t="e">
        <f>VLOOKUP($D26,유선목표!$A:$Z,AH$1,0)+VLOOKUP($D26,유선_약갱!$C:$AE,'유선_합계(수식)'!AH$1,0)</f>
        <v>#N/A</v>
      </c>
      <c r="AI26" s="718" t="e">
        <f>VLOOKUP($D26,유선목표!$A:$Z,AI$1,0)+VLOOKUP($D26,유선_약갱!$C:$AE,'유선_합계(수식)'!AI$1,0)</f>
        <v>#N/A</v>
      </c>
      <c r="AJ26" s="718" t="e">
        <f>VLOOKUP($D26,유선목표!$A:$Z,AJ$1,0)+VLOOKUP($D26,유선_약갱!$C:$AE,'유선_합계(수식)'!AJ$1,0)</f>
        <v>#N/A</v>
      </c>
    </row>
    <row r="27" spans="1:36" ht="24" customHeight="1">
      <c r="A27" s="714" t="e">
        <f>VLOOKUP(D27,#REF!,2,0)</f>
        <v>#REF!</v>
      </c>
      <c r="B27" s="710">
        <v>24</v>
      </c>
      <c r="C27" s="711" t="s">
        <v>628</v>
      </c>
      <c r="D27" s="711" t="s">
        <v>429</v>
      </c>
      <c r="E27" s="718" t="e">
        <f t="shared" si="0"/>
        <v>#N/A</v>
      </c>
      <c r="F27" s="718" t="e">
        <f>VLOOKUP($D27,유선목표!$A:$Z,F$1,0)+VLOOKUP($D27,유선_약갱!$C:$AE,'유선_합계(수식)'!F$1,0)</f>
        <v>#N/A</v>
      </c>
      <c r="G27" s="718" t="e">
        <f>VLOOKUP($D27,유선목표!$A:$Z,G$1,0)+VLOOKUP($D27,유선_약갱!$C:$AE,'유선_합계(수식)'!G$1,0)</f>
        <v>#N/A</v>
      </c>
      <c r="H27" s="718" t="e">
        <f>VLOOKUP($D27,유선목표!$A:$Z,H$1,0)+VLOOKUP($D27,유선_약갱!$C:$AE,'유선_합계(수식)'!H$1,0)</f>
        <v>#N/A</v>
      </c>
      <c r="I27" s="718" t="e">
        <f>VLOOKUP($D27,유선목표!$A:$Z,I$1,0)+VLOOKUP($D27,유선_약갱!$C:$AE,'유선_합계(수식)'!I$1,0)</f>
        <v>#N/A</v>
      </c>
      <c r="J27" s="718" t="e">
        <f>VLOOKUP($D27,유선목표!$A:$Z,J$1,0)+VLOOKUP($D27,유선_약갱!$C:$AE,'유선_합계(수식)'!J$1,0)</f>
        <v>#N/A</v>
      </c>
      <c r="K27" s="718" t="e">
        <f>VLOOKUP($D27,유선목표!$A:$Z,K$1,0)+VLOOKUP($D27,유선_약갱!$C:$AE,'유선_합계(수식)'!K$1,0)</f>
        <v>#N/A</v>
      </c>
      <c r="L27" s="718" t="e">
        <f>VLOOKUP($D27,유선목표!$A:$Z,L$1,0)+VLOOKUP($D27,유선_약갱!$C:$AE,'유선_합계(수식)'!L$1,0)</f>
        <v>#N/A</v>
      </c>
      <c r="M27" s="718" t="e">
        <f>VLOOKUP($D27,유선목표!$A:$Z,M$1,0)+VLOOKUP($D27,유선_약갱!$C:$AE,'유선_합계(수식)'!M$1,0)</f>
        <v>#N/A</v>
      </c>
      <c r="N27" s="718" t="e">
        <f>VLOOKUP($D27,유선목표!$A:$Z,N$1,0)+VLOOKUP($D27,유선_약갱!$C:$AE,'유선_합계(수식)'!N$1,0)</f>
        <v>#N/A</v>
      </c>
      <c r="O27" s="718" t="e">
        <f>VLOOKUP($D27,유선목표!$A:$Z,O$1,0)+VLOOKUP($D27,유선_약갱!$C:$AE,'유선_합계(수식)'!O$1,0)</f>
        <v>#N/A</v>
      </c>
      <c r="P27" s="718" t="e">
        <f>VLOOKUP($D27,유선목표!$A:$Z,P$1,0)+VLOOKUP($D27,유선_약갱!$C:$AE,'유선_합계(수식)'!P$1,0)</f>
        <v>#N/A</v>
      </c>
      <c r="Q27" s="718" t="e">
        <f>VLOOKUP($D27,유선목표!$A:$Z,Q$1,0)+VLOOKUP($D27,유선_약갱!$C:$AE,'유선_합계(수식)'!Q$1,0)</f>
        <v>#N/A</v>
      </c>
      <c r="R27" s="718" t="e">
        <f>VLOOKUP($D27,유선목표!$A:$Z,R$1,0)+VLOOKUP($D27,유선_약갱!$C:$AE,'유선_합계(수식)'!R$1,0)</f>
        <v>#N/A</v>
      </c>
      <c r="S27" s="718" t="e">
        <f>VLOOKUP($D27,유선목표!$A:$Z,S$1,0)+VLOOKUP($D27,유선_약갱!$C:$AE,'유선_합계(수식)'!S$1,0)</f>
        <v>#N/A</v>
      </c>
      <c r="T27" s="718" t="e">
        <f>VLOOKUP($D27,유선목표!$A:$Z,T$1,0)+VLOOKUP($D27,유선_약갱!$C:$AE,'유선_합계(수식)'!T$1,0)</f>
        <v>#N/A</v>
      </c>
      <c r="U27" s="718" t="e">
        <f>VLOOKUP($D27,유선목표!$A:$Z,U$1,0)+VLOOKUP($D27,유선_약갱!$C:$AE,'유선_합계(수식)'!U$1,0)</f>
        <v>#N/A</v>
      </c>
      <c r="V27" s="718" t="e">
        <f>VLOOKUP($D27,유선목표!$A:$Z,V$1,0)+VLOOKUP($D27,유선_약갱!$C:$AE,'유선_합계(수식)'!V$1,0)</f>
        <v>#N/A</v>
      </c>
      <c r="W27" s="718" t="e">
        <f>VLOOKUP($D27,유선목표!$A:$Z,W$1,0)+VLOOKUP($D27,유선_약갱!$C:$AE,'유선_합계(수식)'!W$1,0)</f>
        <v>#N/A</v>
      </c>
      <c r="X27" s="718" t="e">
        <f>VLOOKUP($D27,유선목표!$A:$Z,X$1,0)+VLOOKUP($D27,유선_약갱!$C:$AE,'유선_합계(수식)'!X$1,0)</f>
        <v>#N/A</v>
      </c>
      <c r="Y27" s="718" t="e">
        <f>VLOOKUP($D27,유선목표!$A:$Z,Y$1,0)+VLOOKUP($D27,유선_약갱!$C:$AE,'유선_합계(수식)'!Y$1,0)</f>
        <v>#N/A</v>
      </c>
      <c r="Z27" s="718" t="e">
        <f>VLOOKUP($D27,유선목표!$A:$Z,Z$1,0)+VLOOKUP($D27,유선_약갱!$C:$AE,'유선_합계(수식)'!Z$1,0)</f>
        <v>#N/A</v>
      </c>
      <c r="AA27" s="718" t="e">
        <f>VLOOKUP($D27,유선목표!$A:$Z,AA$1,0)+VLOOKUP($D27,유선_약갱!$C:$AE,'유선_합계(수식)'!AA$1,0)</f>
        <v>#N/A</v>
      </c>
      <c r="AB27" s="718" t="e">
        <f>VLOOKUP($D27,유선목표!$A:$Z,AB$1,0)+VLOOKUP($D27,유선_약갱!$C:$AE,'유선_합계(수식)'!AB$1,0)</f>
        <v>#N/A</v>
      </c>
      <c r="AC27" s="718" t="e">
        <f>VLOOKUP($D27,유선목표!$A:$Z,AC$1,0)+VLOOKUP($D27,유선_약갱!$C:$AE,'유선_합계(수식)'!AC$1,0)</f>
        <v>#N/A</v>
      </c>
      <c r="AD27" s="718" t="e">
        <f>VLOOKUP($D27,유선목표!$A:$Z,AD$1,0)+VLOOKUP($D27,유선_약갱!$C:$AE,'유선_합계(수식)'!AD$1,0)</f>
        <v>#N/A</v>
      </c>
      <c r="AE27" s="718" t="e">
        <f>VLOOKUP($D27,유선목표!$A:$Z,AE$1,0)+VLOOKUP($D27,유선_약갱!$C:$AE,'유선_합계(수식)'!AE$1,0)</f>
        <v>#N/A</v>
      </c>
      <c r="AF27" s="718" t="e">
        <f>VLOOKUP($D27,유선목표!$A:$Z,AF$1,0)+VLOOKUP($D27,유선_약갱!$C:$AE,'유선_합계(수식)'!AF$1,0)</f>
        <v>#N/A</v>
      </c>
      <c r="AG27" s="718" t="e">
        <f>VLOOKUP($D27,유선목표!$A:$Z,AG$1,0)+VLOOKUP($D27,유선_약갱!$C:$AE,'유선_합계(수식)'!AG$1,0)</f>
        <v>#N/A</v>
      </c>
      <c r="AH27" s="718" t="e">
        <f>VLOOKUP($D27,유선목표!$A:$Z,AH$1,0)+VLOOKUP($D27,유선_약갱!$C:$AE,'유선_합계(수식)'!AH$1,0)</f>
        <v>#N/A</v>
      </c>
      <c r="AI27" s="718" t="e">
        <f>VLOOKUP($D27,유선목표!$A:$Z,AI$1,0)+VLOOKUP($D27,유선_약갱!$C:$AE,'유선_합계(수식)'!AI$1,0)</f>
        <v>#N/A</v>
      </c>
      <c r="AJ27" s="718" t="e">
        <f>VLOOKUP($D27,유선목표!$A:$Z,AJ$1,0)+VLOOKUP($D27,유선_약갱!$C:$AE,'유선_합계(수식)'!AJ$1,0)</f>
        <v>#N/A</v>
      </c>
    </row>
    <row r="28" spans="1:36" ht="24" customHeight="1">
      <c r="A28" s="714" t="e">
        <f>VLOOKUP(D28,#REF!,2,0)</f>
        <v>#REF!</v>
      </c>
      <c r="B28" s="710">
        <v>25</v>
      </c>
      <c r="C28" s="711" t="s">
        <v>629</v>
      </c>
      <c r="D28" s="711" t="s">
        <v>433</v>
      </c>
      <c r="E28" s="718" t="e">
        <f t="shared" si="0"/>
        <v>#N/A</v>
      </c>
      <c r="F28" s="718" t="e">
        <f>VLOOKUP($D28,유선목표!$A:$Z,F$1,0)+VLOOKUP($D28,유선_약갱!$C:$AE,'유선_합계(수식)'!F$1,0)</f>
        <v>#N/A</v>
      </c>
      <c r="G28" s="718" t="e">
        <f>VLOOKUP($D28,유선목표!$A:$Z,G$1,0)+VLOOKUP($D28,유선_약갱!$C:$AE,'유선_합계(수식)'!G$1,0)</f>
        <v>#N/A</v>
      </c>
      <c r="H28" s="718" t="e">
        <f>VLOOKUP($D28,유선목표!$A:$Z,H$1,0)+VLOOKUP($D28,유선_약갱!$C:$AE,'유선_합계(수식)'!H$1,0)</f>
        <v>#N/A</v>
      </c>
      <c r="I28" s="718" t="e">
        <f>VLOOKUP($D28,유선목표!$A:$Z,I$1,0)+VLOOKUP($D28,유선_약갱!$C:$AE,'유선_합계(수식)'!I$1,0)</f>
        <v>#N/A</v>
      </c>
      <c r="J28" s="718" t="e">
        <f>VLOOKUP($D28,유선목표!$A:$Z,J$1,0)+VLOOKUP($D28,유선_약갱!$C:$AE,'유선_합계(수식)'!J$1,0)</f>
        <v>#N/A</v>
      </c>
      <c r="K28" s="718" t="e">
        <f>VLOOKUP($D28,유선목표!$A:$Z,K$1,0)+VLOOKUP($D28,유선_약갱!$C:$AE,'유선_합계(수식)'!K$1,0)</f>
        <v>#N/A</v>
      </c>
      <c r="L28" s="718" t="e">
        <f>VLOOKUP($D28,유선목표!$A:$Z,L$1,0)+VLOOKUP($D28,유선_약갱!$C:$AE,'유선_합계(수식)'!L$1,0)</f>
        <v>#N/A</v>
      </c>
      <c r="M28" s="718" t="e">
        <f>VLOOKUP($D28,유선목표!$A:$Z,M$1,0)+VLOOKUP($D28,유선_약갱!$C:$AE,'유선_합계(수식)'!M$1,0)</f>
        <v>#N/A</v>
      </c>
      <c r="N28" s="718" t="e">
        <f>VLOOKUP($D28,유선목표!$A:$Z,N$1,0)+VLOOKUP($D28,유선_약갱!$C:$AE,'유선_합계(수식)'!N$1,0)</f>
        <v>#N/A</v>
      </c>
      <c r="O28" s="718" t="e">
        <f>VLOOKUP($D28,유선목표!$A:$Z,O$1,0)+VLOOKUP($D28,유선_약갱!$C:$AE,'유선_합계(수식)'!O$1,0)</f>
        <v>#N/A</v>
      </c>
      <c r="P28" s="718" t="e">
        <f>VLOOKUP($D28,유선목표!$A:$Z,P$1,0)+VLOOKUP($D28,유선_약갱!$C:$AE,'유선_합계(수식)'!P$1,0)</f>
        <v>#N/A</v>
      </c>
      <c r="Q28" s="718" t="e">
        <f>VLOOKUP($D28,유선목표!$A:$Z,Q$1,0)+VLOOKUP($D28,유선_약갱!$C:$AE,'유선_합계(수식)'!Q$1,0)</f>
        <v>#N/A</v>
      </c>
      <c r="R28" s="718" t="e">
        <f>VLOOKUP($D28,유선목표!$A:$Z,R$1,0)+VLOOKUP($D28,유선_약갱!$C:$AE,'유선_합계(수식)'!R$1,0)</f>
        <v>#N/A</v>
      </c>
      <c r="S28" s="718" t="e">
        <f>VLOOKUP($D28,유선목표!$A:$Z,S$1,0)+VLOOKUP($D28,유선_약갱!$C:$AE,'유선_합계(수식)'!S$1,0)</f>
        <v>#N/A</v>
      </c>
      <c r="T28" s="718" t="e">
        <f>VLOOKUP($D28,유선목표!$A:$Z,T$1,0)+VLOOKUP($D28,유선_약갱!$C:$AE,'유선_합계(수식)'!T$1,0)</f>
        <v>#N/A</v>
      </c>
      <c r="U28" s="718" t="e">
        <f>VLOOKUP($D28,유선목표!$A:$Z,U$1,0)+VLOOKUP($D28,유선_약갱!$C:$AE,'유선_합계(수식)'!U$1,0)</f>
        <v>#N/A</v>
      </c>
      <c r="V28" s="718" t="e">
        <f>VLOOKUP($D28,유선목표!$A:$Z,V$1,0)+VLOOKUP($D28,유선_약갱!$C:$AE,'유선_합계(수식)'!V$1,0)</f>
        <v>#N/A</v>
      </c>
      <c r="W28" s="718" t="e">
        <f>VLOOKUP($D28,유선목표!$A:$Z,W$1,0)+VLOOKUP($D28,유선_약갱!$C:$AE,'유선_합계(수식)'!W$1,0)</f>
        <v>#N/A</v>
      </c>
      <c r="X28" s="718" t="e">
        <f>VLOOKUP($D28,유선목표!$A:$Z,X$1,0)+VLOOKUP($D28,유선_약갱!$C:$AE,'유선_합계(수식)'!X$1,0)</f>
        <v>#N/A</v>
      </c>
      <c r="Y28" s="718" t="e">
        <f>VLOOKUP($D28,유선목표!$A:$Z,Y$1,0)+VLOOKUP($D28,유선_약갱!$C:$AE,'유선_합계(수식)'!Y$1,0)</f>
        <v>#N/A</v>
      </c>
      <c r="Z28" s="718" t="e">
        <f>VLOOKUP($D28,유선목표!$A:$Z,Z$1,0)+VLOOKUP($D28,유선_약갱!$C:$AE,'유선_합계(수식)'!Z$1,0)</f>
        <v>#N/A</v>
      </c>
      <c r="AA28" s="718" t="e">
        <f>VLOOKUP($D28,유선목표!$A:$Z,AA$1,0)+VLOOKUP($D28,유선_약갱!$C:$AE,'유선_합계(수식)'!AA$1,0)</f>
        <v>#N/A</v>
      </c>
      <c r="AB28" s="718" t="e">
        <f>VLOOKUP($D28,유선목표!$A:$Z,AB$1,0)+VLOOKUP($D28,유선_약갱!$C:$AE,'유선_합계(수식)'!AB$1,0)</f>
        <v>#N/A</v>
      </c>
      <c r="AC28" s="718" t="e">
        <f>VLOOKUP($D28,유선목표!$A:$Z,AC$1,0)+VLOOKUP($D28,유선_약갱!$C:$AE,'유선_합계(수식)'!AC$1,0)</f>
        <v>#N/A</v>
      </c>
      <c r="AD28" s="718" t="e">
        <f>VLOOKUP($D28,유선목표!$A:$Z,AD$1,0)+VLOOKUP($D28,유선_약갱!$C:$AE,'유선_합계(수식)'!AD$1,0)</f>
        <v>#N/A</v>
      </c>
      <c r="AE28" s="718" t="e">
        <f>VLOOKUP($D28,유선목표!$A:$Z,AE$1,0)+VLOOKUP($D28,유선_약갱!$C:$AE,'유선_합계(수식)'!AE$1,0)</f>
        <v>#N/A</v>
      </c>
      <c r="AF28" s="718" t="e">
        <f>VLOOKUP($D28,유선목표!$A:$Z,AF$1,0)+VLOOKUP($D28,유선_약갱!$C:$AE,'유선_합계(수식)'!AF$1,0)</f>
        <v>#N/A</v>
      </c>
      <c r="AG28" s="718" t="e">
        <f>VLOOKUP($D28,유선목표!$A:$Z,AG$1,0)+VLOOKUP($D28,유선_약갱!$C:$AE,'유선_합계(수식)'!AG$1,0)</f>
        <v>#N/A</v>
      </c>
      <c r="AH28" s="718" t="e">
        <f>VLOOKUP($D28,유선목표!$A:$Z,AH$1,0)+VLOOKUP($D28,유선_약갱!$C:$AE,'유선_합계(수식)'!AH$1,0)</f>
        <v>#N/A</v>
      </c>
      <c r="AI28" s="718" t="e">
        <f>VLOOKUP($D28,유선목표!$A:$Z,AI$1,0)+VLOOKUP($D28,유선_약갱!$C:$AE,'유선_합계(수식)'!AI$1,0)</f>
        <v>#N/A</v>
      </c>
      <c r="AJ28" s="718" t="e">
        <f>VLOOKUP($D28,유선목표!$A:$Z,AJ$1,0)+VLOOKUP($D28,유선_약갱!$C:$AE,'유선_합계(수식)'!AJ$1,0)</f>
        <v>#N/A</v>
      </c>
    </row>
    <row r="29" spans="1:36" ht="24" customHeight="1">
      <c r="A29" s="714" t="e">
        <f>VLOOKUP(D29,#REF!,2,0)</f>
        <v>#REF!</v>
      </c>
      <c r="B29" s="710">
        <v>26</v>
      </c>
      <c r="C29" s="711" t="s">
        <v>630</v>
      </c>
      <c r="D29" s="711" t="s">
        <v>421</v>
      </c>
      <c r="E29" s="718" t="e">
        <f t="shared" si="0"/>
        <v>#N/A</v>
      </c>
      <c r="F29" s="718" t="e">
        <f>VLOOKUP($D29,유선목표!$A:$Z,F$1,0)+VLOOKUP($D29,유선_약갱!$C:$AE,'유선_합계(수식)'!F$1,0)</f>
        <v>#N/A</v>
      </c>
      <c r="G29" s="718" t="e">
        <f>VLOOKUP($D29,유선목표!$A:$Z,G$1,0)+VLOOKUP($D29,유선_약갱!$C:$AE,'유선_합계(수식)'!G$1,0)</f>
        <v>#N/A</v>
      </c>
      <c r="H29" s="718" t="e">
        <f>VLOOKUP($D29,유선목표!$A:$Z,H$1,0)+VLOOKUP($D29,유선_약갱!$C:$AE,'유선_합계(수식)'!H$1,0)</f>
        <v>#N/A</v>
      </c>
      <c r="I29" s="718" t="e">
        <f>VLOOKUP($D29,유선목표!$A:$Z,I$1,0)+VLOOKUP($D29,유선_약갱!$C:$AE,'유선_합계(수식)'!I$1,0)</f>
        <v>#N/A</v>
      </c>
      <c r="J29" s="718" t="e">
        <f>VLOOKUP($D29,유선목표!$A:$Z,J$1,0)+VLOOKUP($D29,유선_약갱!$C:$AE,'유선_합계(수식)'!J$1,0)</f>
        <v>#N/A</v>
      </c>
      <c r="K29" s="718" t="e">
        <f>VLOOKUP($D29,유선목표!$A:$Z,K$1,0)+VLOOKUP($D29,유선_약갱!$C:$AE,'유선_합계(수식)'!K$1,0)</f>
        <v>#N/A</v>
      </c>
      <c r="L29" s="718" t="e">
        <f>VLOOKUP($D29,유선목표!$A:$Z,L$1,0)+VLOOKUP($D29,유선_약갱!$C:$AE,'유선_합계(수식)'!L$1,0)</f>
        <v>#N/A</v>
      </c>
      <c r="M29" s="718" t="e">
        <f>VLOOKUP($D29,유선목표!$A:$Z,M$1,0)+VLOOKUP($D29,유선_약갱!$C:$AE,'유선_합계(수식)'!M$1,0)</f>
        <v>#N/A</v>
      </c>
      <c r="N29" s="718" t="e">
        <f>VLOOKUP($D29,유선목표!$A:$Z,N$1,0)+VLOOKUP($D29,유선_약갱!$C:$AE,'유선_합계(수식)'!N$1,0)</f>
        <v>#N/A</v>
      </c>
      <c r="O29" s="718" t="e">
        <f>VLOOKUP($D29,유선목표!$A:$Z,O$1,0)+VLOOKUP($D29,유선_약갱!$C:$AE,'유선_합계(수식)'!O$1,0)</f>
        <v>#N/A</v>
      </c>
      <c r="P29" s="718" t="e">
        <f>VLOOKUP($D29,유선목표!$A:$Z,P$1,0)+VLOOKUP($D29,유선_약갱!$C:$AE,'유선_합계(수식)'!P$1,0)</f>
        <v>#N/A</v>
      </c>
      <c r="Q29" s="718" t="e">
        <f>VLOOKUP($D29,유선목표!$A:$Z,Q$1,0)+VLOOKUP($D29,유선_약갱!$C:$AE,'유선_합계(수식)'!Q$1,0)</f>
        <v>#N/A</v>
      </c>
      <c r="R29" s="718" t="e">
        <f>VLOOKUP($D29,유선목표!$A:$Z,R$1,0)+VLOOKUP($D29,유선_약갱!$C:$AE,'유선_합계(수식)'!R$1,0)</f>
        <v>#N/A</v>
      </c>
      <c r="S29" s="718" t="e">
        <f>VLOOKUP($D29,유선목표!$A:$Z,S$1,0)+VLOOKUP($D29,유선_약갱!$C:$AE,'유선_합계(수식)'!S$1,0)</f>
        <v>#N/A</v>
      </c>
      <c r="T29" s="718" t="e">
        <f>VLOOKUP($D29,유선목표!$A:$Z,T$1,0)+VLOOKUP($D29,유선_약갱!$C:$AE,'유선_합계(수식)'!T$1,0)</f>
        <v>#N/A</v>
      </c>
      <c r="U29" s="718" t="e">
        <f>VLOOKUP($D29,유선목표!$A:$Z,U$1,0)+VLOOKUP($D29,유선_약갱!$C:$AE,'유선_합계(수식)'!U$1,0)</f>
        <v>#N/A</v>
      </c>
      <c r="V29" s="718" t="e">
        <f>VLOOKUP($D29,유선목표!$A:$Z,V$1,0)+VLOOKUP($D29,유선_약갱!$C:$AE,'유선_합계(수식)'!V$1,0)</f>
        <v>#N/A</v>
      </c>
      <c r="W29" s="718" t="e">
        <f>VLOOKUP($D29,유선목표!$A:$Z,W$1,0)+VLOOKUP($D29,유선_약갱!$C:$AE,'유선_합계(수식)'!W$1,0)</f>
        <v>#N/A</v>
      </c>
      <c r="X29" s="718" t="e">
        <f>VLOOKUP($D29,유선목표!$A:$Z,X$1,0)+VLOOKUP($D29,유선_약갱!$C:$AE,'유선_합계(수식)'!X$1,0)</f>
        <v>#N/A</v>
      </c>
      <c r="Y29" s="718" t="e">
        <f>VLOOKUP($D29,유선목표!$A:$Z,Y$1,0)+VLOOKUP($D29,유선_약갱!$C:$AE,'유선_합계(수식)'!Y$1,0)</f>
        <v>#N/A</v>
      </c>
      <c r="Z29" s="718" t="e">
        <f>VLOOKUP($D29,유선목표!$A:$Z,Z$1,0)+VLOOKUP($D29,유선_약갱!$C:$AE,'유선_합계(수식)'!Z$1,0)</f>
        <v>#N/A</v>
      </c>
      <c r="AA29" s="718" t="e">
        <f>VLOOKUP($D29,유선목표!$A:$Z,AA$1,0)+VLOOKUP($D29,유선_약갱!$C:$AE,'유선_합계(수식)'!AA$1,0)</f>
        <v>#N/A</v>
      </c>
      <c r="AB29" s="718" t="e">
        <f>VLOOKUP($D29,유선목표!$A:$Z,AB$1,0)+VLOOKUP($D29,유선_약갱!$C:$AE,'유선_합계(수식)'!AB$1,0)</f>
        <v>#N/A</v>
      </c>
      <c r="AC29" s="718" t="e">
        <f>VLOOKUP($D29,유선목표!$A:$Z,AC$1,0)+VLOOKUP($D29,유선_약갱!$C:$AE,'유선_합계(수식)'!AC$1,0)</f>
        <v>#N/A</v>
      </c>
      <c r="AD29" s="718" t="e">
        <f>VLOOKUP($D29,유선목표!$A:$Z,AD$1,0)+VLOOKUP($D29,유선_약갱!$C:$AE,'유선_합계(수식)'!AD$1,0)</f>
        <v>#N/A</v>
      </c>
      <c r="AE29" s="718" t="e">
        <f>VLOOKUP($D29,유선목표!$A:$Z,AE$1,0)+VLOOKUP($D29,유선_약갱!$C:$AE,'유선_합계(수식)'!AE$1,0)</f>
        <v>#N/A</v>
      </c>
      <c r="AF29" s="718" t="e">
        <f>VLOOKUP($D29,유선목표!$A:$Z,AF$1,0)+VLOOKUP($D29,유선_약갱!$C:$AE,'유선_합계(수식)'!AF$1,0)</f>
        <v>#N/A</v>
      </c>
      <c r="AG29" s="718" t="e">
        <f>VLOOKUP($D29,유선목표!$A:$Z,AG$1,0)+VLOOKUP($D29,유선_약갱!$C:$AE,'유선_합계(수식)'!AG$1,0)</f>
        <v>#N/A</v>
      </c>
      <c r="AH29" s="718" t="e">
        <f>VLOOKUP($D29,유선목표!$A:$Z,AH$1,0)+VLOOKUP($D29,유선_약갱!$C:$AE,'유선_합계(수식)'!AH$1,0)</f>
        <v>#N/A</v>
      </c>
      <c r="AI29" s="718" t="e">
        <f>VLOOKUP($D29,유선목표!$A:$Z,AI$1,0)+VLOOKUP($D29,유선_약갱!$C:$AE,'유선_합계(수식)'!AI$1,0)</f>
        <v>#N/A</v>
      </c>
      <c r="AJ29" s="718" t="e">
        <f>VLOOKUP($D29,유선목표!$A:$Z,AJ$1,0)+VLOOKUP($D29,유선_약갱!$C:$AE,'유선_합계(수식)'!AJ$1,0)</f>
        <v>#N/A</v>
      </c>
    </row>
    <row r="30" spans="1:36" ht="24" customHeight="1">
      <c r="A30" s="714" t="e">
        <f>VLOOKUP(D30,#REF!,2,0)</f>
        <v>#REF!</v>
      </c>
      <c r="B30" s="710">
        <v>27</v>
      </c>
      <c r="C30" s="711" t="s">
        <v>631</v>
      </c>
      <c r="D30" s="711" t="s">
        <v>435</v>
      </c>
      <c r="E30" s="718" t="e">
        <f t="shared" si="0"/>
        <v>#N/A</v>
      </c>
      <c r="F30" s="718" t="e">
        <f>VLOOKUP($D30,유선목표!$A:$Z,F$1,0)+VLOOKUP($D30,유선_약갱!$C:$AE,'유선_합계(수식)'!F$1,0)</f>
        <v>#N/A</v>
      </c>
      <c r="G30" s="718" t="e">
        <f>VLOOKUP($D30,유선목표!$A:$Z,G$1,0)+VLOOKUP($D30,유선_약갱!$C:$AE,'유선_합계(수식)'!G$1,0)</f>
        <v>#N/A</v>
      </c>
      <c r="H30" s="718" t="e">
        <f>VLOOKUP($D30,유선목표!$A:$Z,H$1,0)+VLOOKUP($D30,유선_약갱!$C:$AE,'유선_합계(수식)'!H$1,0)</f>
        <v>#N/A</v>
      </c>
      <c r="I30" s="718" t="e">
        <f>VLOOKUP($D30,유선목표!$A:$Z,I$1,0)+VLOOKUP($D30,유선_약갱!$C:$AE,'유선_합계(수식)'!I$1,0)</f>
        <v>#N/A</v>
      </c>
      <c r="J30" s="718" t="e">
        <f>VLOOKUP($D30,유선목표!$A:$Z,J$1,0)+VLOOKUP($D30,유선_약갱!$C:$AE,'유선_합계(수식)'!J$1,0)</f>
        <v>#N/A</v>
      </c>
      <c r="K30" s="718" t="e">
        <f>VLOOKUP($D30,유선목표!$A:$Z,K$1,0)+VLOOKUP($D30,유선_약갱!$C:$AE,'유선_합계(수식)'!K$1,0)</f>
        <v>#N/A</v>
      </c>
      <c r="L30" s="718" t="e">
        <f>VLOOKUP($D30,유선목표!$A:$Z,L$1,0)+VLOOKUP($D30,유선_약갱!$C:$AE,'유선_합계(수식)'!L$1,0)</f>
        <v>#N/A</v>
      </c>
      <c r="M30" s="718" t="e">
        <f>VLOOKUP($D30,유선목표!$A:$Z,M$1,0)+VLOOKUP($D30,유선_약갱!$C:$AE,'유선_합계(수식)'!M$1,0)</f>
        <v>#N/A</v>
      </c>
      <c r="N30" s="718" t="e">
        <f>VLOOKUP($D30,유선목표!$A:$Z,N$1,0)+VLOOKUP($D30,유선_약갱!$C:$AE,'유선_합계(수식)'!N$1,0)</f>
        <v>#N/A</v>
      </c>
      <c r="O30" s="718" t="e">
        <f>VLOOKUP($D30,유선목표!$A:$Z,O$1,0)+VLOOKUP($D30,유선_약갱!$C:$AE,'유선_합계(수식)'!O$1,0)</f>
        <v>#N/A</v>
      </c>
      <c r="P30" s="718" t="e">
        <f>VLOOKUP($D30,유선목표!$A:$Z,P$1,0)+VLOOKUP($D30,유선_약갱!$C:$AE,'유선_합계(수식)'!P$1,0)</f>
        <v>#N/A</v>
      </c>
      <c r="Q30" s="718" t="e">
        <f>VLOOKUP($D30,유선목표!$A:$Z,Q$1,0)+VLOOKUP($D30,유선_약갱!$C:$AE,'유선_합계(수식)'!Q$1,0)</f>
        <v>#N/A</v>
      </c>
      <c r="R30" s="718" t="e">
        <f>VLOOKUP($D30,유선목표!$A:$Z,R$1,0)+VLOOKUP($D30,유선_약갱!$C:$AE,'유선_합계(수식)'!R$1,0)</f>
        <v>#N/A</v>
      </c>
      <c r="S30" s="718" t="e">
        <f>VLOOKUP($D30,유선목표!$A:$Z,S$1,0)+VLOOKUP($D30,유선_약갱!$C:$AE,'유선_합계(수식)'!S$1,0)</f>
        <v>#N/A</v>
      </c>
      <c r="T30" s="718" t="e">
        <f>VLOOKUP($D30,유선목표!$A:$Z,T$1,0)+VLOOKUP($D30,유선_약갱!$C:$AE,'유선_합계(수식)'!T$1,0)</f>
        <v>#N/A</v>
      </c>
      <c r="U30" s="718" t="e">
        <f>VLOOKUP($D30,유선목표!$A:$Z,U$1,0)+VLOOKUP($D30,유선_약갱!$C:$AE,'유선_합계(수식)'!U$1,0)</f>
        <v>#N/A</v>
      </c>
      <c r="V30" s="718" t="e">
        <f>VLOOKUP($D30,유선목표!$A:$Z,V$1,0)+VLOOKUP($D30,유선_약갱!$C:$AE,'유선_합계(수식)'!V$1,0)</f>
        <v>#N/A</v>
      </c>
      <c r="W30" s="718" t="e">
        <f>VLOOKUP($D30,유선목표!$A:$Z,W$1,0)+VLOOKUP($D30,유선_약갱!$C:$AE,'유선_합계(수식)'!W$1,0)</f>
        <v>#N/A</v>
      </c>
      <c r="X30" s="718" t="e">
        <f>VLOOKUP($D30,유선목표!$A:$Z,X$1,0)+VLOOKUP($D30,유선_약갱!$C:$AE,'유선_합계(수식)'!X$1,0)</f>
        <v>#N/A</v>
      </c>
      <c r="Y30" s="718" t="e">
        <f>VLOOKUP($D30,유선목표!$A:$Z,Y$1,0)+VLOOKUP($D30,유선_약갱!$C:$AE,'유선_합계(수식)'!Y$1,0)</f>
        <v>#N/A</v>
      </c>
      <c r="Z30" s="718" t="e">
        <f>VLOOKUP($D30,유선목표!$A:$Z,Z$1,0)+VLOOKUP($D30,유선_약갱!$C:$AE,'유선_합계(수식)'!Z$1,0)</f>
        <v>#N/A</v>
      </c>
      <c r="AA30" s="718" t="e">
        <f>VLOOKUP($D30,유선목표!$A:$Z,AA$1,0)+VLOOKUP($D30,유선_약갱!$C:$AE,'유선_합계(수식)'!AA$1,0)</f>
        <v>#N/A</v>
      </c>
      <c r="AB30" s="718" t="e">
        <f>VLOOKUP($D30,유선목표!$A:$Z,AB$1,0)+VLOOKUP($D30,유선_약갱!$C:$AE,'유선_합계(수식)'!AB$1,0)</f>
        <v>#N/A</v>
      </c>
      <c r="AC30" s="718" t="e">
        <f>VLOOKUP($D30,유선목표!$A:$Z,AC$1,0)+VLOOKUP($D30,유선_약갱!$C:$AE,'유선_합계(수식)'!AC$1,0)</f>
        <v>#N/A</v>
      </c>
      <c r="AD30" s="718" t="e">
        <f>VLOOKUP($D30,유선목표!$A:$Z,AD$1,0)+VLOOKUP($D30,유선_약갱!$C:$AE,'유선_합계(수식)'!AD$1,0)</f>
        <v>#N/A</v>
      </c>
      <c r="AE30" s="718" t="e">
        <f>VLOOKUP($D30,유선목표!$A:$Z,AE$1,0)+VLOOKUP($D30,유선_약갱!$C:$AE,'유선_합계(수식)'!AE$1,0)</f>
        <v>#N/A</v>
      </c>
      <c r="AF30" s="718" t="e">
        <f>VLOOKUP($D30,유선목표!$A:$Z,AF$1,0)+VLOOKUP($D30,유선_약갱!$C:$AE,'유선_합계(수식)'!AF$1,0)</f>
        <v>#N/A</v>
      </c>
      <c r="AG30" s="718" t="e">
        <f>VLOOKUP($D30,유선목표!$A:$Z,AG$1,0)+VLOOKUP($D30,유선_약갱!$C:$AE,'유선_합계(수식)'!AG$1,0)</f>
        <v>#N/A</v>
      </c>
      <c r="AH30" s="718" t="e">
        <f>VLOOKUP($D30,유선목표!$A:$Z,AH$1,0)+VLOOKUP($D30,유선_약갱!$C:$AE,'유선_합계(수식)'!AH$1,0)</f>
        <v>#N/A</v>
      </c>
      <c r="AI30" s="718" t="e">
        <f>VLOOKUP($D30,유선목표!$A:$Z,AI$1,0)+VLOOKUP($D30,유선_약갱!$C:$AE,'유선_합계(수식)'!AI$1,0)</f>
        <v>#N/A</v>
      </c>
      <c r="AJ30" s="718" t="e">
        <f>VLOOKUP($D30,유선목표!$A:$Z,AJ$1,0)+VLOOKUP($D30,유선_약갱!$C:$AE,'유선_합계(수식)'!AJ$1,0)</f>
        <v>#N/A</v>
      </c>
    </row>
    <row r="31" spans="1:36" ht="24" customHeight="1">
      <c r="A31" s="714" t="e">
        <f>VLOOKUP(D31,#REF!,2,0)</f>
        <v>#REF!</v>
      </c>
      <c r="B31" s="710">
        <v>28</v>
      </c>
      <c r="C31" s="711" t="s">
        <v>632</v>
      </c>
      <c r="D31" s="711" t="s">
        <v>438</v>
      </c>
      <c r="E31" s="718" t="e">
        <f t="shared" si="0"/>
        <v>#N/A</v>
      </c>
      <c r="F31" s="718" t="e">
        <f>VLOOKUP($D31,유선목표!$A:$Z,F$1,0)+VLOOKUP($D31,유선_약갱!$C:$AE,'유선_합계(수식)'!F$1,0)</f>
        <v>#N/A</v>
      </c>
      <c r="G31" s="718" t="e">
        <f>VLOOKUP($D31,유선목표!$A:$Z,G$1,0)+VLOOKUP($D31,유선_약갱!$C:$AE,'유선_합계(수식)'!G$1,0)</f>
        <v>#N/A</v>
      </c>
      <c r="H31" s="718" t="e">
        <f>VLOOKUP($D31,유선목표!$A:$Z,H$1,0)+VLOOKUP($D31,유선_약갱!$C:$AE,'유선_합계(수식)'!H$1,0)</f>
        <v>#N/A</v>
      </c>
      <c r="I31" s="718" t="e">
        <f>VLOOKUP($D31,유선목표!$A:$Z,I$1,0)+VLOOKUP($D31,유선_약갱!$C:$AE,'유선_합계(수식)'!I$1,0)</f>
        <v>#N/A</v>
      </c>
      <c r="J31" s="718" t="e">
        <f>VLOOKUP($D31,유선목표!$A:$Z,J$1,0)+VLOOKUP($D31,유선_약갱!$C:$AE,'유선_합계(수식)'!J$1,0)</f>
        <v>#N/A</v>
      </c>
      <c r="K31" s="718" t="e">
        <f>VLOOKUP($D31,유선목표!$A:$Z,K$1,0)+VLOOKUP($D31,유선_약갱!$C:$AE,'유선_합계(수식)'!K$1,0)</f>
        <v>#N/A</v>
      </c>
      <c r="L31" s="718" t="e">
        <f>VLOOKUP($D31,유선목표!$A:$Z,L$1,0)+VLOOKUP($D31,유선_약갱!$C:$AE,'유선_합계(수식)'!L$1,0)</f>
        <v>#N/A</v>
      </c>
      <c r="M31" s="718" t="e">
        <f>VLOOKUP($D31,유선목표!$A:$Z,M$1,0)+VLOOKUP($D31,유선_약갱!$C:$AE,'유선_합계(수식)'!M$1,0)</f>
        <v>#N/A</v>
      </c>
      <c r="N31" s="718" t="e">
        <f>VLOOKUP($D31,유선목표!$A:$Z,N$1,0)+VLOOKUP($D31,유선_약갱!$C:$AE,'유선_합계(수식)'!N$1,0)</f>
        <v>#N/A</v>
      </c>
      <c r="O31" s="718" t="e">
        <f>VLOOKUP($D31,유선목표!$A:$Z,O$1,0)+VLOOKUP($D31,유선_약갱!$C:$AE,'유선_합계(수식)'!O$1,0)</f>
        <v>#N/A</v>
      </c>
      <c r="P31" s="718" t="e">
        <f>VLOOKUP($D31,유선목표!$A:$Z,P$1,0)+VLOOKUP($D31,유선_약갱!$C:$AE,'유선_합계(수식)'!P$1,0)</f>
        <v>#N/A</v>
      </c>
      <c r="Q31" s="718" t="e">
        <f>VLOOKUP($D31,유선목표!$A:$Z,Q$1,0)+VLOOKUP($D31,유선_약갱!$C:$AE,'유선_합계(수식)'!Q$1,0)</f>
        <v>#N/A</v>
      </c>
      <c r="R31" s="718" t="e">
        <f>VLOOKUP($D31,유선목표!$A:$Z,R$1,0)+VLOOKUP($D31,유선_약갱!$C:$AE,'유선_합계(수식)'!R$1,0)</f>
        <v>#N/A</v>
      </c>
      <c r="S31" s="718" t="e">
        <f>VLOOKUP($D31,유선목표!$A:$Z,S$1,0)+VLOOKUP($D31,유선_약갱!$C:$AE,'유선_합계(수식)'!S$1,0)</f>
        <v>#N/A</v>
      </c>
      <c r="T31" s="718" t="e">
        <f>VLOOKUP($D31,유선목표!$A:$Z,T$1,0)+VLOOKUP($D31,유선_약갱!$C:$AE,'유선_합계(수식)'!T$1,0)</f>
        <v>#N/A</v>
      </c>
      <c r="U31" s="718" t="e">
        <f>VLOOKUP($D31,유선목표!$A:$Z,U$1,0)+VLOOKUP($D31,유선_약갱!$C:$AE,'유선_합계(수식)'!U$1,0)</f>
        <v>#N/A</v>
      </c>
      <c r="V31" s="718" t="e">
        <f>VLOOKUP($D31,유선목표!$A:$Z,V$1,0)+VLOOKUP($D31,유선_약갱!$C:$AE,'유선_합계(수식)'!V$1,0)</f>
        <v>#N/A</v>
      </c>
      <c r="W31" s="718" t="e">
        <f>VLOOKUP($D31,유선목표!$A:$Z,W$1,0)+VLOOKUP($D31,유선_약갱!$C:$AE,'유선_합계(수식)'!W$1,0)</f>
        <v>#N/A</v>
      </c>
      <c r="X31" s="718" t="e">
        <f>VLOOKUP($D31,유선목표!$A:$Z,X$1,0)+VLOOKUP($D31,유선_약갱!$C:$AE,'유선_합계(수식)'!X$1,0)</f>
        <v>#N/A</v>
      </c>
      <c r="Y31" s="718" t="e">
        <f>VLOOKUP($D31,유선목표!$A:$Z,Y$1,0)+VLOOKUP($D31,유선_약갱!$C:$AE,'유선_합계(수식)'!Y$1,0)</f>
        <v>#N/A</v>
      </c>
      <c r="Z31" s="718" t="e">
        <f>VLOOKUP($D31,유선목표!$A:$Z,Z$1,0)+VLOOKUP($D31,유선_약갱!$C:$AE,'유선_합계(수식)'!Z$1,0)</f>
        <v>#N/A</v>
      </c>
      <c r="AA31" s="718" t="e">
        <f>VLOOKUP($D31,유선목표!$A:$Z,AA$1,0)+VLOOKUP($D31,유선_약갱!$C:$AE,'유선_합계(수식)'!AA$1,0)</f>
        <v>#N/A</v>
      </c>
      <c r="AB31" s="718" t="e">
        <f>VLOOKUP($D31,유선목표!$A:$Z,AB$1,0)+VLOOKUP($D31,유선_약갱!$C:$AE,'유선_합계(수식)'!AB$1,0)</f>
        <v>#N/A</v>
      </c>
      <c r="AC31" s="718" t="e">
        <f>VLOOKUP($D31,유선목표!$A:$Z,AC$1,0)+VLOOKUP($D31,유선_약갱!$C:$AE,'유선_합계(수식)'!AC$1,0)</f>
        <v>#N/A</v>
      </c>
      <c r="AD31" s="718" t="e">
        <f>VLOOKUP($D31,유선목표!$A:$Z,AD$1,0)+VLOOKUP($D31,유선_약갱!$C:$AE,'유선_합계(수식)'!AD$1,0)</f>
        <v>#N/A</v>
      </c>
      <c r="AE31" s="718" t="e">
        <f>VLOOKUP($D31,유선목표!$A:$Z,AE$1,0)+VLOOKUP($D31,유선_약갱!$C:$AE,'유선_합계(수식)'!AE$1,0)</f>
        <v>#N/A</v>
      </c>
      <c r="AF31" s="718" t="e">
        <f>VLOOKUP($D31,유선목표!$A:$Z,AF$1,0)+VLOOKUP($D31,유선_약갱!$C:$AE,'유선_합계(수식)'!AF$1,0)</f>
        <v>#N/A</v>
      </c>
      <c r="AG31" s="718" t="e">
        <f>VLOOKUP($D31,유선목표!$A:$Z,AG$1,0)+VLOOKUP($D31,유선_약갱!$C:$AE,'유선_합계(수식)'!AG$1,0)</f>
        <v>#N/A</v>
      </c>
      <c r="AH31" s="718" t="e">
        <f>VLOOKUP($D31,유선목표!$A:$Z,AH$1,0)+VLOOKUP($D31,유선_약갱!$C:$AE,'유선_합계(수식)'!AH$1,0)</f>
        <v>#N/A</v>
      </c>
      <c r="AI31" s="718" t="e">
        <f>VLOOKUP($D31,유선목표!$A:$Z,AI$1,0)+VLOOKUP($D31,유선_약갱!$C:$AE,'유선_합계(수식)'!AI$1,0)</f>
        <v>#N/A</v>
      </c>
      <c r="AJ31" s="718" t="e">
        <f>VLOOKUP($D31,유선목표!$A:$Z,AJ$1,0)+VLOOKUP($D31,유선_약갱!$C:$AE,'유선_합계(수식)'!AJ$1,0)</f>
        <v>#N/A</v>
      </c>
    </row>
    <row r="32" spans="1:36" ht="24" customHeight="1">
      <c r="A32" s="714" t="e">
        <f>VLOOKUP(D32,#REF!,2,0)</f>
        <v>#REF!</v>
      </c>
      <c r="B32" s="710">
        <v>29</v>
      </c>
      <c r="C32" s="711" t="s">
        <v>633</v>
      </c>
      <c r="D32" s="711" t="s">
        <v>427</v>
      </c>
      <c r="E32" s="718" t="e">
        <f t="shared" si="0"/>
        <v>#N/A</v>
      </c>
      <c r="F32" s="718" t="e">
        <f>VLOOKUP($D32,유선목표!$A:$Z,F$1,0)+VLOOKUP($D32,유선_약갱!$C:$AE,'유선_합계(수식)'!F$1,0)</f>
        <v>#N/A</v>
      </c>
      <c r="G32" s="718" t="e">
        <f>VLOOKUP($D32,유선목표!$A:$Z,G$1,0)+VLOOKUP($D32,유선_약갱!$C:$AE,'유선_합계(수식)'!G$1,0)</f>
        <v>#N/A</v>
      </c>
      <c r="H32" s="718" t="e">
        <f>VLOOKUP($D32,유선목표!$A:$Z,H$1,0)+VLOOKUP($D32,유선_약갱!$C:$AE,'유선_합계(수식)'!H$1,0)</f>
        <v>#N/A</v>
      </c>
      <c r="I32" s="718" t="e">
        <f>VLOOKUP($D32,유선목표!$A:$Z,I$1,0)+VLOOKUP($D32,유선_약갱!$C:$AE,'유선_합계(수식)'!I$1,0)</f>
        <v>#N/A</v>
      </c>
      <c r="J32" s="718" t="e">
        <f>VLOOKUP($D32,유선목표!$A:$Z,J$1,0)+VLOOKUP($D32,유선_약갱!$C:$AE,'유선_합계(수식)'!J$1,0)</f>
        <v>#N/A</v>
      </c>
      <c r="K32" s="718" t="e">
        <f>VLOOKUP($D32,유선목표!$A:$Z,K$1,0)+VLOOKUP($D32,유선_약갱!$C:$AE,'유선_합계(수식)'!K$1,0)</f>
        <v>#N/A</v>
      </c>
      <c r="L32" s="718" t="e">
        <f>VLOOKUP($D32,유선목표!$A:$Z,L$1,0)+VLOOKUP($D32,유선_약갱!$C:$AE,'유선_합계(수식)'!L$1,0)</f>
        <v>#N/A</v>
      </c>
      <c r="M32" s="718" t="e">
        <f>VLOOKUP($D32,유선목표!$A:$Z,M$1,0)+VLOOKUP($D32,유선_약갱!$C:$AE,'유선_합계(수식)'!M$1,0)</f>
        <v>#N/A</v>
      </c>
      <c r="N32" s="718" t="e">
        <f>VLOOKUP($D32,유선목표!$A:$Z,N$1,0)+VLOOKUP($D32,유선_약갱!$C:$AE,'유선_합계(수식)'!N$1,0)</f>
        <v>#N/A</v>
      </c>
      <c r="O32" s="718" t="e">
        <f>VLOOKUP($D32,유선목표!$A:$Z,O$1,0)+VLOOKUP($D32,유선_약갱!$C:$AE,'유선_합계(수식)'!O$1,0)</f>
        <v>#N/A</v>
      </c>
      <c r="P32" s="718" t="e">
        <f>VLOOKUP($D32,유선목표!$A:$Z,P$1,0)+VLOOKUP($D32,유선_약갱!$C:$AE,'유선_합계(수식)'!P$1,0)</f>
        <v>#N/A</v>
      </c>
      <c r="Q32" s="718" t="e">
        <f>VLOOKUP($D32,유선목표!$A:$Z,Q$1,0)+VLOOKUP($D32,유선_약갱!$C:$AE,'유선_합계(수식)'!Q$1,0)</f>
        <v>#N/A</v>
      </c>
      <c r="R32" s="718" t="e">
        <f>VLOOKUP($D32,유선목표!$A:$Z,R$1,0)+VLOOKUP($D32,유선_약갱!$C:$AE,'유선_합계(수식)'!R$1,0)</f>
        <v>#N/A</v>
      </c>
      <c r="S32" s="718" t="e">
        <f>VLOOKUP($D32,유선목표!$A:$Z,S$1,0)+VLOOKUP($D32,유선_약갱!$C:$AE,'유선_합계(수식)'!S$1,0)</f>
        <v>#N/A</v>
      </c>
      <c r="T32" s="718" t="e">
        <f>VLOOKUP($D32,유선목표!$A:$Z,T$1,0)+VLOOKUP($D32,유선_약갱!$C:$AE,'유선_합계(수식)'!T$1,0)</f>
        <v>#N/A</v>
      </c>
      <c r="U32" s="718" t="e">
        <f>VLOOKUP($D32,유선목표!$A:$Z,U$1,0)+VLOOKUP($D32,유선_약갱!$C:$AE,'유선_합계(수식)'!U$1,0)</f>
        <v>#N/A</v>
      </c>
      <c r="V32" s="718" t="e">
        <f>VLOOKUP($D32,유선목표!$A:$Z,V$1,0)+VLOOKUP($D32,유선_약갱!$C:$AE,'유선_합계(수식)'!V$1,0)</f>
        <v>#N/A</v>
      </c>
      <c r="W32" s="718" t="e">
        <f>VLOOKUP($D32,유선목표!$A:$Z,W$1,0)+VLOOKUP($D32,유선_약갱!$C:$AE,'유선_합계(수식)'!W$1,0)</f>
        <v>#N/A</v>
      </c>
      <c r="X32" s="718" t="e">
        <f>VLOOKUP($D32,유선목표!$A:$Z,X$1,0)+VLOOKUP($D32,유선_약갱!$C:$AE,'유선_합계(수식)'!X$1,0)</f>
        <v>#N/A</v>
      </c>
      <c r="Y32" s="718" t="e">
        <f>VLOOKUP($D32,유선목표!$A:$Z,Y$1,0)+VLOOKUP($D32,유선_약갱!$C:$AE,'유선_합계(수식)'!Y$1,0)</f>
        <v>#N/A</v>
      </c>
      <c r="Z32" s="718" t="e">
        <f>VLOOKUP($D32,유선목표!$A:$Z,Z$1,0)+VLOOKUP($D32,유선_약갱!$C:$AE,'유선_합계(수식)'!Z$1,0)</f>
        <v>#N/A</v>
      </c>
      <c r="AA32" s="718" t="e">
        <f>VLOOKUP($D32,유선목표!$A:$Z,AA$1,0)+VLOOKUP($D32,유선_약갱!$C:$AE,'유선_합계(수식)'!AA$1,0)</f>
        <v>#N/A</v>
      </c>
      <c r="AB32" s="718" t="e">
        <f>VLOOKUP($D32,유선목표!$A:$Z,AB$1,0)+VLOOKUP($D32,유선_약갱!$C:$AE,'유선_합계(수식)'!AB$1,0)</f>
        <v>#N/A</v>
      </c>
      <c r="AC32" s="718" t="e">
        <f>VLOOKUP($D32,유선목표!$A:$Z,AC$1,0)+VLOOKUP($D32,유선_약갱!$C:$AE,'유선_합계(수식)'!AC$1,0)</f>
        <v>#N/A</v>
      </c>
      <c r="AD32" s="718" t="e">
        <f>VLOOKUP($D32,유선목표!$A:$Z,AD$1,0)+VLOOKUP($D32,유선_약갱!$C:$AE,'유선_합계(수식)'!AD$1,0)</f>
        <v>#N/A</v>
      </c>
      <c r="AE32" s="718" t="e">
        <f>VLOOKUP($D32,유선목표!$A:$Z,AE$1,0)+VLOOKUP($D32,유선_약갱!$C:$AE,'유선_합계(수식)'!AE$1,0)</f>
        <v>#N/A</v>
      </c>
      <c r="AF32" s="718" t="e">
        <f>VLOOKUP($D32,유선목표!$A:$Z,AF$1,0)+VLOOKUP($D32,유선_약갱!$C:$AE,'유선_합계(수식)'!AF$1,0)</f>
        <v>#N/A</v>
      </c>
      <c r="AG32" s="718" t="e">
        <f>VLOOKUP($D32,유선목표!$A:$Z,AG$1,0)+VLOOKUP($D32,유선_약갱!$C:$AE,'유선_합계(수식)'!AG$1,0)</f>
        <v>#N/A</v>
      </c>
      <c r="AH32" s="718" t="e">
        <f>VLOOKUP($D32,유선목표!$A:$Z,AH$1,0)+VLOOKUP($D32,유선_약갱!$C:$AE,'유선_합계(수식)'!AH$1,0)</f>
        <v>#N/A</v>
      </c>
      <c r="AI32" s="718" t="e">
        <f>VLOOKUP($D32,유선목표!$A:$Z,AI$1,0)+VLOOKUP($D32,유선_약갱!$C:$AE,'유선_합계(수식)'!AI$1,0)</f>
        <v>#N/A</v>
      </c>
      <c r="AJ32" s="718" t="e">
        <f>VLOOKUP($D32,유선목표!$A:$Z,AJ$1,0)+VLOOKUP($D32,유선_약갱!$C:$AE,'유선_합계(수식)'!AJ$1,0)</f>
        <v>#N/A</v>
      </c>
    </row>
    <row r="33" spans="1:36" ht="24" customHeight="1">
      <c r="A33" s="714" t="e">
        <f>VLOOKUP(D33,#REF!,2,0)</f>
        <v>#REF!</v>
      </c>
      <c r="B33" s="710">
        <v>30</v>
      </c>
      <c r="C33" s="711" t="s">
        <v>634</v>
      </c>
      <c r="D33" s="711" t="s">
        <v>423</v>
      </c>
      <c r="E33" s="718" t="e">
        <f t="shared" si="0"/>
        <v>#N/A</v>
      </c>
      <c r="F33" s="718" t="e">
        <f>VLOOKUP($D33,유선목표!$A:$Z,F$1,0)+VLOOKUP($D33,유선_약갱!$C:$AE,'유선_합계(수식)'!F$1,0)</f>
        <v>#N/A</v>
      </c>
      <c r="G33" s="718" t="e">
        <f>VLOOKUP($D33,유선목표!$A:$Z,G$1,0)+VLOOKUP($D33,유선_약갱!$C:$AE,'유선_합계(수식)'!G$1,0)</f>
        <v>#N/A</v>
      </c>
      <c r="H33" s="718" t="e">
        <f>VLOOKUP($D33,유선목표!$A:$Z,H$1,0)+VLOOKUP($D33,유선_약갱!$C:$AE,'유선_합계(수식)'!H$1,0)</f>
        <v>#N/A</v>
      </c>
      <c r="I33" s="718" t="e">
        <f>VLOOKUP($D33,유선목표!$A:$Z,I$1,0)+VLOOKUP($D33,유선_약갱!$C:$AE,'유선_합계(수식)'!I$1,0)</f>
        <v>#N/A</v>
      </c>
      <c r="J33" s="718" t="e">
        <f>VLOOKUP($D33,유선목표!$A:$Z,J$1,0)+VLOOKUP($D33,유선_약갱!$C:$AE,'유선_합계(수식)'!J$1,0)</f>
        <v>#N/A</v>
      </c>
      <c r="K33" s="718" t="e">
        <f>VLOOKUP($D33,유선목표!$A:$Z,K$1,0)+VLOOKUP($D33,유선_약갱!$C:$AE,'유선_합계(수식)'!K$1,0)</f>
        <v>#N/A</v>
      </c>
      <c r="L33" s="718" t="e">
        <f>VLOOKUP($D33,유선목표!$A:$Z,L$1,0)+VLOOKUP($D33,유선_약갱!$C:$AE,'유선_합계(수식)'!L$1,0)</f>
        <v>#N/A</v>
      </c>
      <c r="M33" s="718" t="e">
        <f>VLOOKUP($D33,유선목표!$A:$Z,M$1,0)+VLOOKUP($D33,유선_약갱!$C:$AE,'유선_합계(수식)'!M$1,0)</f>
        <v>#N/A</v>
      </c>
      <c r="N33" s="718" t="e">
        <f>VLOOKUP($D33,유선목표!$A:$Z,N$1,0)+VLOOKUP($D33,유선_약갱!$C:$AE,'유선_합계(수식)'!N$1,0)</f>
        <v>#N/A</v>
      </c>
      <c r="O33" s="718" t="e">
        <f>VLOOKUP($D33,유선목표!$A:$Z,O$1,0)+VLOOKUP($D33,유선_약갱!$C:$AE,'유선_합계(수식)'!O$1,0)</f>
        <v>#N/A</v>
      </c>
      <c r="P33" s="718" t="e">
        <f>VLOOKUP($D33,유선목표!$A:$Z,P$1,0)+VLOOKUP($D33,유선_약갱!$C:$AE,'유선_합계(수식)'!P$1,0)</f>
        <v>#N/A</v>
      </c>
      <c r="Q33" s="718" t="e">
        <f>VLOOKUP($D33,유선목표!$A:$Z,Q$1,0)+VLOOKUP($D33,유선_약갱!$C:$AE,'유선_합계(수식)'!Q$1,0)</f>
        <v>#N/A</v>
      </c>
      <c r="R33" s="718" t="e">
        <f>VLOOKUP($D33,유선목표!$A:$Z,R$1,0)+VLOOKUP($D33,유선_약갱!$C:$AE,'유선_합계(수식)'!R$1,0)</f>
        <v>#N/A</v>
      </c>
      <c r="S33" s="718" t="e">
        <f>VLOOKUP($D33,유선목표!$A:$Z,S$1,0)+VLOOKUP($D33,유선_약갱!$C:$AE,'유선_합계(수식)'!S$1,0)</f>
        <v>#N/A</v>
      </c>
      <c r="T33" s="718" t="e">
        <f>VLOOKUP($D33,유선목표!$A:$Z,T$1,0)+VLOOKUP($D33,유선_약갱!$C:$AE,'유선_합계(수식)'!T$1,0)</f>
        <v>#N/A</v>
      </c>
      <c r="U33" s="718" t="e">
        <f>VLOOKUP($D33,유선목표!$A:$Z,U$1,0)+VLOOKUP($D33,유선_약갱!$C:$AE,'유선_합계(수식)'!U$1,0)</f>
        <v>#N/A</v>
      </c>
      <c r="V33" s="718" t="e">
        <f>VLOOKUP($D33,유선목표!$A:$Z,V$1,0)+VLOOKUP($D33,유선_약갱!$C:$AE,'유선_합계(수식)'!V$1,0)</f>
        <v>#N/A</v>
      </c>
      <c r="W33" s="718" t="e">
        <f>VLOOKUP($D33,유선목표!$A:$Z,W$1,0)+VLOOKUP($D33,유선_약갱!$C:$AE,'유선_합계(수식)'!W$1,0)</f>
        <v>#N/A</v>
      </c>
      <c r="X33" s="718" t="e">
        <f>VLOOKUP($D33,유선목표!$A:$Z,X$1,0)+VLOOKUP($D33,유선_약갱!$C:$AE,'유선_합계(수식)'!X$1,0)</f>
        <v>#N/A</v>
      </c>
      <c r="Y33" s="718" t="e">
        <f>VLOOKUP($D33,유선목표!$A:$Z,Y$1,0)+VLOOKUP($D33,유선_약갱!$C:$AE,'유선_합계(수식)'!Y$1,0)</f>
        <v>#N/A</v>
      </c>
      <c r="Z33" s="718" t="e">
        <f>VLOOKUP($D33,유선목표!$A:$Z,Z$1,0)+VLOOKUP($D33,유선_약갱!$C:$AE,'유선_합계(수식)'!Z$1,0)</f>
        <v>#N/A</v>
      </c>
      <c r="AA33" s="718" t="e">
        <f>VLOOKUP($D33,유선목표!$A:$Z,AA$1,0)+VLOOKUP($D33,유선_약갱!$C:$AE,'유선_합계(수식)'!AA$1,0)</f>
        <v>#N/A</v>
      </c>
      <c r="AB33" s="718" t="e">
        <f>VLOOKUP($D33,유선목표!$A:$Z,AB$1,0)+VLOOKUP($D33,유선_약갱!$C:$AE,'유선_합계(수식)'!AB$1,0)</f>
        <v>#N/A</v>
      </c>
      <c r="AC33" s="718" t="e">
        <f>VLOOKUP($D33,유선목표!$A:$Z,AC$1,0)+VLOOKUP($D33,유선_약갱!$C:$AE,'유선_합계(수식)'!AC$1,0)</f>
        <v>#N/A</v>
      </c>
      <c r="AD33" s="718" t="e">
        <f>VLOOKUP($D33,유선목표!$A:$Z,AD$1,0)+VLOOKUP($D33,유선_약갱!$C:$AE,'유선_합계(수식)'!AD$1,0)</f>
        <v>#N/A</v>
      </c>
      <c r="AE33" s="718" t="e">
        <f>VLOOKUP($D33,유선목표!$A:$Z,AE$1,0)+VLOOKUP($D33,유선_약갱!$C:$AE,'유선_합계(수식)'!AE$1,0)</f>
        <v>#N/A</v>
      </c>
      <c r="AF33" s="718" t="e">
        <f>VLOOKUP($D33,유선목표!$A:$Z,AF$1,0)+VLOOKUP($D33,유선_약갱!$C:$AE,'유선_합계(수식)'!AF$1,0)</f>
        <v>#N/A</v>
      </c>
      <c r="AG33" s="718" t="e">
        <f>VLOOKUP($D33,유선목표!$A:$Z,AG$1,0)+VLOOKUP($D33,유선_약갱!$C:$AE,'유선_합계(수식)'!AG$1,0)</f>
        <v>#N/A</v>
      </c>
      <c r="AH33" s="718" t="e">
        <f>VLOOKUP($D33,유선목표!$A:$Z,AH$1,0)+VLOOKUP($D33,유선_약갱!$C:$AE,'유선_합계(수식)'!AH$1,0)</f>
        <v>#N/A</v>
      </c>
      <c r="AI33" s="718" t="e">
        <f>VLOOKUP($D33,유선목표!$A:$Z,AI$1,0)+VLOOKUP($D33,유선_약갱!$C:$AE,'유선_합계(수식)'!AI$1,0)</f>
        <v>#N/A</v>
      </c>
      <c r="AJ33" s="718" t="e">
        <f>VLOOKUP($D33,유선목표!$A:$Z,AJ$1,0)+VLOOKUP($D33,유선_약갱!$C:$AE,'유선_합계(수식)'!AJ$1,0)</f>
        <v>#N/A</v>
      </c>
    </row>
    <row r="34" spans="1:36" ht="24" customHeight="1">
      <c r="A34" s="714" t="e">
        <f>VLOOKUP(D34,#REF!,2,0)</f>
        <v>#REF!</v>
      </c>
      <c r="B34" s="710">
        <v>31</v>
      </c>
      <c r="C34" s="711" t="s">
        <v>636</v>
      </c>
      <c r="D34" s="711" t="s">
        <v>442</v>
      </c>
      <c r="E34" s="718" t="e">
        <f t="shared" si="0"/>
        <v>#N/A</v>
      </c>
      <c r="F34" s="718" t="e">
        <f>VLOOKUP($D34,유선목표!$A:$Z,F$1,0)+VLOOKUP($D34,유선_약갱!$C:$AE,'유선_합계(수식)'!F$1,0)</f>
        <v>#N/A</v>
      </c>
      <c r="G34" s="718" t="e">
        <f>VLOOKUP($D34,유선목표!$A:$Z,G$1,0)+VLOOKUP($D34,유선_약갱!$C:$AE,'유선_합계(수식)'!G$1,0)</f>
        <v>#N/A</v>
      </c>
      <c r="H34" s="718" t="e">
        <f>VLOOKUP($D34,유선목표!$A:$Z,H$1,0)+VLOOKUP($D34,유선_약갱!$C:$AE,'유선_합계(수식)'!H$1,0)</f>
        <v>#N/A</v>
      </c>
      <c r="I34" s="718" t="e">
        <f>VLOOKUP($D34,유선목표!$A:$Z,I$1,0)+VLOOKUP($D34,유선_약갱!$C:$AE,'유선_합계(수식)'!I$1,0)</f>
        <v>#N/A</v>
      </c>
      <c r="J34" s="718" t="e">
        <f>VLOOKUP($D34,유선목표!$A:$Z,J$1,0)+VLOOKUP($D34,유선_약갱!$C:$AE,'유선_합계(수식)'!J$1,0)</f>
        <v>#N/A</v>
      </c>
      <c r="K34" s="718" t="e">
        <f>VLOOKUP($D34,유선목표!$A:$Z,K$1,0)+VLOOKUP($D34,유선_약갱!$C:$AE,'유선_합계(수식)'!K$1,0)</f>
        <v>#N/A</v>
      </c>
      <c r="L34" s="718" t="e">
        <f>VLOOKUP($D34,유선목표!$A:$Z,L$1,0)+VLOOKUP($D34,유선_약갱!$C:$AE,'유선_합계(수식)'!L$1,0)</f>
        <v>#N/A</v>
      </c>
      <c r="M34" s="718" t="e">
        <f>VLOOKUP($D34,유선목표!$A:$Z,M$1,0)+VLOOKUP($D34,유선_약갱!$C:$AE,'유선_합계(수식)'!M$1,0)</f>
        <v>#N/A</v>
      </c>
      <c r="N34" s="718" t="e">
        <f>VLOOKUP($D34,유선목표!$A:$Z,N$1,0)+VLOOKUP($D34,유선_약갱!$C:$AE,'유선_합계(수식)'!N$1,0)</f>
        <v>#N/A</v>
      </c>
      <c r="O34" s="718" t="e">
        <f>VLOOKUP($D34,유선목표!$A:$Z,O$1,0)+VLOOKUP($D34,유선_약갱!$C:$AE,'유선_합계(수식)'!O$1,0)</f>
        <v>#N/A</v>
      </c>
      <c r="P34" s="718" t="e">
        <f>VLOOKUP($D34,유선목표!$A:$Z,P$1,0)+VLOOKUP($D34,유선_약갱!$C:$AE,'유선_합계(수식)'!P$1,0)</f>
        <v>#N/A</v>
      </c>
      <c r="Q34" s="718" t="e">
        <f>VLOOKUP($D34,유선목표!$A:$Z,Q$1,0)+VLOOKUP($D34,유선_약갱!$C:$AE,'유선_합계(수식)'!Q$1,0)</f>
        <v>#N/A</v>
      </c>
      <c r="R34" s="718" t="e">
        <f>VLOOKUP($D34,유선목표!$A:$Z,R$1,0)+VLOOKUP($D34,유선_약갱!$C:$AE,'유선_합계(수식)'!R$1,0)</f>
        <v>#N/A</v>
      </c>
      <c r="S34" s="718" t="e">
        <f>VLOOKUP($D34,유선목표!$A:$Z,S$1,0)+VLOOKUP($D34,유선_약갱!$C:$AE,'유선_합계(수식)'!S$1,0)</f>
        <v>#N/A</v>
      </c>
      <c r="T34" s="718" t="e">
        <f>VLOOKUP($D34,유선목표!$A:$Z,T$1,0)+VLOOKUP($D34,유선_약갱!$C:$AE,'유선_합계(수식)'!T$1,0)</f>
        <v>#N/A</v>
      </c>
      <c r="U34" s="718" t="e">
        <f>VLOOKUP($D34,유선목표!$A:$Z,U$1,0)+VLOOKUP($D34,유선_약갱!$C:$AE,'유선_합계(수식)'!U$1,0)</f>
        <v>#N/A</v>
      </c>
      <c r="V34" s="718" t="e">
        <f>VLOOKUP($D34,유선목표!$A:$Z,V$1,0)+VLOOKUP($D34,유선_약갱!$C:$AE,'유선_합계(수식)'!V$1,0)</f>
        <v>#N/A</v>
      </c>
      <c r="W34" s="718" t="e">
        <f>VLOOKUP($D34,유선목표!$A:$Z,W$1,0)+VLOOKUP($D34,유선_약갱!$C:$AE,'유선_합계(수식)'!W$1,0)</f>
        <v>#N/A</v>
      </c>
      <c r="X34" s="718" t="e">
        <f>VLOOKUP($D34,유선목표!$A:$Z,X$1,0)+VLOOKUP($D34,유선_약갱!$C:$AE,'유선_합계(수식)'!X$1,0)</f>
        <v>#N/A</v>
      </c>
      <c r="Y34" s="718" t="e">
        <f>VLOOKUP($D34,유선목표!$A:$Z,Y$1,0)+VLOOKUP($D34,유선_약갱!$C:$AE,'유선_합계(수식)'!Y$1,0)</f>
        <v>#N/A</v>
      </c>
      <c r="Z34" s="718" t="e">
        <f>VLOOKUP($D34,유선목표!$A:$Z,Z$1,0)+VLOOKUP($D34,유선_약갱!$C:$AE,'유선_합계(수식)'!Z$1,0)</f>
        <v>#N/A</v>
      </c>
      <c r="AA34" s="718" t="e">
        <f>VLOOKUP($D34,유선목표!$A:$Z,AA$1,0)+VLOOKUP($D34,유선_약갱!$C:$AE,'유선_합계(수식)'!AA$1,0)</f>
        <v>#N/A</v>
      </c>
      <c r="AB34" s="718" t="e">
        <f>VLOOKUP($D34,유선목표!$A:$Z,AB$1,0)+VLOOKUP($D34,유선_약갱!$C:$AE,'유선_합계(수식)'!AB$1,0)</f>
        <v>#N/A</v>
      </c>
      <c r="AC34" s="718" t="e">
        <f>VLOOKUP($D34,유선목표!$A:$Z,AC$1,0)+VLOOKUP($D34,유선_약갱!$C:$AE,'유선_합계(수식)'!AC$1,0)</f>
        <v>#N/A</v>
      </c>
      <c r="AD34" s="718" t="e">
        <f>VLOOKUP($D34,유선목표!$A:$Z,AD$1,0)+VLOOKUP($D34,유선_약갱!$C:$AE,'유선_합계(수식)'!AD$1,0)</f>
        <v>#N/A</v>
      </c>
      <c r="AE34" s="718" t="e">
        <f>VLOOKUP($D34,유선목표!$A:$Z,AE$1,0)+VLOOKUP($D34,유선_약갱!$C:$AE,'유선_합계(수식)'!AE$1,0)</f>
        <v>#N/A</v>
      </c>
      <c r="AF34" s="718" t="e">
        <f>VLOOKUP($D34,유선목표!$A:$Z,AF$1,0)+VLOOKUP($D34,유선_약갱!$C:$AE,'유선_합계(수식)'!AF$1,0)</f>
        <v>#N/A</v>
      </c>
      <c r="AG34" s="718" t="e">
        <f>VLOOKUP($D34,유선목표!$A:$Z,AG$1,0)+VLOOKUP($D34,유선_약갱!$C:$AE,'유선_합계(수식)'!AG$1,0)</f>
        <v>#N/A</v>
      </c>
      <c r="AH34" s="718" t="e">
        <f>VLOOKUP($D34,유선목표!$A:$Z,AH$1,0)+VLOOKUP($D34,유선_약갱!$C:$AE,'유선_합계(수식)'!AH$1,0)</f>
        <v>#N/A</v>
      </c>
      <c r="AI34" s="718" t="e">
        <f>VLOOKUP($D34,유선목표!$A:$Z,AI$1,0)+VLOOKUP($D34,유선_약갱!$C:$AE,'유선_합계(수식)'!AI$1,0)</f>
        <v>#N/A</v>
      </c>
      <c r="AJ34" s="718" t="e">
        <f>VLOOKUP($D34,유선목표!$A:$Z,AJ$1,0)+VLOOKUP($D34,유선_약갱!$C:$AE,'유선_합계(수식)'!AJ$1,0)</f>
        <v>#N/A</v>
      </c>
    </row>
    <row r="35" spans="1:36" ht="24" customHeight="1">
      <c r="A35" s="714" t="e">
        <f>VLOOKUP(D35,#REF!,2,0)</f>
        <v>#REF!</v>
      </c>
      <c r="B35" s="710">
        <v>32</v>
      </c>
      <c r="C35" s="711" t="s">
        <v>637</v>
      </c>
      <c r="D35" s="711" t="s">
        <v>450</v>
      </c>
      <c r="E35" s="718" t="e">
        <f t="shared" si="0"/>
        <v>#N/A</v>
      </c>
      <c r="F35" s="718" t="e">
        <f>VLOOKUP($D35,유선목표!$A:$Z,F$1,0)+VLOOKUP($D35,유선_약갱!$C:$AE,'유선_합계(수식)'!F$1,0)</f>
        <v>#N/A</v>
      </c>
      <c r="G35" s="718" t="e">
        <f>VLOOKUP($D35,유선목표!$A:$Z,G$1,0)+VLOOKUP($D35,유선_약갱!$C:$AE,'유선_합계(수식)'!G$1,0)</f>
        <v>#N/A</v>
      </c>
      <c r="H35" s="718" t="e">
        <f>VLOOKUP($D35,유선목표!$A:$Z,H$1,0)+VLOOKUP($D35,유선_약갱!$C:$AE,'유선_합계(수식)'!H$1,0)</f>
        <v>#N/A</v>
      </c>
      <c r="I35" s="718" t="e">
        <f>VLOOKUP($D35,유선목표!$A:$Z,I$1,0)+VLOOKUP($D35,유선_약갱!$C:$AE,'유선_합계(수식)'!I$1,0)</f>
        <v>#N/A</v>
      </c>
      <c r="J35" s="718" t="e">
        <f>VLOOKUP($D35,유선목표!$A:$Z,J$1,0)+VLOOKUP($D35,유선_약갱!$C:$AE,'유선_합계(수식)'!J$1,0)</f>
        <v>#N/A</v>
      </c>
      <c r="K35" s="718" t="e">
        <f>VLOOKUP($D35,유선목표!$A:$Z,K$1,0)+VLOOKUP($D35,유선_약갱!$C:$AE,'유선_합계(수식)'!K$1,0)</f>
        <v>#N/A</v>
      </c>
      <c r="L35" s="718" t="e">
        <f>VLOOKUP($D35,유선목표!$A:$Z,L$1,0)+VLOOKUP($D35,유선_약갱!$C:$AE,'유선_합계(수식)'!L$1,0)</f>
        <v>#N/A</v>
      </c>
      <c r="M35" s="718" t="e">
        <f>VLOOKUP($D35,유선목표!$A:$Z,M$1,0)+VLOOKUP($D35,유선_약갱!$C:$AE,'유선_합계(수식)'!M$1,0)</f>
        <v>#N/A</v>
      </c>
      <c r="N35" s="718" t="e">
        <f>VLOOKUP($D35,유선목표!$A:$Z,N$1,0)+VLOOKUP($D35,유선_약갱!$C:$AE,'유선_합계(수식)'!N$1,0)</f>
        <v>#N/A</v>
      </c>
      <c r="O35" s="718" t="e">
        <f>VLOOKUP($D35,유선목표!$A:$Z,O$1,0)+VLOOKUP($D35,유선_약갱!$C:$AE,'유선_합계(수식)'!O$1,0)</f>
        <v>#N/A</v>
      </c>
      <c r="P35" s="718" t="e">
        <f>VLOOKUP($D35,유선목표!$A:$Z,P$1,0)+VLOOKUP($D35,유선_약갱!$C:$AE,'유선_합계(수식)'!P$1,0)</f>
        <v>#N/A</v>
      </c>
      <c r="Q35" s="718" t="e">
        <f>VLOOKUP($D35,유선목표!$A:$Z,Q$1,0)+VLOOKUP($D35,유선_약갱!$C:$AE,'유선_합계(수식)'!Q$1,0)</f>
        <v>#N/A</v>
      </c>
      <c r="R35" s="718" t="e">
        <f>VLOOKUP($D35,유선목표!$A:$Z,R$1,0)+VLOOKUP($D35,유선_약갱!$C:$AE,'유선_합계(수식)'!R$1,0)</f>
        <v>#N/A</v>
      </c>
      <c r="S35" s="718" t="e">
        <f>VLOOKUP($D35,유선목표!$A:$Z,S$1,0)+VLOOKUP($D35,유선_약갱!$C:$AE,'유선_합계(수식)'!S$1,0)</f>
        <v>#N/A</v>
      </c>
      <c r="T35" s="718" t="e">
        <f>VLOOKUP($D35,유선목표!$A:$Z,T$1,0)+VLOOKUP($D35,유선_약갱!$C:$AE,'유선_합계(수식)'!T$1,0)</f>
        <v>#N/A</v>
      </c>
      <c r="U35" s="718" t="e">
        <f>VLOOKUP($D35,유선목표!$A:$Z,U$1,0)+VLOOKUP($D35,유선_약갱!$C:$AE,'유선_합계(수식)'!U$1,0)</f>
        <v>#N/A</v>
      </c>
      <c r="V35" s="718" t="e">
        <f>VLOOKUP($D35,유선목표!$A:$Z,V$1,0)+VLOOKUP($D35,유선_약갱!$C:$AE,'유선_합계(수식)'!V$1,0)</f>
        <v>#N/A</v>
      </c>
      <c r="W35" s="718" t="e">
        <f>VLOOKUP($D35,유선목표!$A:$Z,W$1,0)+VLOOKUP($D35,유선_약갱!$C:$AE,'유선_합계(수식)'!W$1,0)</f>
        <v>#N/A</v>
      </c>
      <c r="X35" s="718" t="e">
        <f>VLOOKUP($D35,유선목표!$A:$Z,X$1,0)+VLOOKUP($D35,유선_약갱!$C:$AE,'유선_합계(수식)'!X$1,0)</f>
        <v>#N/A</v>
      </c>
      <c r="Y35" s="718" t="e">
        <f>VLOOKUP($D35,유선목표!$A:$Z,Y$1,0)+VLOOKUP($D35,유선_약갱!$C:$AE,'유선_합계(수식)'!Y$1,0)</f>
        <v>#N/A</v>
      </c>
      <c r="Z35" s="718" t="e">
        <f>VLOOKUP($D35,유선목표!$A:$Z,Z$1,0)+VLOOKUP($D35,유선_약갱!$C:$AE,'유선_합계(수식)'!Z$1,0)</f>
        <v>#N/A</v>
      </c>
      <c r="AA35" s="718" t="e">
        <f>VLOOKUP($D35,유선목표!$A:$Z,AA$1,0)+VLOOKUP($D35,유선_약갱!$C:$AE,'유선_합계(수식)'!AA$1,0)</f>
        <v>#N/A</v>
      </c>
      <c r="AB35" s="718" t="e">
        <f>VLOOKUP($D35,유선목표!$A:$Z,AB$1,0)+VLOOKUP($D35,유선_약갱!$C:$AE,'유선_합계(수식)'!AB$1,0)</f>
        <v>#N/A</v>
      </c>
      <c r="AC35" s="718" t="e">
        <f>VLOOKUP($D35,유선목표!$A:$Z,AC$1,0)+VLOOKUP($D35,유선_약갱!$C:$AE,'유선_합계(수식)'!AC$1,0)</f>
        <v>#N/A</v>
      </c>
      <c r="AD35" s="718" t="e">
        <f>VLOOKUP($D35,유선목표!$A:$Z,AD$1,0)+VLOOKUP($D35,유선_약갱!$C:$AE,'유선_합계(수식)'!AD$1,0)</f>
        <v>#N/A</v>
      </c>
      <c r="AE35" s="718" t="e">
        <f>VLOOKUP($D35,유선목표!$A:$Z,AE$1,0)+VLOOKUP($D35,유선_약갱!$C:$AE,'유선_합계(수식)'!AE$1,0)</f>
        <v>#N/A</v>
      </c>
      <c r="AF35" s="718" t="e">
        <f>VLOOKUP($D35,유선목표!$A:$Z,AF$1,0)+VLOOKUP($D35,유선_약갱!$C:$AE,'유선_합계(수식)'!AF$1,0)</f>
        <v>#N/A</v>
      </c>
      <c r="AG35" s="718" t="e">
        <f>VLOOKUP($D35,유선목표!$A:$Z,AG$1,0)+VLOOKUP($D35,유선_약갱!$C:$AE,'유선_합계(수식)'!AG$1,0)</f>
        <v>#N/A</v>
      </c>
      <c r="AH35" s="718" t="e">
        <f>VLOOKUP($D35,유선목표!$A:$Z,AH$1,0)+VLOOKUP($D35,유선_약갱!$C:$AE,'유선_합계(수식)'!AH$1,0)</f>
        <v>#N/A</v>
      </c>
      <c r="AI35" s="718" t="e">
        <f>VLOOKUP($D35,유선목표!$A:$Z,AI$1,0)+VLOOKUP($D35,유선_약갱!$C:$AE,'유선_합계(수식)'!AI$1,0)</f>
        <v>#N/A</v>
      </c>
      <c r="AJ35" s="718" t="e">
        <f>VLOOKUP($D35,유선목표!$A:$Z,AJ$1,0)+VLOOKUP($D35,유선_약갱!$C:$AE,'유선_합계(수식)'!AJ$1,0)</f>
        <v>#N/A</v>
      </c>
    </row>
    <row r="36" spans="1:36" ht="24" customHeight="1">
      <c r="A36" s="714" t="e">
        <f>VLOOKUP(D36,#REF!,2,0)</f>
        <v>#REF!</v>
      </c>
      <c r="B36" s="710">
        <v>33</v>
      </c>
      <c r="C36" s="711" t="s">
        <v>638</v>
      </c>
      <c r="D36" s="711" t="s">
        <v>446</v>
      </c>
      <c r="E36" s="718" t="e">
        <f t="shared" si="0"/>
        <v>#N/A</v>
      </c>
      <c r="F36" s="718" t="e">
        <f>VLOOKUP($D36,유선목표!$A:$Z,F$1,0)+VLOOKUP($D36,유선_약갱!$C:$AE,'유선_합계(수식)'!F$1,0)</f>
        <v>#N/A</v>
      </c>
      <c r="G36" s="718" t="e">
        <f>VLOOKUP($D36,유선목표!$A:$Z,G$1,0)+VLOOKUP($D36,유선_약갱!$C:$AE,'유선_합계(수식)'!G$1,0)</f>
        <v>#N/A</v>
      </c>
      <c r="H36" s="718" t="e">
        <f>VLOOKUP($D36,유선목표!$A:$Z,H$1,0)+VLOOKUP($D36,유선_약갱!$C:$AE,'유선_합계(수식)'!H$1,0)</f>
        <v>#N/A</v>
      </c>
      <c r="I36" s="718" t="e">
        <f>VLOOKUP($D36,유선목표!$A:$Z,I$1,0)+VLOOKUP($D36,유선_약갱!$C:$AE,'유선_합계(수식)'!I$1,0)</f>
        <v>#N/A</v>
      </c>
      <c r="J36" s="718" t="e">
        <f>VLOOKUP($D36,유선목표!$A:$Z,J$1,0)+VLOOKUP($D36,유선_약갱!$C:$AE,'유선_합계(수식)'!J$1,0)</f>
        <v>#N/A</v>
      </c>
      <c r="K36" s="718" t="e">
        <f>VLOOKUP($D36,유선목표!$A:$Z,K$1,0)+VLOOKUP($D36,유선_약갱!$C:$AE,'유선_합계(수식)'!K$1,0)</f>
        <v>#N/A</v>
      </c>
      <c r="L36" s="718" t="e">
        <f>VLOOKUP($D36,유선목표!$A:$Z,L$1,0)+VLOOKUP($D36,유선_약갱!$C:$AE,'유선_합계(수식)'!L$1,0)</f>
        <v>#N/A</v>
      </c>
      <c r="M36" s="718" t="e">
        <f>VLOOKUP($D36,유선목표!$A:$Z,M$1,0)+VLOOKUP($D36,유선_약갱!$C:$AE,'유선_합계(수식)'!M$1,0)</f>
        <v>#N/A</v>
      </c>
      <c r="N36" s="718" t="e">
        <f>VLOOKUP($D36,유선목표!$A:$Z,N$1,0)+VLOOKUP($D36,유선_약갱!$C:$AE,'유선_합계(수식)'!N$1,0)</f>
        <v>#N/A</v>
      </c>
      <c r="O36" s="718" t="e">
        <f>VLOOKUP($D36,유선목표!$A:$Z,O$1,0)+VLOOKUP($D36,유선_약갱!$C:$AE,'유선_합계(수식)'!O$1,0)</f>
        <v>#N/A</v>
      </c>
      <c r="P36" s="718" t="e">
        <f>VLOOKUP($D36,유선목표!$A:$Z,P$1,0)+VLOOKUP($D36,유선_약갱!$C:$AE,'유선_합계(수식)'!P$1,0)</f>
        <v>#N/A</v>
      </c>
      <c r="Q36" s="718" t="e">
        <f>VLOOKUP($D36,유선목표!$A:$Z,Q$1,0)+VLOOKUP($D36,유선_약갱!$C:$AE,'유선_합계(수식)'!Q$1,0)</f>
        <v>#N/A</v>
      </c>
      <c r="R36" s="718" t="e">
        <f>VLOOKUP($D36,유선목표!$A:$Z,R$1,0)+VLOOKUP($D36,유선_약갱!$C:$AE,'유선_합계(수식)'!R$1,0)</f>
        <v>#N/A</v>
      </c>
      <c r="S36" s="718" t="e">
        <f>VLOOKUP($D36,유선목표!$A:$Z,S$1,0)+VLOOKUP($D36,유선_약갱!$C:$AE,'유선_합계(수식)'!S$1,0)</f>
        <v>#N/A</v>
      </c>
      <c r="T36" s="718" t="e">
        <f>VLOOKUP($D36,유선목표!$A:$Z,T$1,0)+VLOOKUP($D36,유선_약갱!$C:$AE,'유선_합계(수식)'!T$1,0)</f>
        <v>#N/A</v>
      </c>
      <c r="U36" s="718" t="e">
        <f>VLOOKUP($D36,유선목표!$A:$Z,U$1,0)+VLOOKUP($D36,유선_약갱!$C:$AE,'유선_합계(수식)'!U$1,0)</f>
        <v>#N/A</v>
      </c>
      <c r="V36" s="718" t="e">
        <f>VLOOKUP($D36,유선목표!$A:$Z,V$1,0)+VLOOKUP($D36,유선_약갱!$C:$AE,'유선_합계(수식)'!V$1,0)</f>
        <v>#N/A</v>
      </c>
      <c r="W36" s="718" t="e">
        <f>VLOOKUP($D36,유선목표!$A:$Z,W$1,0)+VLOOKUP($D36,유선_약갱!$C:$AE,'유선_합계(수식)'!W$1,0)</f>
        <v>#N/A</v>
      </c>
      <c r="X36" s="718" t="e">
        <f>VLOOKUP($D36,유선목표!$A:$Z,X$1,0)+VLOOKUP($D36,유선_약갱!$C:$AE,'유선_합계(수식)'!X$1,0)</f>
        <v>#N/A</v>
      </c>
      <c r="Y36" s="718" t="e">
        <f>VLOOKUP($D36,유선목표!$A:$Z,Y$1,0)+VLOOKUP($D36,유선_약갱!$C:$AE,'유선_합계(수식)'!Y$1,0)</f>
        <v>#N/A</v>
      </c>
      <c r="Z36" s="718" t="e">
        <f>VLOOKUP($D36,유선목표!$A:$Z,Z$1,0)+VLOOKUP($D36,유선_약갱!$C:$AE,'유선_합계(수식)'!Z$1,0)</f>
        <v>#N/A</v>
      </c>
      <c r="AA36" s="718" t="e">
        <f>VLOOKUP($D36,유선목표!$A:$Z,AA$1,0)+VLOOKUP($D36,유선_약갱!$C:$AE,'유선_합계(수식)'!AA$1,0)</f>
        <v>#N/A</v>
      </c>
      <c r="AB36" s="718" t="e">
        <f>VLOOKUP($D36,유선목표!$A:$Z,AB$1,0)+VLOOKUP($D36,유선_약갱!$C:$AE,'유선_합계(수식)'!AB$1,0)</f>
        <v>#N/A</v>
      </c>
      <c r="AC36" s="718" t="e">
        <f>VLOOKUP($D36,유선목표!$A:$Z,AC$1,0)+VLOOKUP($D36,유선_약갱!$C:$AE,'유선_합계(수식)'!AC$1,0)</f>
        <v>#N/A</v>
      </c>
      <c r="AD36" s="718" t="e">
        <f>VLOOKUP($D36,유선목표!$A:$Z,AD$1,0)+VLOOKUP($D36,유선_약갱!$C:$AE,'유선_합계(수식)'!AD$1,0)</f>
        <v>#N/A</v>
      </c>
      <c r="AE36" s="718" t="e">
        <f>VLOOKUP($D36,유선목표!$A:$Z,AE$1,0)+VLOOKUP($D36,유선_약갱!$C:$AE,'유선_합계(수식)'!AE$1,0)</f>
        <v>#N/A</v>
      </c>
      <c r="AF36" s="718" t="e">
        <f>VLOOKUP($D36,유선목표!$A:$Z,AF$1,0)+VLOOKUP($D36,유선_약갱!$C:$AE,'유선_합계(수식)'!AF$1,0)</f>
        <v>#N/A</v>
      </c>
      <c r="AG36" s="718" t="e">
        <f>VLOOKUP($D36,유선목표!$A:$Z,AG$1,0)+VLOOKUP($D36,유선_약갱!$C:$AE,'유선_합계(수식)'!AG$1,0)</f>
        <v>#N/A</v>
      </c>
      <c r="AH36" s="718" t="e">
        <f>VLOOKUP($D36,유선목표!$A:$Z,AH$1,0)+VLOOKUP($D36,유선_약갱!$C:$AE,'유선_합계(수식)'!AH$1,0)</f>
        <v>#N/A</v>
      </c>
      <c r="AI36" s="718" t="e">
        <f>VLOOKUP($D36,유선목표!$A:$Z,AI$1,0)+VLOOKUP($D36,유선_약갱!$C:$AE,'유선_합계(수식)'!AI$1,0)</f>
        <v>#N/A</v>
      </c>
      <c r="AJ36" s="718" t="e">
        <f>VLOOKUP($D36,유선목표!$A:$Z,AJ$1,0)+VLOOKUP($D36,유선_약갱!$C:$AE,'유선_합계(수식)'!AJ$1,0)</f>
        <v>#N/A</v>
      </c>
    </row>
    <row r="37" spans="1:36" ht="24" customHeight="1">
      <c r="A37" s="714" t="e">
        <f>VLOOKUP(D37,#REF!,2,0)</f>
        <v>#REF!</v>
      </c>
      <c r="B37" s="710">
        <v>34</v>
      </c>
      <c r="C37" s="711" t="s">
        <v>639</v>
      </c>
      <c r="D37" s="711" t="s">
        <v>440</v>
      </c>
      <c r="E37" s="718" t="e">
        <f t="shared" si="0"/>
        <v>#N/A</v>
      </c>
      <c r="F37" s="718" t="e">
        <f>VLOOKUP($D37,유선목표!$A:$Z,F$1,0)+VLOOKUP($D37,유선_약갱!$C:$AE,'유선_합계(수식)'!F$1,0)</f>
        <v>#N/A</v>
      </c>
      <c r="G37" s="718" t="e">
        <f>VLOOKUP($D37,유선목표!$A:$Z,G$1,0)+VLOOKUP($D37,유선_약갱!$C:$AE,'유선_합계(수식)'!G$1,0)</f>
        <v>#N/A</v>
      </c>
      <c r="H37" s="718" t="e">
        <f>VLOOKUP($D37,유선목표!$A:$Z,H$1,0)+VLOOKUP($D37,유선_약갱!$C:$AE,'유선_합계(수식)'!H$1,0)</f>
        <v>#N/A</v>
      </c>
      <c r="I37" s="718" t="e">
        <f>VLOOKUP($D37,유선목표!$A:$Z,I$1,0)+VLOOKUP($D37,유선_약갱!$C:$AE,'유선_합계(수식)'!I$1,0)</f>
        <v>#N/A</v>
      </c>
      <c r="J37" s="718" t="e">
        <f>VLOOKUP($D37,유선목표!$A:$Z,J$1,0)+VLOOKUP($D37,유선_약갱!$C:$AE,'유선_합계(수식)'!J$1,0)</f>
        <v>#N/A</v>
      </c>
      <c r="K37" s="718" t="e">
        <f>VLOOKUP($D37,유선목표!$A:$Z,K$1,0)+VLOOKUP($D37,유선_약갱!$C:$AE,'유선_합계(수식)'!K$1,0)</f>
        <v>#N/A</v>
      </c>
      <c r="L37" s="718" t="e">
        <f>VLOOKUP($D37,유선목표!$A:$Z,L$1,0)+VLOOKUP($D37,유선_약갱!$C:$AE,'유선_합계(수식)'!L$1,0)</f>
        <v>#N/A</v>
      </c>
      <c r="M37" s="718" t="e">
        <f>VLOOKUP($D37,유선목표!$A:$Z,M$1,0)+VLOOKUP($D37,유선_약갱!$C:$AE,'유선_합계(수식)'!M$1,0)</f>
        <v>#N/A</v>
      </c>
      <c r="N37" s="718" t="e">
        <f>VLOOKUP($D37,유선목표!$A:$Z,N$1,0)+VLOOKUP($D37,유선_약갱!$C:$AE,'유선_합계(수식)'!N$1,0)</f>
        <v>#N/A</v>
      </c>
      <c r="O37" s="718" t="e">
        <f>VLOOKUP($D37,유선목표!$A:$Z,O$1,0)+VLOOKUP($D37,유선_약갱!$C:$AE,'유선_합계(수식)'!O$1,0)</f>
        <v>#N/A</v>
      </c>
      <c r="P37" s="718" t="e">
        <f>VLOOKUP($D37,유선목표!$A:$Z,P$1,0)+VLOOKUP($D37,유선_약갱!$C:$AE,'유선_합계(수식)'!P$1,0)</f>
        <v>#N/A</v>
      </c>
      <c r="Q37" s="718" t="e">
        <f>VLOOKUP($D37,유선목표!$A:$Z,Q$1,0)+VLOOKUP($D37,유선_약갱!$C:$AE,'유선_합계(수식)'!Q$1,0)</f>
        <v>#N/A</v>
      </c>
      <c r="R37" s="718" t="e">
        <f>VLOOKUP($D37,유선목표!$A:$Z,R$1,0)+VLOOKUP($D37,유선_약갱!$C:$AE,'유선_합계(수식)'!R$1,0)</f>
        <v>#N/A</v>
      </c>
      <c r="S37" s="718" t="e">
        <f>VLOOKUP($D37,유선목표!$A:$Z,S$1,0)+VLOOKUP($D37,유선_약갱!$C:$AE,'유선_합계(수식)'!S$1,0)</f>
        <v>#N/A</v>
      </c>
      <c r="T37" s="718" t="e">
        <f>VLOOKUP($D37,유선목표!$A:$Z,T$1,0)+VLOOKUP($D37,유선_약갱!$C:$AE,'유선_합계(수식)'!T$1,0)</f>
        <v>#N/A</v>
      </c>
      <c r="U37" s="718" t="e">
        <f>VLOOKUP($D37,유선목표!$A:$Z,U$1,0)+VLOOKUP($D37,유선_약갱!$C:$AE,'유선_합계(수식)'!U$1,0)</f>
        <v>#N/A</v>
      </c>
      <c r="V37" s="718" t="e">
        <f>VLOOKUP($D37,유선목표!$A:$Z,V$1,0)+VLOOKUP($D37,유선_약갱!$C:$AE,'유선_합계(수식)'!V$1,0)</f>
        <v>#N/A</v>
      </c>
      <c r="W37" s="718" t="e">
        <f>VLOOKUP($D37,유선목표!$A:$Z,W$1,0)+VLOOKUP($D37,유선_약갱!$C:$AE,'유선_합계(수식)'!W$1,0)</f>
        <v>#N/A</v>
      </c>
      <c r="X37" s="718" t="e">
        <f>VLOOKUP($D37,유선목표!$A:$Z,X$1,0)+VLOOKUP($D37,유선_약갱!$C:$AE,'유선_합계(수식)'!X$1,0)</f>
        <v>#N/A</v>
      </c>
      <c r="Y37" s="718" t="e">
        <f>VLOOKUP($D37,유선목표!$A:$Z,Y$1,0)+VLOOKUP($D37,유선_약갱!$C:$AE,'유선_합계(수식)'!Y$1,0)</f>
        <v>#N/A</v>
      </c>
      <c r="Z37" s="718" t="e">
        <f>VLOOKUP($D37,유선목표!$A:$Z,Z$1,0)+VLOOKUP($D37,유선_약갱!$C:$AE,'유선_합계(수식)'!Z$1,0)</f>
        <v>#N/A</v>
      </c>
      <c r="AA37" s="718" t="e">
        <f>VLOOKUP($D37,유선목표!$A:$Z,AA$1,0)+VLOOKUP($D37,유선_약갱!$C:$AE,'유선_합계(수식)'!AA$1,0)</f>
        <v>#N/A</v>
      </c>
      <c r="AB37" s="718" t="e">
        <f>VLOOKUP($D37,유선목표!$A:$Z,AB$1,0)+VLOOKUP($D37,유선_약갱!$C:$AE,'유선_합계(수식)'!AB$1,0)</f>
        <v>#N/A</v>
      </c>
      <c r="AC37" s="718" t="e">
        <f>VLOOKUP($D37,유선목표!$A:$Z,AC$1,0)+VLOOKUP($D37,유선_약갱!$C:$AE,'유선_합계(수식)'!AC$1,0)</f>
        <v>#N/A</v>
      </c>
      <c r="AD37" s="718" t="e">
        <f>VLOOKUP($D37,유선목표!$A:$Z,AD$1,0)+VLOOKUP($D37,유선_약갱!$C:$AE,'유선_합계(수식)'!AD$1,0)</f>
        <v>#N/A</v>
      </c>
      <c r="AE37" s="718" t="e">
        <f>VLOOKUP($D37,유선목표!$A:$Z,AE$1,0)+VLOOKUP($D37,유선_약갱!$C:$AE,'유선_합계(수식)'!AE$1,0)</f>
        <v>#N/A</v>
      </c>
      <c r="AF37" s="718" t="e">
        <f>VLOOKUP($D37,유선목표!$A:$Z,AF$1,0)+VLOOKUP($D37,유선_약갱!$C:$AE,'유선_합계(수식)'!AF$1,0)</f>
        <v>#N/A</v>
      </c>
      <c r="AG37" s="718" t="e">
        <f>VLOOKUP($D37,유선목표!$A:$Z,AG$1,0)+VLOOKUP($D37,유선_약갱!$C:$AE,'유선_합계(수식)'!AG$1,0)</f>
        <v>#N/A</v>
      </c>
      <c r="AH37" s="718" t="e">
        <f>VLOOKUP($D37,유선목표!$A:$Z,AH$1,0)+VLOOKUP($D37,유선_약갱!$C:$AE,'유선_합계(수식)'!AH$1,0)</f>
        <v>#N/A</v>
      </c>
      <c r="AI37" s="718" t="e">
        <f>VLOOKUP($D37,유선목표!$A:$Z,AI$1,0)+VLOOKUP($D37,유선_약갱!$C:$AE,'유선_합계(수식)'!AI$1,0)</f>
        <v>#N/A</v>
      </c>
      <c r="AJ37" s="718" t="e">
        <f>VLOOKUP($D37,유선목표!$A:$Z,AJ$1,0)+VLOOKUP($D37,유선_약갱!$C:$AE,'유선_합계(수식)'!AJ$1,0)</f>
        <v>#N/A</v>
      </c>
    </row>
    <row r="38" spans="1:36" ht="24" customHeight="1">
      <c r="A38" s="714" t="e">
        <f>VLOOKUP(D38,#REF!,2,0)</f>
        <v>#REF!</v>
      </c>
      <c r="B38" s="710">
        <v>35</v>
      </c>
      <c r="C38" s="711" t="s">
        <v>640</v>
      </c>
      <c r="D38" s="711" t="s">
        <v>448</v>
      </c>
      <c r="E38" s="718" t="e">
        <f t="shared" si="0"/>
        <v>#N/A</v>
      </c>
      <c r="F38" s="718" t="e">
        <f>VLOOKUP($D38,유선목표!$A:$Z,F$1,0)+VLOOKUP($D38,유선_약갱!$C:$AE,'유선_합계(수식)'!F$1,0)</f>
        <v>#N/A</v>
      </c>
      <c r="G38" s="718" t="e">
        <f>VLOOKUP($D38,유선목표!$A:$Z,G$1,0)+VLOOKUP($D38,유선_약갱!$C:$AE,'유선_합계(수식)'!G$1,0)</f>
        <v>#N/A</v>
      </c>
      <c r="H38" s="718" t="e">
        <f>VLOOKUP($D38,유선목표!$A:$Z,H$1,0)+VLOOKUP($D38,유선_약갱!$C:$AE,'유선_합계(수식)'!H$1,0)</f>
        <v>#N/A</v>
      </c>
      <c r="I38" s="718" t="e">
        <f>VLOOKUP($D38,유선목표!$A:$Z,I$1,0)+VLOOKUP($D38,유선_약갱!$C:$AE,'유선_합계(수식)'!I$1,0)</f>
        <v>#N/A</v>
      </c>
      <c r="J38" s="718" t="e">
        <f>VLOOKUP($D38,유선목표!$A:$Z,J$1,0)+VLOOKUP($D38,유선_약갱!$C:$AE,'유선_합계(수식)'!J$1,0)</f>
        <v>#N/A</v>
      </c>
      <c r="K38" s="718" t="e">
        <f>VLOOKUP($D38,유선목표!$A:$Z,K$1,0)+VLOOKUP($D38,유선_약갱!$C:$AE,'유선_합계(수식)'!K$1,0)</f>
        <v>#N/A</v>
      </c>
      <c r="L38" s="718" t="e">
        <f>VLOOKUP($D38,유선목표!$A:$Z,L$1,0)+VLOOKUP($D38,유선_약갱!$C:$AE,'유선_합계(수식)'!L$1,0)</f>
        <v>#N/A</v>
      </c>
      <c r="M38" s="718" t="e">
        <f>VLOOKUP($D38,유선목표!$A:$Z,M$1,0)+VLOOKUP($D38,유선_약갱!$C:$AE,'유선_합계(수식)'!M$1,0)</f>
        <v>#N/A</v>
      </c>
      <c r="N38" s="718" t="e">
        <f>VLOOKUP($D38,유선목표!$A:$Z,N$1,0)+VLOOKUP($D38,유선_약갱!$C:$AE,'유선_합계(수식)'!N$1,0)</f>
        <v>#N/A</v>
      </c>
      <c r="O38" s="718" t="e">
        <f>VLOOKUP($D38,유선목표!$A:$Z,O$1,0)+VLOOKUP($D38,유선_약갱!$C:$AE,'유선_합계(수식)'!O$1,0)</f>
        <v>#N/A</v>
      </c>
      <c r="P38" s="718" t="e">
        <f>VLOOKUP($D38,유선목표!$A:$Z,P$1,0)+VLOOKUP($D38,유선_약갱!$C:$AE,'유선_합계(수식)'!P$1,0)</f>
        <v>#N/A</v>
      </c>
      <c r="Q38" s="718" t="e">
        <f>VLOOKUP($D38,유선목표!$A:$Z,Q$1,0)+VLOOKUP($D38,유선_약갱!$C:$AE,'유선_합계(수식)'!Q$1,0)</f>
        <v>#N/A</v>
      </c>
      <c r="R38" s="718" t="e">
        <f>VLOOKUP($D38,유선목표!$A:$Z,R$1,0)+VLOOKUP($D38,유선_약갱!$C:$AE,'유선_합계(수식)'!R$1,0)</f>
        <v>#N/A</v>
      </c>
      <c r="S38" s="718" t="e">
        <f>VLOOKUP($D38,유선목표!$A:$Z,S$1,0)+VLOOKUP($D38,유선_약갱!$C:$AE,'유선_합계(수식)'!S$1,0)</f>
        <v>#N/A</v>
      </c>
      <c r="T38" s="718" t="e">
        <f>VLOOKUP($D38,유선목표!$A:$Z,T$1,0)+VLOOKUP($D38,유선_약갱!$C:$AE,'유선_합계(수식)'!T$1,0)</f>
        <v>#N/A</v>
      </c>
      <c r="U38" s="718" t="e">
        <f>VLOOKUP($D38,유선목표!$A:$Z,U$1,0)+VLOOKUP($D38,유선_약갱!$C:$AE,'유선_합계(수식)'!U$1,0)</f>
        <v>#N/A</v>
      </c>
      <c r="V38" s="718" t="e">
        <f>VLOOKUP($D38,유선목표!$A:$Z,V$1,0)+VLOOKUP($D38,유선_약갱!$C:$AE,'유선_합계(수식)'!V$1,0)</f>
        <v>#N/A</v>
      </c>
      <c r="W38" s="718" t="e">
        <f>VLOOKUP($D38,유선목표!$A:$Z,W$1,0)+VLOOKUP($D38,유선_약갱!$C:$AE,'유선_합계(수식)'!W$1,0)</f>
        <v>#N/A</v>
      </c>
      <c r="X38" s="718" t="e">
        <f>VLOOKUP($D38,유선목표!$A:$Z,X$1,0)+VLOOKUP($D38,유선_약갱!$C:$AE,'유선_합계(수식)'!X$1,0)</f>
        <v>#N/A</v>
      </c>
      <c r="Y38" s="718" t="e">
        <f>VLOOKUP($D38,유선목표!$A:$Z,Y$1,0)+VLOOKUP($D38,유선_약갱!$C:$AE,'유선_합계(수식)'!Y$1,0)</f>
        <v>#N/A</v>
      </c>
      <c r="Z38" s="718" t="e">
        <f>VLOOKUP($D38,유선목표!$A:$Z,Z$1,0)+VLOOKUP($D38,유선_약갱!$C:$AE,'유선_합계(수식)'!Z$1,0)</f>
        <v>#N/A</v>
      </c>
      <c r="AA38" s="718" t="e">
        <f>VLOOKUP($D38,유선목표!$A:$Z,AA$1,0)+VLOOKUP($D38,유선_약갱!$C:$AE,'유선_합계(수식)'!AA$1,0)</f>
        <v>#N/A</v>
      </c>
      <c r="AB38" s="718" t="e">
        <f>VLOOKUP($D38,유선목표!$A:$Z,AB$1,0)+VLOOKUP($D38,유선_약갱!$C:$AE,'유선_합계(수식)'!AB$1,0)</f>
        <v>#N/A</v>
      </c>
      <c r="AC38" s="718" t="e">
        <f>VLOOKUP($D38,유선목표!$A:$Z,AC$1,0)+VLOOKUP($D38,유선_약갱!$C:$AE,'유선_합계(수식)'!AC$1,0)</f>
        <v>#N/A</v>
      </c>
      <c r="AD38" s="718" t="e">
        <f>VLOOKUP($D38,유선목표!$A:$Z,AD$1,0)+VLOOKUP($D38,유선_약갱!$C:$AE,'유선_합계(수식)'!AD$1,0)</f>
        <v>#N/A</v>
      </c>
      <c r="AE38" s="718" t="e">
        <f>VLOOKUP($D38,유선목표!$A:$Z,AE$1,0)+VLOOKUP($D38,유선_약갱!$C:$AE,'유선_합계(수식)'!AE$1,0)</f>
        <v>#N/A</v>
      </c>
      <c r="AF38" s="718" t="e">
        <f>VLOOKUP($D38,유선목표!$A:$Z,AF$1,0)+VLOOKUP($D38,유선_약갱!$C:$AE,'유선_합계(수식)'!AF$1,0)</f>
        <v>#N/A</v>
      </c>
      <c r="AG38" s="718" t="e">
        <f>VLOOKUP($D38,유선목표!$A:$Z,AG$1,0)+VLOOKUP($D38,유선_약갱!$C:$AE,'유선_합계(수식)'!AG$1,0)</f>
        <v>#N/A</v>
      </c>
      <c r="AH38" s="718" t="e">
        <f>VLOOKUP($D38,유선목표!$A:$Z,AH$1,0)+VLOOKUP($D38,유선_약갱!$C:$AE,'유선_합계(수식)'!AH$1,0)</f>
        <v>#N/A</v>
      </c>
      <c r="AI38" s="718" t="e">
        <f>VLOOKUP($D38,유선목표!$A:$Z,AI$1,0)+VLOOKUP($D38,유선_약갱!$C:$AE,'유선_합계(수식)'!AI$1,0)</f>
        <v>#N/A</v>
      </c>
      <c r="AJ38" s="718" t="e">
        <f>VLOOKUP($D38,유선목표!$A:$Z,AJ$1,0)+VLOOKUP($D38,유선_약갱!$C:$AE,'유선_합계(수식)'!AJ$1,0)</f>
        <v>#N/A</v>
      </c>
    </row>
    <row r="39" spans="1:36" ht="24" customHeight="1">
      <c r="A39" s="714" t="e">
        <f>VLOOKUP(D39,#REF!,2,0)</f>
        <v>#REF!</v>
      </c>
      <c r="B39" s="710">
        <v>36</v>
      </c>
      <c r="C39" s="711" t="s">
        <v>641</v>
      </c>
      <c r="D39" s="711" t="s">
        <v>444</v>
      </c>
      <c r="E39" s="718" t="e">
        <f t="shared" si="0"/>
        <v>#N/A</v>
      </c>
      <c r="F39" s="718" t="e">
        <f>VLOOKUP($D39,유선목표!$A:$Z,F$1,0)+VLOOKUP($D39,유선_약갱!$C:$AE,'유선_합계(수식)'!F$1,0)</f>
        <v>#N/A</v>
      </c>
      <c r="G39" s="718" t="e">
        <f>VLOOKUP($D39,유선목표!$A:$Z,G$1,0)+VLOOKUP($D39,유선_약갱!$C:$AE,'유선_합계(수식)'!G$1,0)</f>
        <v>#N/A</v>
      </c>
      <c r="H39" s="718" t="e">
        <f>VLOOKUP($D39,유선목표!$A:$Z,H$1,0)+VLOOKUP($D39,유선_약갱!$C:$AE,'유선_합계(수식)'!H$1,0)</f>
        <v>#N/A</v>
      </c>
      <c r="I39" s="718" t="e">
        <f>VLOOKUP($D39,유선목표!$A:$Z,I$1,0)+VLOOKUP($D39,유선_약갱!$C:$AE,'유선_합계(수식)'!I$1,0)</f>
        <v>#N/A</v>
      </c>
      <c r="J39" s="718" t="e">
        <f>VLOOKUP($D39,유선목표!$A:$Z,J$1,0)+VLOOKUP($D39,유선_약갱!$C:$AE,'유선_합계(수식)'!J$1,0)</f>
        <v>#N/A</v>
      </c>
      <c r="K39" s="718" t="e">
        <f>VLOOKUP($D39,유선목표!$A:$Z,K$1,0)+VLOOKUP($D39,유선_약갱!$C:$AE,'유선_합계(수식)'!K$1,0)</f>
        <v>#N/A</v>
      </c>
      <c r="L39" s="718" t="e">
        <f>VLOOKUP($D39,유선목표!$A:$Z,L$1,0)+VLOOKUP($D39,유선_약갱!$C:$AE,'유선_합계(수식)'!L$1,0)</f>
        <v>#N/A</v>
      </c>
      <c r="M39" s="718" t="e">
        <f>VLOOKUP($D39,유선목표!$A:$Z,M$1,0)+VLOOKUP($D39,유선_약갱!$C:$AE,'유선_합계(수식)'!M$1,0)</f>
        <v>#N/A</v>
      </c>
      <c r="N39" s="718" t="e">
        <f>VLOOKUP($D39,유선목표!$A:$Z,N$1,0)+VLOOKUP($D39,유선_약갱!$C:$AE,'유선_합계(수식)'!N$1,0)</f>
        <v>#N/A</v>
      </c>
      <c r="O39" s="718" t="e">
        <f>VLOOKUP($D39,유선목표!$A:$Z,O$1,0)+VLOOKUP($D39,유선_약갱!$C:$AE,'유선_합계(수식)'!O$1,0)</f>
        <v>#N/A</v>
      </c>
      <c r="P39" s="718" t="e">
        <f>VLOOKUP($D39,유선목표!$A:$Z,P$1,0)+VLOOKUP($D39,유선_약갱!$C:$AE,'유선_합계(수식)'!P$1,0)</f>
        <v>#N/A</v>
      </c>
      <c r="Q39" s="718" t="e">
        <f>VLOOKUP($D39,유선목표!$A:$Z,Q$1,0)+VLOOKUP($D39,유선_약갱!$C:$AE,'유선_합계(수식)'!Q$1,0)</f>
        <v>#N/A</v>
      </c>
      <c r="R39" s="718" t="e">
        <f>VLOOKUP($D39,유선목표!$A:$Z,R$1,0)+VLOOKUP($D39,유선_약갱!$C:$AE,'유선_합계(수식)'!R$1,0)</f>
        <v>#N/A</v>
      </c>
      <c r="S39" s="718" t="e">
        <f>VLOOKUP($D39,유선목표!$A:$Z,S$1,0)+VLOOKUP($D39,유선_약갱!$C:$AE,'유선_합계(수식)'!S$1,0)</f>
        <v>#N/A</v>
      </c>
      <c r="T39" s="718" t="e">
        <f>VLOOKUP($D39,유선목표!$A:$Z,T$1,0)+VLOOKUP($D39,유선_약갱!$C:$AE,'유선_합계(수식)'!T$1,0)</f>
        <v>#N/A</v>
      </c>
      <c r="U39" s="718" t="e">
        <f>VLOOKUP($D39,유선목표!$A:$Z,U$1,0)+VLOOKUP($D39,유선_약갱!$C:$AE,'유선_합계(수식)'!U$1,0)</f>
        <v>#N/A</v>
      </c>
      <c r="V39" s="718" t="e">
        <f>VLOOKUP($D39,유선목표!$A:$Z,V$1,0)+VLOOKUP($D39,유선_약갱!$C:$AE,'유선_합계(수식)'!V$1,0)</f>
        <v>#N/A</v>
      </c>
      <c r="W39" s="718" t="e">
        <f>VLOOKUP($D39,유선목표!$A:$Z,W$1,0)+VLOOKUP($D39,유선_약갱!$C:$AE,'유선_합계(수식)'!W$1,0)</f>
        <v>#N/A</v>
      </c>
      <c r="X39" s="718" t="e">
        <f>VLOOKUP($D39,유선목표!$A:$Z,X$1,0)+VLOOKUP($D39,유선_약갱!$C:$AE,'유선_합계(수식)'!X$1,0)</f>
        <v>#N/A</v>
      </c>
      <c r="Y39" s="718" t="e">
        <f>VLOOKUP($D39,유선목표!$A:$Z,Y$1,0)+VLOOKUP($D39,유선_약갱!$C:$AE,'유선_합계(수식)'!Y$1,0)</f>
        <v>#N/A</v>
      </c>
      <c r="Z39" s="718" t="e">
        <f>VLOOKUP($D39,유선목표!$A:$Z,Z$1,0)+VLOOKUP($D39,유선_약갱!$C:$AE,'유선_합계(수식)'!Z$1,0)</f>
        <v>#N/A</v>
      </c>
      <c r="AA39" s="718" t="e">
        <f>VLOOKUP($D39,유선목표!$A:$Z,AA$1,0)+VLOOKUP($D39,유선_약갱!$C:$AE,'유선_합계(수식)'!AA$1,0)</f>
        <v>#N/A</v>
      </c>
      <c r="AB39" s="718" t="e">
        <f>VLOOKUP($D39,유선목표!$A:$Z,AB$1,0)+VLOOKUP($D39,유선_약갱!$C:$AE,'유선_합계(수식)'!AB$1,0)</f>
        <v>#N/A</v>
      </c>
      <c r="AC39" s="718" t="e">
        <f>VLOOKUP($D39,유선목표!$A:$Z,AC$1,0)+VLOOKUP($D39,유선_약갱!$C:$AE,'유선_합계(수식)'!AC$1,0)</f>
        <v>#N/A</v>
      </c>
      <c r="AD39" s="718" t="e">
        <f>VLOOKUP($D39,유선목표!$A:$Z,AD$1,0)+VLOOKUP($D39,유선_약갱!$C:$AE,'유선_합계(수식)'!AD$1,0)</f>
        <v>#N/A</v>
      </c>
      <c r="AE39" s="718" t="e">
        <f>VLOOKUP($D39,유선목표!$A:$Z,AE$1,0)+VLOOKUP($D39,유선_약갱!$C:$AE,'유선_합계(수식)'!AE$1,0)</f>
        <v>#N/A</v>
      </c>
      <c r="AF39" s="718" t="e">
        <f>VLOOKUP($D39,유선목표!$A:$Z,AF$1,0)+VLOOKUP($D39,유선_약갱!$C:$AE,'유선_합계(수식)'!AF$1,0)</f>
        <v>#N/A</v>
      </c>
      <c r="AG39" s="718" t="e">
        <f>VLOOKUP($D39,유선목표!$A:$Z,AG$1,0)+VLOOKUP($D39,유선_약갱!$C:$AE,'유선_합계(수식)'!AG$1,0)</f>
        <v>#N/A</v>
      </c>
      <c r="AH39" s="718" t="e">
        <f>VLOOKUP($D39,유선목표!$A:$Z,AH$1,0)+VLOOKUP($D39,유선_약갱!$C:$AE,'유선_합계(수식)'!AH$1,0)</f>
        <v>#N/A</v>
      </c>
      <c r="AI39" s="718" t="e">
        <f>VLOOKUP($D39,유선목표!$A:$Z,AI$1,0)+VLOOKUP($D39,유선_약갱!$C:$AE,'유선_합계(수식)'!AI$1,0)</f>
        <v>#N/A</v>
      </c>
      <c r="AJ39" s="718" t="e">
        <f>VLOOKUP($D39,유선목표!$A:$Z,AJ$1,0)+VLOOKUP($D39,유선_약갱!$C:$AE,'유선_합계(수식)'!AJ$1,0)</f>
        <v>#N/A</v>
      </c>
    </row>
    <row r="40" spans="1:36" ht="24" customHeight="1">
      <c r="A40" s="714" t="e">
        <f>VLOOKUP(D40,#REF!,2,0)</f>
        <v>#REF!</v>
      </c>
      <c r="B40" s="710">
        <v>37</v>
      </c>
      <c r="C40" s="711" t="s">
        <v>608</v>
      </c>
      <c r="D40" s="711" t="s">
        <v>475</v>
      </c>
      <c r="E40" s="718" t="e">
        <f t="shared" si="0"/>
        <v>#N/A</v>
      </c>
      <c r="F40" s="718" t="e">
        <f>VLOOKUP($D40,유선목표!$A:$Z,F$1,0)+VLOOKUP($D40,유선_약갱!$C:$AE,'유선_합계(수식)'!F$1,0)</f>
        <v>#N/A</v>
      </c>
      <c r="G40" s="718" t="e">
        <f>VLOOKUP($D40,유선목표!$A:$Z,G$1,0)+VLOOKUP($D40,유선_약갱!$C:$AE,'유선_합계(수식)'!G$1,0)</f>
        <v>#N/A</v>
      </c>
      <c r="H40" s="718" t="e">
        <f>VLOOKUP($D40,유선목표!$A:$Z,H$1,0)+VLOOKUP($D40,유선_약갱!$C:$AE,'유선_합계(수식)'!H$1,0)</f>
        <v>#N/A</v>
      </c>
      <c r="I40" s="718" t="e">
        <f>VLOOKUP($D40,유선목표!$A:$Z,I$1,0)+VLOOKUP($D40,유선_약갱!$C:$AE,'유선_합계(수식)'!I$1,0)</f>
        <v>#N/A</v>
      </c>
      <c r="J40" s="718" t="e">
        <f>VLOOKUP($D40,유선목표!$A:$Z,J$1,0)+VLOOKUP($D40,유선_약갱!$C:$AE,'유선_합계(수식)'!J$1,0)</f>
        <v>#N/A</v>
      </c>
      <c r="K40" s="718" t="e">
        <f>VLOOKUP($D40,유선목표!$A:$Z,K$1,0)+VLOOKUP($D40,유선_약갱!$C:$AE,'유선_합계(수식)'!K$1,0)</f>
        <v>#N/A</v>
      </c>
      <c r="L40" s="718" t="e">
        <f>VLOOKUP($D40,유선목표!$A:$Z,L$1,0)+VLOOKUP($D40,유선_약갱!$C:$AE,'유선_합계(수식)'!L$1,0)</f>
        <v>#N/A</v>
      </c>
      <c r="M40" s="718" t="e">
        <f>VLOOKUP($D40,유선목표!$A:$Z,M$1,0)+VLOOKUP($D40,유선_약갱!$C:$AE,'유선_합계(수식)'!M$1,0)</f>
        <v>#N/A</v>
      </c>
      <c r="N40" s="718" t="e">
        <f>VLOOKUP($D40,유선목표!$A:$Z,N$1,0)+VLOOKUP($D40,유선_약갱!$C:$AE,'유선_합계(수식)'!N$1,0)</f>
        <v>#N/A</v>
      </c>
      <c r="O40" s="718" t="e">
        <f>VLOOKUP($D40,유선목표!$A:$Z,O$1,0)+VLOOKUP($D40,유선_약갱!$C:$AE,'유선_합계(수식)'!O$1,0)</f>
        <v>#N/A</v>
      </c>
      <c r="P40" s="718" t="e">
        <f>VLOOKUP($D40,유선목표!$A:$Z,P$1,0)+VLOOKUP($D40,유선_약갱!$C:$AE,'유선_합계(수식)'!P$1,0)</f>
        <v>#N/A</v>
      </c>
      <c r="Q40" s="718" t="e">
        <f>VLOOKUP($D40,유선목표!$A:$Z,Q$1,0)+VLOOKUP($D40,유선_약갱!$C:$AE,'유선_합계(수식)'!Q$1,0)</f>
        <v>#N/A</v>
      </c>
      <c r="R40" s="718" t="e">
        <f>VLOOKUP($D40,유선목표!$A:$Z,R$1,0)+VLOOKUP($D40,유선_약갱!$C:$AE,'유선_합계(수식)'!R$1,0)</f>
        <v>#N/A</v>
      </c>
      <c r="S40" s="718" t="e">
        <f>VLOOKUP($D40,유선목표!$A:$Z,S$1,0)+VLOOKUP($D40,유선_약갱!$C:$AE,'유선_합계(수식)'!S$1,0)</f>
        <v>#N/A</v>
      </c>
      <c r="T40" s="718" t="e">
        <f>VLOOKUP($D40,유선목표!$A:$Z,T$1,0)+VLOOKUP($D40,유선_약갱!$C:$AE,'유선_합계(수식)'!T$1,0)</f>
        <v>#N/A</v>
      </c>
      <c r="U40" s="718" t="e">
        <f>VLOOKUP($D40,유선목표!$A:$Z,U$1,0)+VLOOKUP($D40,유선_약갱!$C:$AE,'유선_합계(수식)'!U$1,0)</f>
        <v>#N/A</v>
      </c>
      <c r="V40" s="718" t="e">
        <f>VLOOKUP($D40,유선목표!$A:$Z,V$1,0)+VLOOKUP($D40,유선_약갱!$C:$AE,'유선_합계(수식)'!V$1,0)</f>
        <v>#N/A</v>
      </c>
      <c r="W40" s="718" t="e">
        <f>VLOOKUP($D40,유선목표!$A:$Z,W$1,0)+VLOOKUP($D40,유선_약갱!$C:$AE,'유선_합계(수식)'!W$1,0)</f>
        <v>#N/A</v>
      </c>
      <c r="X40" s="718" t="e">
        <f>VLOOKUP($D40,유선목표!$A:$Z,X$1,0)+VLOOKUP($D40,유선_약갱!$C:$AE,'유선_합계(수식)'!X$1,0)</f>
        <v>#N/A</v>
      </c>
      <c r="Y40" s="718" t="e">
        <f>VLOOKUP($D40,유선목표!$A:$Z,Y$1,0)+VLOOKUP($D40,유선_약갱!$C:$AE,'유선_합계(수식)'!Y$1,0)</f>
        <v>#N/A</v>
      </c>
      <c r="Z40" s="718" t="e">
        <f>VLOOKUP($D40,유선목표!$A:$Z,Z$1,0)+VLOOKUP($D40,유선_약갱!$C:$AE,'유선_합계(수식)'!Z$1,0)</f>
        <v>#N/A</v>
      </c>
      <c r="AA40" s="718" t="e">
        <f>VLOOKUP($D40,유선목표!$A:$Z,AA$1,0)+VLOOKUP($D40,유선_약갱!$C:$AE,'유선_합계(수식)'!AA$1,0)</f>
        <v>#N/A</v>
      </c>
      <c r="AB40" s="718" t="e">
        <f>VLOOKUP($D40,유선목표!$A:$Z,AB$1,0)+VLOOKUP($D40,유선_약갱!$C:$AE,'유선_합계(수식)'!AB$1,0)</f>
        <v>#N/A</v>
      </c>
      <c r="AC40" s="718" t="e">
        <f>VLOOKUP($D40,유선목표!$A:$Z,AC$1,0)+VLOOKUP($D40,유선_약갱!$C:$AE,'유선_합계(수식)'!AC$1,0)</f>
        <v>#N/A</v>
      </c>
      <c r="AD40" s="718" t="e">
        <f>VLOOKUP($D40,유선목표!$A:$Z,AD$1,0)+VLOOKUP($D40,유선_약갱!$C:$AE,'유선_합계(수식)'!AD$1,0)</f>
        <v>#N/A</v>
      </c>
      <c r="AE40" s="718" t="e">
        <f>VLOOKUP($D40,유선목표!$A:$Z,AE$1,0)+VLOOKUP($D40,유선_약갱!$C:$AE,'유선_합계(수식)'!AE$1,0)</f>
        <v>#N/A</v>
      </c>
      <c r="AF40" s="718" t="e">
        <f>VLOOKUP($D40,유선목표!$A:$Z,AF$1,0)+VLOOKUP($D40,유선_약갱!$C:$AE,'유선_합계(수식)'!AF$1,0)</f>
        <v>#N/A</v>
      </c>
      <c r="AG40" s="718" t="e">
        <f>VLOOKUP($D40,유선목표!$A:$Z,AG$1,0)+VLOOKUP($D40,유선_약갱!$C:$AE,'유선_합계(수식)'!AG$1,0)</f>
        <v>#N/A</v>
      </c>
      <c r="AH40" s="718" t="e">
        <f>VLOOKUP($D40,유선목표!$A:$Z,AH$1,0)+VLOOKUP($D40,유선_약갱!$C:$AE,'유선_합계(수식)'!AH$1,0)</f>
        <v>#N/A</v>
      </c>
      <c r="AI40" s="718" t="e">
        <f>VLOOKUP($D40,유선목표!$A:$Z,AI$1,0)+VLOOKUP($D40,유선_약갱!$C:$AE,'유선_합계(수식)'!AI$1,0)</f>
        <v>#N/A</v>
      </c>
      <c r="AJ40" s="718" t="e">
        <f>VLOOKUP($D40,유선목표!$A:$Z,AJ$1,0)+VLOOKUP($D40,유선_약갱!$C:$AE,'유선_합계(수식)'!AJ$1,0)</f>
        <v>#N/A</v>
      </c>
    </row>
    <row r="41" spans="1:36" ht="24" customHeight="1">
      <c r="A41" s="714" t="e">
        <f>VLOOKUP(D41,#REF!,2,0)</f>
        <v>#REF!</v>
      </c>
      <c r="B41" s="710">
        <v>38</v>
      </c>
      <c r="C41" s="711" t="s">
        <v>609</v>
      </c>
      <c r="D41" s="711" t="s">
        <v>480</v>
      </c>
      <c r="E41" s="718" t="e">
        <f t="shared" si="0"/>
        <v>#N/A</v>
      </c>
      <c r="F41" s="718" t="e">
        <f>VLOOKUP($D41,유선목표!$A:$Z,F$1,0)+VLOOKUP($D41,유선_약갱!$C:$AE,'유선_합계(수식)'!F$1,0)</f>
        <v>#N/A</v>
      </c>
      <c r="G41" s="718" t="e">
        <f>VLOOKUP($D41,유선목표!$A:$Z,G$1,0)+VLOOKUP($D41,유선_약갱!$C:$AE,'유선_합계(수식)'!G$1,0)</f>
        <v>#N/A</v>
      </c>
      <c r="H41" s="718" t="e">
        <f>VLOOKUP($D41,유선목표!$A:$Z,H$1,0)+VLOOKUP($D41,유선_약갱!$C:$AE,'유선_합계(수식)'!H$1,0)</f>
        <v>#N/A</v>
      </c>
      <c r="I41" s="718" t="e">
        <f>VLOOKUP($D41,유선목표!$A:$Z,I$1,0)+VLOOKUP($D41,유선_약갱!$C:$AE,'유선_합계(수식)'!I$1,0)</f>
        <v>#N/A</v>
      </c>
      <c r="J41" s="718" t="e">
        <f>VLOOKUP($D41,유선목표!$A:$Z,J$1,0)+VLOOKUP($D41,유선_약갱!$C:$AE,'유선_합계(수식)'!J$1,0)</f>
        <v>#N/A</v>
      </c>
      <c r="K41" s="718" t="e">
        <f>VLOOKUP($D41,유선목표!$A:$Z,K$1,0)+VLOOKUP($D41,유선_약갱!$C:$AE,'유선_합계(수식)'!K$1,0)</f>
        <v>#N/A</v>
      </c>
      <c r="L41" s="718" t="e">
        <f>VLOOKUP($D41,유선목표!$A:$Z,L$1,0)+VLOOKUP($D41,유선_약갱!$C:$AE,'유선_합계(수식)'!L$1,0)</f>
        <v>#N/A</v>
      </c>
      <c r="M41" s="718" t="e">
        <f>VLOOKUP($D41,유선목표!$A:$Z,M$1,0)+VLOOKUP($D41,유선_약갱!$C:$AE,'유선_합계(수식)'!M$1,0)</f>
        <v>#N/A</v>
      </c>
      <c r="N41" s="718" t="e">
        <f>VLOOKUP($D41,유선목표!$A:$Z,N$1,0)+VLOOKUP($D41,유선_약갱!$C:$AE,'유선_합계(수식)'!N$1,0)</f>
        <v>#N/A</v>
      </c>
      <c r="O41" s="718" t="e">
        <f>VLOOKUP($D41,유선목표!$A:$Z,O$1,0)+VLOOKUP($D41,유선_약갱!$C:$AE,'유선_합계(수식)'!O$1,0)</f>
        <v>#N/A</v>
      </c>
      <c r="P41" s="718" t="e">
        <f>VLOOKUP($D41,유선목표!$A:$Z,P$1,0)+VLOOKUP($D41,유선_약갱!$C:$AE,'유선_합계(수식)'!P$1,0)</f>
        <v>#N/A</v>
      </c>
      <c r="Q41" s="718" t="e">
        <f>VLOOKUP($D41,유선목표!$A:$Z,Q$1,0)+VLOOKUP($D41,유선_약갱!$C:$AE,'유선_합계(수식)'!Q$1,0)</f>
        <v>#N/A</v>
      </c>
      <c r="R41" s="718" t="e">
        <f>VLOOKUP($D41,유선목표!$A:$Z,R$1,0)+VLOOKUP($D41,유선_약갱!$C:$AE,'유선_합계(수식)'!R$1,0)</f>
        <v>#N/A</v>
      </c>
      <c r="S41" s="718" t="e">
        <f>VLOOKUP($D41,유선목표!$A:$Z,S$1,0)+VLOOKUP($D41,유선_약갱!$C:$AE,'유선_합계(수식)'!S$1,0)</f>
        <v>#N/A</v>
      </c>
      <c r="T41" s="718" t="e">
        <f>VLOOKUP($D41,유선목표!$A:$Z,T$1,0)+VLOOKUP($D41,유선_약갱!$C:$AE,'유선_합계(수식)'!T$1,0)</f>
        <v>#N/A</v>
      </c>
      <c r="U41" s="718" t="e">
        <f>VLOOKUP($D41,유선목표!$A:$Z,U$1,0)+VLOOKUP($D41,유선_약갱!$C:$AE,'유선_합계(수식)'!U$1,0)</f>
        <v>#N/A</v>
      </c>
      <c r="V41" s="718" t="e">
        <f>VLOOKUP($D41,유선목표!$A:$Z,V$1,0)+VLOOKUP($D41,유선_약갱!$C:$AE,'유선_합계(수식)'!V$1,0)</f>
        <v>#N/A</v>
      </c>
      <c r="W41" s="718" t="e">
        <f>VLOOKUP($D41,유선목표!$A:$Z,W$1,0)+VLOOKUP($D41,유선_약갱!$C:$AE,'유선_합계(수식)'!W$1,0)</f>
        <v>#N/A</v>
      </c>
      <c r="X41" s="718" t="e">
        <f>VLOOKUP($D41,유선목표!$A:$Z,X$1,0)+VLOOKUP($D41,유선_약갱!$C:$AE,'유선_합계(수식)'!X$1,0)</f>
        <v>#N/A</v>
      </c>
      <c r="Y41" s="718" t="e">
        <f>VLOOKUP($D41,유선목표!$A:$Z,Y$1,0)+VLOOKUP($D41,유선_약갱!$C:$AE,'유선_합계(수식)'!Y$1,0)</f>
        <v>#N/A</v>
      </c>
      <c r="Z41" s="718" t="e">
        <f>VLOOKUP($D41,유선목표!$A:$Z,Z$1,0)+VLOOKUP($D41,유선_약갱!$C:$AE,'유선_합계(수식)'!Z$1,0)</f>
        <v>#N/A</v>
      </c>
      <c r="AA41" s="718" t="e">
        <f>VLOOKUP($D41,유선목표!$A:$Z,AA$1,0)+VLOOKUP($D41,유선_약갱!$C:$AE,'유선_합계(수식)'!AA$1,0)</f>
        <v>#N/A</v>
      </c>
      <c r="AB41" s="718" t="e">
        <f>VLOOKUP($D41,유선목표!$A:$Z,AB$1,0)+VLOOKUP($D41,유선_약갱!$C:$AE,'유선_합계(수식)'!AB$1,0)</f>
        <v>#N/A</v>
      </c>
      <c r="AC41" s="718" t="e">
        <f>VLOOKUP($D41,유선목표!$A:$Z,AC$1,0)+VLOOKUP($D41,유선_약갱!$C:$AE,'유선_합계(수식)'!AC$1,0)</f>
        <v>#N/A</v>
      </c>
      <c r="AD41" s="718" t="e">
        <f>VLOOKUP($D41,유선목표!$A:$Z,AD$1,0)+VLOOKUP($D41,유선_약갱!$C:$AE,'유선_합계(수식)'!AD$1,0)</f>
        <v>#N/A</v>
      </c>
      <c r="AE41" s="718" t="e">
        <f>VLOOKUP($D41,유선목표!$A:$Z,AE$1,0)+VLOOKUP($D41,유선_약갱!$C:$AE,'유선_합계(수식)'!AE$1,0)</f>
        <v>#N/A</v>
      </c>
      <c r="AF41" s="718" t="e">
        <f>VLOOKUP($D41,유선목표!$A:$Z,AF$1,0)+VLOOKUP($D41,유선_약갱!$C:$AE,'유선_합계(수식)'!AF$1,0)</f>
        <v>#N/A</v>
      </c>
      <c r="AG41" s="718" t="e">
        <f>VLOOKUP($D41,유선목표!$A:$Z,AG$1,0)+VLOOKUP($D41,유선_약갱!$C:$AE,'유선_합계(수식)'!AG$1,0)</f>
        <v>#N/A</v>
      </c>
      <c r="AH41" s="718" t="e">
        <f>VLOOKUP($D41,유선목표!$A:$Z,AH$1,0)+VLOOKUP($D41,유선_약갱!$C:$AE,'유선_합계(수식)'!AH$1,0)</f>
        <v>#N/A</v>
      </c>
      <c r="AI41" s="718" t="e">
        <f>VLOOKUP($D41,유선목표!$A:$Z,AI$1,0)+VLOOKUP($D41,유선_약갱!$C:$AE,'유선_합계(수식)'!AI$1,0)</f>
        <v>#N/A</v>
      </c>
      <c r="AJ41" s="718" t="e">
        <f>VLOOKUP($D41,유선목표!$A:$Z,AJ$1,0)+VLOOKUP($D41,유선_약갱!$C:$AE,'유선_합계(수식)'!AJ$1,0)</f>
        <v>#N/A</v>
      </c>
    </row>
    <row r="42" spans="1:36" ht="24" customHeight="1">
      <c r="A42" s="714" t="e">
        <f>VLOOKUP(D42,#REF!,2,0)</f>
        <v>#REF!</v>
      </c>
      <c r="B42" s="710">
        <v>39</v>
      </c>
      <c r="C42" s="711" t="s">
        <v>610</v>
      </c>
      <c r="D42" s="711" t="s">
        <v>473</v>
      </c>
      <c r="E42" s="718" t="e">
        <f t="shared" si="0"/>
        <v>#N/A</v>
      </c>
      <c r="F42" s="718" t="e">
        <f>VLOOKUP($D42,유선목표!$A:$Z,F$1,0)+VLOOKUP($D42,유선_약갱!$C:$AE,'유선_합계(수식)'!F$1,0)</f>
        <v>#N/A</v>
      </c>
      <c r="G42" s="718" t="e">
        <f>VLOOKUP($D42,유선목표!$A:$Z,G$1,0)+VLOOKUP($D42,유선_약갱!$C:$AE,'유선_합계(수식)'!G$1,0)</f>
        <v>#N/A</v>
      </c>
      <c r="H42" s="718" t="e">
        <f>VLOOKUP($D42,유선목표!$A:$Z,H$1,0)+VLOOKUP($D42,유선_약갱!$C:$AE,'유선_합계(수식)'!H$1,0)</f>
        <v>#N/A</v>
      </c>
      <c r="I42" s="718" t="e">
        <f>VLOOKUP($D42,유선목표!$A:$Z,I$1,0)+VLOOKUP($D42,유선_약갱!$C:$AE,'유선_합계(수식)'!I$1,0)</f>
        <v>#N/A</v>
      </c>
      <c r="J42" s="718" t="e">
        <f>VLOOKUP($D42,유선목표!$A:$Z,J$1,0)+VLOOKUP($D42,유선_약갱!$C:$AE,'유선_합계(수식)'!J$1,0)</f>
        <v>#N/A</v>
      </c>
      <c r="K42" s="718" t="e">
        <f>VLOOKUP($D42,유선목표!$A:$Z,K$1,0)+VLOOKUP($D42,유선_약갱!$C:$AE,'유선_합계(수식)'!K$1,0)</f>
        <v>#N/A</v>
      </c>
      <c r="L42" s="718" t="e">
        <f>VLOOKUP($D42,유선목표!$A:$Z,L$1,0)+VLOOKUP($D42,유선_약갱!$C:$AE,'유선_합계(수식)'!L$1,0)</f>
        <v>#N/A</v>
      </c>
      <c r="M42" s="718" t="e">
        <f>VLOOKUP($D42,유선목표!$A:$Z,M$1,0)+VLOOKUP($D42,유선_약갱!$C:$AE,'유선_합계(수식)'!M$1,0)</f>
        <v>#N/A</v>
      </c>
      <c r="N42" s="718" t="e">
        <f>VLOOKUP($D42,유선목표!$A:$Z,N$1,0)+VLOOKUP($D42,유선_약갱!$C:$AE,'유선_합계(수식)'!N$1,0)</f>
        <v>#N/A</v>
      </c>
      <c r="O42" s="718" t="e">
        <f>VLOOKUP($D42,유선목표!$A:$Z,O$1,0)+VLOOKUP($D42,유선_약갱!$C:$AE,'유선_합계(수식)'!O$1,0)</f>
        <v>#N/A</v>
      </c>
      <c r="P42" s="718" t="e">
        <f>VLOOKUP($D42,유선목표!$A:$Z,P$1,0)+VLOOKUP($D42,유선_약갱!$C:$AE,'유선_합계(수식)'!P$1,0)</f>
        <v>#N/A</v>
      </c>
      <c r="Q42" s="718" t="e">
        <f>VLOOKUP($D42,유선목표!$A:$Z,Q$1,0)+VLOOKUP($D42,유선_약갱!$C:$AE,'유선_합계(수식)'!Q$1,0)</f>
        <v>#N/A</v>
      </c>
      <c r="R42" s="718" t="e">
        <f>VLOOKUP($D42,유선목표!$A:$Z,R$1,0)+VLOOKUP($D42,유선_약갱!$C:$AE,'유선_합계(수식)'!R$1,0)</f>
        <v>#N/A</v>
      </c>
      <c r="S42" s="718" t="e">
        <f>VLOOKUP($D42,유선목표!$A:$Z,S$1,0)+VLOOKUP($D42,유선_약갱!$C:$AE,'유선_합계(수식)'!S$1,0)</f>
        <v>#N/A</v>
      </c>
      <c r="T42" s="718" t="e">
        <f>VLOOKUP($D42,유선목표!$A:$Z,T$1,0)+VLOOKUP($D42,유선_약갱!$C:$AE,'유선_합계(수식)'!T$1,0)</f>
        <v>#N/A</v>
      </c>
      <c r="U42" s="718" t="e">
        <f>VLOOKUP($D42,유선목표!$A:$Z,U$1,0)+VLOOKUP($D42,유선_약갱!$C:$AE,'유선_합계(수식)'!U$1,0)</f>
        <v>#N/A</v>
      </c>
      <c r="V42" s="718" t="e">
        <f>VLOOKUP($D42,유선목표!$A:$Z,V$1,0)+VLOOKUP($D42,유선_약갱!$C:$AE,'유선_합계(수식)'!V$1,0)</f>
        <v>#N/A</v>
      </c>
      <c r="W42" s="718" t="e">
        <f>VLOOKUP($D42,유선목표!$A:$Z,W$1,0)+VLOOKUP($D42,유선_약갱!$C:$AE,'유선_합계(수식)'!W$1,0)</f>
        <v>#N/A</v>
      </c>
      <c r="X42" s="718" t="e">
        <f>VLOOKUP($D42,유선목표!$A:$Z,X$1,0)+VLOOKUP($D42,유선_약갱!$C:$AE,'유선_합계(수식)'!X$1,0)</f>
        <v>#N/A</v>
      </c>
      <c r="Y42" s="718" t="e">
        <f>VLOOKUP($D42,유선목표!$A:$Z,Y$1,0)+VLOOKUP($D42,유선_약갱!$C:$AE,'유선_합계(수식)'!Y$1,0)</f>
        <v>#N/A</v>
      </c>
      <c r="Z42" s="718" t="e">
        <f>VLOOKUP($D42,유선목표!$A:$Z,Z$1,0)+VLOOKUP($D42,유선_약갱!$C:$AE,'유선_합계(수식)'!Z$1,0)</f>
        <v>#N/A</v>
      </c>
      <c r="AA42" s="718" t="e">
        <f>VLOOKUP($D42,유선목표!$A:$Z,AA$1,0)+VLOOKUP($D42,유선_약갱!$C:$AE,'유선_합계(수식)'!AA$1,0)</f>
        <v>#N/A</v>
      </c>
      <c r="AB42" s="718" t="e">
        <f>VLOOKUP($D42,유선목표!$A:$Z,AB$1,0)+VLOOKUP($D42,유선_약갱!$C:$AE,'유선_합계(수식)'!AB$1,0)</f>
        <v>#N/A</v>
      </c>
      <c r="AC42" s="718" t="e">
        <f>VLOOKUP($D42,유선목표!$A:$Z,AC$1,0)+VLOOKUP($D42,유선_약갱!$C:$AE,'유선_합계(수식)'!AC$1,0)</f>
        <v>#N/A</v>
      </c>
      <c r="AD42" s="718" t="e">
        <f>VLOOKUP($D42,유선목표!$A:$Z,AD$1,0)+VLOOKUP($D42,유선_약갱!$C:$AE,'유선_합계(수식)'!AD$1,0)</f>
        <v>#N/A</v>
      </c>
      <c r="AE42" s="718" t="e">
        <f>VLOOKUP($D42,유선목표!$A:$Z,AE$1,0)+VLOOKUP($D42,유선_약갱!$C:$AE,'유선_합계(수식)'!AE$1,0)</f>
        <v>#N/A</v>
      </c>
      <c r="AF42" s="718" t="e">
        <f>VLOOKUP($D42,유선목표!$A:$Z,AF$1,0)+VLOOKUP($D42,유선_약갱!$C:$AE,'유선_합계(수식)'!AF$1,0)</f>
        <v>#N/A</v>
      </c>
      <c r="AG42" s="718" t="e">
        <f>VLOOKUP($D42,유선목표!$A:$Z,AG$1,0)+VLOOKUP($D42,유선_약갱!$C:$AE,'유선_합계(수식)'!AG$1,0)</f>
        <v>#N/A</v>
      </c>
      <c r="AH42" s="718" t="e">
        <f>VLOOKUP($D42,유선목표!$A:$Z,AH$1,0)+VLOOKUP($D42,유선_약갱!$C:$AE,'유선_합계(수식)'!AH$1,0)</f>
        <v>#N/A</v>
      </c>
      <c r="AI42" s="718" t="e">
        <f>VLOOKUP($D42,유선목표!$A:$Z,AI$1,0)+VLOOKUP($D42,유선_약갱!$C:$AE,'유선_합계(수식)'!AI$1,0)</f>
        <v>#N/A</v>
      </c>
      <c r="AJ42" s="718" t="e">
        <f>VLOOKUP($D42,유선목표!$A:$Z,AJ$1,0)+VLOOKUP($D42,유선_약갱!$C:$AE,'유선_합계(수식)'!AJ$1,0)</f>
        <v>#N/A</v>
      </c>
    </row>
    <row r="43" spans="1:36" ht="24" customHeight="1">
      <c r="A43" s="714" t="e">
        <f>VLOOKUP(D43,#REF!,2,0)</f>
        <v>#REF!</v>
      </c>
      <c r="B43" s="710">
        <v>40</v>
      </c>
      <c r="C43" s="711" t="s">
        <v>611</v>
      </c>
      <c r="D43" s="711" t="s">
        <v>471</v>
      </c>
      <c r="E43" s="718" t="e">
        <f t="shared" si="0"/>
        <v>#N/A</v>
      </c>
      <c r="F43" s="718" t="e">
        <f>VLOOKUP($D43,유선목표!$A:$Z,F$1,0)+VLOOKUP($D43,유선_약갱!$C:$AE,'유선_합계(수식)'!F$1,0)</f>
        <v>#N/A</v>
      </c>
      <c r="G43" s="718" t="e">
        <f>VLOOKUP($D43,유선목표!$A:$Z,G$1,0)+VLOOKUP($D43,유선_약갱!$C:$AE,'유선_합계(수식)'!G$1,0)</f>
        <v>#N/A</v>
      </c>
      <c r="H43" s="718" t="e">
        <f>VLOOKUP($D43,유선목표!$A:$Z,H$1,0)+VLOOKUP($D43,유선_약갱!$C:$AE,'유선_합계(수식)'!H$1,0)</f>
        <v>#N/A</v>
      </c>
      <c r="I43" s="718" t="e">
        <f>VLOOKUP($D43,유선목표!$A:$Z,I$1,0)+VLOOKUP($D43,유선_약갱!$C:$AE,'유선_합계(수식)'!I$1,0)</f>
        <v>#N/A</v>
      </c>
      <c r="J43" s="718" t="e">
        <f>VLOOKUP($D43,유선목표!$A:$Z,J$1,0)+VLOOKUP($D43,유선_약갱!$C:$AE,'유선_합계(수식)'!J$1,0)</f>
        <v>#N/A</v>
      </c>
      <c r="K43" s="718" t="e">
        <f>VLOOKUP($D43,유선목표!$A:$Z,K$1,0)+VLOOKUP($D43,유선_약갱!$C:$AE,'유선_합계(수식)'!K$1,0)</f>
        <v>#N/A</v>
      </c>
      <c r="L43" s="718" t="e">
        <f>VLOOKUP($D43,유선목표!$A:$Z,L$1,0)+VLOOKUP($D43,유선_약갱!$C:$AE,'유선_합계(수식)'!L$1,0)</f>
        <v>#N/A</v>
      </c>
      <c r="M43" s="718" t="e">
        <f>VLOOKUP($D43,유선목표!$A:$Z,M$1,0)+VLOOKUP($D43,유선_약갱!$C:$AE,'유선_합계(수식)'!M$1,0)</f>
        <v>#N/A</v>
      </c>
      <c r="N43" s="718" t="e">
        <f>VLOOKUP($D43,유선목표!$A:$Z,N$1,0)+VLOOKUP($D43,유선_약갱!$C:$AE,'유선_합계(수식)'!N$1,0)</f>
        <v>#N/A</v>
      </c>
      <c r="O43" s="718" t="e">
        <f>VLOOKUP($D43,유선목표!$A:$Z,O$1,0)+VLOOKUP($D43,유선_약갱!$C:$AE,'유선_합계(수식)'!O$1,0)</f>
        <v>#N/A</v>
      </c>
      <c r="P43" s="718" t="e">
        <f>VLOOKUP($D43,유선목표!$A:$Z,P$1,0)+VLOOKUP($D43,유선_약갱!$C:$AE,'유선_합계(수식)'!P$1,0)</f>
        <v>#N/A</v>
      </c>
      <c r="Q43" s="718" t="e">
        <f>VLOOKUP($D43,유선목표!$A:$Z,Q$1,0)+VLOOKUP($D43,유선_약갱!$C:$AE,'유선_합계(수식)'!Q$1,0)</f>
        <v>#N/A</v>
      </c>
      <c r="R43" s="718" t="e">
        <f>VLOOKUP($D43,유선목표!$A:$Z,R$1,0)+VLOOKUP($D43,유선_약갱!$C:$AE,'유선_합계(수식)'!R$1,0)</f>
        <v>#N/A</v>
      </c>
      <c r="S43" s="718" t="e">
        <f>VLOOKUP($D43,유선목표!$A:$Z,S$1,0)+VLOOKUP($D43,유선_약갱!$C:$AE,'유선_합계(수식)'!S$1,0)</f>
        <v>#N/A</v>
      </c>
      <c r="T43" s="718" t="e">
        <f>VLOOKUP($D43,유선목표!$A:$Z,T$1,0)+VLOOKUP($D43,유선_약갱!$C:$AE,'유선_합계(수식)'!T$1,0)</f>
        <v>#N/A</v>
      </c>
      <c r="U43" s="718" t="e">
        <f>VLOOKUP($D43,유선목표!$A:$Z,U$1,0)+VLOOKUP($D43,유선_약갱!$C:$AE,'유선_합계(수식)'!U$1,0)</f>
        <v>#N/A</v>
      </c>
      <c r="V43" s="718" t="e">
        <f>VLOOKUP($D43,유선목표!$A:$Z,V$1,0)+VLOOKUP($D43,유선_약갱!$C:$AE,'유선_합계(수식)'!V$1,0)</f>
        <v>#N/A</v>
      </c>
      <c r="W43" s="718" t="e">
        <f>VLOOKUP($D43,유선목표!$A:$Z,W$1,0)+VLOOKUP($D43,유선_약갱!$C:$AE,'유선_합계(수식)'!W$1,0)</f>
        <v>#N/A</v>
      </c>
      <c r="X43" s="718" t="e">
        <f>VLOOKUP($D43,유선목표!$A:$Z,X$1,0)+VLOOKUP($D43,유선_약갱!$C:$AE,'유선_합계(수식)'!X$1,0)</f>
        <v>#N/A</v>
      </c>
      <c r="Y43" s="718" t="e">
        <f>VLOOKUP($D43,유선목표!$A:$Z,Y$1,0)+VLOOKUP($D43,유선_약갱!$C:$AE,'유선_합계(수식)'!Y$1,0)</f>
        <v>#N/A</v>
      </c>
      <c r="Z43" s="718" t="e">
        <f>VLOOKUP($D43,유선목표!$A:$Z,Z$1,0)+VLOOKUP($D43,유선_약갱!$C:$AE,'유선_합계(수식)'!Z$1,0)</f>
        <v>#N/A</v>
      </c>
      <c r="AA43" s="718" t="e">
        <f>VLOOKUP($D43,유선목표!$A:$Z,AA$1,0)+VLOOKUP($D43,유선_약갱!$C:$AE,'유선_합계(수식)'!AA$1,0)</f>
        <v>#N/A</v>
      </c>
      <c r="AB43" s="718" t="e">
        <f>VLOOKUP($D43,유선목표!$A:$Z,AB$1,0)+VLOOKUP($D43,유선_약갱!$C:$AE,'유선_합계(수식)'!AB$1,0)</f>
        <v>#N/A</v>
      </c>
      <c r="AC43" s="718" t="e">
        <f>VLOOKUP($D43,유선목표!$A:$Z,AC$1,0)+VLOOKUP($D43,유선_약갱!$C:$AE,'유선_합계(수식)'!AC$1,0)</f>
        <v>#N/A</v>
      </c>
      <c r="AD43" s="718" t="e">
        <f>VLOOKUP($D43,유선목표!$A:$Z,AD$1,0)+VLOOKUP($D43,유선_약갱!$C:$AE,'유선_합계(수식)'!AD$1,0)</f>
        <v>#N/A</v>
      </c>
      <c r="AE43" s="718" t="e">
        <f>VLOOKUP($D43,유선목표!$A:$Z,AE$1,0)+VLOOKUP($D43,유선_약갱!$C:$AE,'유선_합계(수식)'!AE$1,0)</f>
        <v>#N/A</v>
      </c>
      <c r="AF43" s="718" t="e">
        <f>VLOOKUP($D43,유선목표!$A:$Z,AF$1,0)+VLOOKUP($D43,유선_약갱!$C:$AE,'유선_합계(수식)'!AF$1,0)</f>
        <v>#N/A</v>
      </c>
      <c r="AG43" s="718" t="e">
        <f>VLOOKUP($D43,유선목표!$A:$Z,AG$1,0)+VLOOKUP($D43,유선_약갱!$C:$AE,'유선_합계(수식)'!AG$1,0)</f>
        <v>#N/A</v>
      </c>
      <c r="AH43" s="718" t="e">
        <f>VLOOKUP($D43,유선목표!$A:$Z,AH$1,0)+VLOOKUP($D43,유선_약갱!$C:$AE,'유선_합계(수식)'!AH$1,0)</f>
        <v>#N/A</v>
      </c>
      <c r="AI43" s="718" t="e">
        <f>VLOOKUP($D43,유선목표!$A:$Z,AI$1,0)+VLOOKUP($D43,유선_약갱!$C:$AE,'유선_합계(수식)'!AI$1,0)</f>
        <v>#N/A</v>
      </c>
      <c r="AJ43" s="718" t="e">
        <f>VLOOKUP($D43,유선목표!$A:$Z,AJ$1,0)+VLOOKUP($D43,유선_약갱!$C:$AE,'유선_합계(수식)'!AJ$1,0)</f>
        <v>#N/A</v>
      </c>
    </row>
    <row r="44" spans="1:36" ht="24" customHeight="1">
      <c r="A44" s="714" t="e">
        <f>VLOOKUP(D44,#REF!,2,0)</f>
        <v>#REF!</v>
      </c>
      <c r="B44" s="710">
        <v>41</v>
      </c>
      <c r="C44" s="711" t="s">
        <v>612</v>
      </c>
      <c r="D44" s="711" t="s">
        <v>477</v>
      </c>
      <c r="E44" s="718" t="e">
        <f t="shared" si="0"/>
        <v>#N/A</v>
      </c>
      <c r="F44" s="718" t="e">
        <f>VLOOKUP($D44,유선목표!$A:$Z,F$1,0)+VLOOKUP($D44,유선_약갱!$C:$AE,'유선_합계(수식)'!F$1,0)</f>
        <v>#N/A</v>
      </c>
      <c r="G44" s="718" t="e">
        <f>VLOOKUP($D44,유선목표!$A:$Z,G$1,0)+VLOOKUP($D44,유선_약갱!$C:$AE,'유선_합계(수식)'!G$1,0)</f>
        <v>#N/A</v>
      </c>
      <c r="H44" s="718" t="e">
        <f>VLOOKUP($D44,유선목표!$A:$Z,H$1,0)+VLOOKUP($D44,유선_약갱!$C:$AE,'유선_합계(수식)'!H$1,0)</f>
        <v>#N/A</v>
      </c>
      <c r="I44" s="718" t="e">
        <f>VLOOKUP($D44,유선목표!$A:$Z,I$1,0)+VLOOKUP($D44,유선_약갱!$C:$AE,'유선_합계(수식)'!I$1,0)</f>
        <v>#N/A</v>
      </c>
      <c r="J44" s="718" t="e">
        <f>VLOOKUP($D44,유선목표!$A:$Z,J$1,0)+VLOOKUP($D44,유선_약갱!$C:$AE,'유선_합계(수식)'!J$1,0)</f>
        <v>#N/A</v>
      </c>
      <c r="K44" s="718" t="e">
        <f>VLOOKUP($D44,유선목표!$A:$Z,K$1,0)+VLOOKUP($D44,유선_약갱!$C:$AE,'유선_합계(수식)'!K$1,0)</f>
        <v>#N/A</v>
      </c>
      <c r="L44" s="718" t="e">
        <f>VLOOKUP($D44,유선목표!$A:$Z,L$1,0)+VLOOKUP($D44,유선_약갱!$C:$AE,'유선_합계(수식)'!L$1,0)</f>
        <v>#N/A</v>
      </c>
      <c r="M44" s="718" t="e">
        <f>VLOOKUP($D44,유선목표!$A:$Z,M$1,0)+VLOOKUP($D44,유선_약갱!$C:$AE,'유선_합계(수식)'!M$1,0)</f>
        <v>#N/A</v>
      </c>
      <c r="N44" s="718" t="e">
        <f>VLOOKUP($D44,유선목표!$A:$Z,N$1,0)+VLOOKUP($D44,유선_약갱!$C:$AE,'유선_합계(수식)'!N$1,0)</f>
        <v>#N/A</v>
      </c>
      <c r="O44" s="718" t="e">
        <f>VLOOKUP($D44,유선목표!$A:$Z,O$1,0)+VLOOKUP($D44,유선_약갱!$C:$AE,'유선_합계(수식)'!O$1,0)</f>
        <v>#N/A</v>
      </c>
      <c r="P44" s="718" t="e">
        <f>VLOOKUP($D44,유선목표!$A:$Z,P$1,0)+VLOOKUP($D44,유선_약갱!$C:$AE,'유선_합계(수식)'!P$1,0)</f>
        <v>#N/A</v>
      </c>
      <c r="Q44" s="718" t="e">
        <f>VLOOKUP($D44,유선목표!$A:$Z,Q$1,0)+VLOOKUP($D44,유선_약갱!$C:$AE,'유선_합계(수식)'!Q$1,0)</f>
        <v>#N/A</v>
      </c>
      <c r="R44" s="718" t="e">
        <f>VLOOKUP($D44,유선목표!$A:$Z,R$1,0)+VLOOKUP($D44,유선_약갱!$C:$AE,'유선_합계(수식)'!R$1,0)</f>
        <v>#N/A</v>
      </c>
      <c r="S44" s="718" t="e">
        <f>VLOOKUP($D44,유선목표!$A:$Z,S$1,0)+VLOOKUP($D44,유선_약갱!$C:$AE,'유선_합계(수식)'!S$1,0)</f>
        <v>#N/A</v>
      </c>
      <c r="T44" s="718" t="e">
        <f>VLOOKUP($D44,유선목표!$A:$Z,T$1,0)+VLOOKUP($D44,유선_약갱!$C:$AE,'유선_합계(수식)'!T$1,0)</f>
        <v>#N/A</v>
      </c>
      <c r="U44" s="718" t="e">
        <f>VLOOKUP($D44,유선목표!$A:$Z,U$1,0)+VLOOKUP($D44,유선_약갱!$C:$AE,'유선_합계(수식)'!U$1,0)</f>
        <v>#N/A</v>
      </c>
      <c r="V44" s="718" t="e">
        <f>VLOOKUP($D44,유선목표!$A:$Z,V$1,0)+VLOOKUP($D44,유선_약갱!$C:$AE,'유선_합계(수식)'!V$1,0)</f>
        <v>#N/A</v>
      </c>
      <c r="W44" s="718" t="e">
        <f>VLOOKUP($D44,유선목표!$A:$Z,W$1,0)+VLOOKUP($D44,유선_약갱!$C:$AE,'유선_합계(수식)'!W$1,0)</f>
        <v>#N/A</v>
      </c>
      <c r="X44" s="718" t="e">
        <f>VLOOKUP($D44,유선목표!$A:$Z,X$1,0)+VLOOKUP($D44,유선_약갱!$C:$AE,'유선_합계(수식)'!X$1,0)</f>
        <v>#N/A</v>
      </c>
      <c r="Y44" s="718" t="e">
        <f>VLOOKUP($D44,유선목표!$A:$Z,Y$1,0)+VLOOKUP($D44,유선_약갱!$C:$AE,'유선_합계(수식)'!Y$1,0)</f>
        <v>#N/A</v>
      </c>
      <c r="Z44" s="718" t="e">
        <f>VLOOKUP($D44,유선목표!$A:$Z,Z$1,0)+VLOOKUP($D44,유선_약갱!$C:$AE,'유선_합계(수식)'!Z$1,0)</f>
        <v>#N/A</v>
      </c>
      <c r="AA44" s="718" t="e">
        <f>VLOOKUP($D44,유선목표!$A:$Z,AA$1,0)+VLOOKUP($D44,유선_약갱!$C:$AE,'유선_합계(수식)'!AA$1,0)</f>
        <v>#N/A</v>
      </c>
      <c r="AB44" s="718" t="e">
        <f>VLOOKUP($D44,유선목표!$A:$Z,AB$1,0)+VLOOKUP($D44,유선_약갱!$C:$AE,'유선_합계(수식)'!AB$1,0)</f>
        <v>#N/A</v>
      </c>
      <c r="AC44" s="718" t="e">
        <f>VLOOKUP($D44,유선목표!$A:$Z,AC$1,0)+VLOOKUP($D44,유선_약갱!$C:$AE,'유선_합계(수식)'!AC$1,0)</f>
        <v>#N/A</v>
      </c>
      <c r="AD44" s="718" t="e">
        <f>VLOOKUP($D44,유선목표!$A:$Z,AD$1,0)+VLOOKUP($D44,유선_약갱!$C:$AE,'유선_합계(수식)'!AD$1,0)</f>
        <v>#N/A</v>
      </c>
      <c r="AE44" s="718" t="e">
        <f>VLOOKUP($D44,유선목표!$A:$Z,AE$1,0)+VLOOKUP($D44,유선_약갱!$C:$AE,'유선_합계(수식)'!AE$1,0)</f>
        <v>#N/A</v>
      </c>
      <c r="AF44" s="718" t="e">
        <f>VLOOKUP($D44,유선목표!$A:$Z,AF$1,0)+VLOOKUP($D44,유선_약갱!$C:$AE,'유선_합계(수식)'!AF$1,0)</f>
        <v>#N/A</v>
      </c>
      <c r="AG44" s="718" t="e">
        <f>VLOOKUP($D44,유선목표!$A:$Z,AG$1,0)+VLOOKUP($D44,유선_약갱!$C:$AE,'유선_합계(수식)'!AG$1,0)</f>
        <v>#N/A</v>
      </c>
      <c r="AH44" s="718" t="e">
        <f>VLOOKUP($D44,유선목표!$A:$Z,AH$1,0)+VLOOKUP($D44,유선_약갱!$C:$AE,'유선_합계(수식)'!AH$1,0)</f>
        <v>#N/A</v>
      </c>
      <c r="AI44" s="718" t="e">
        <f>VLOOKUP($D44,유선목표!$A:$Z,AI$1,0)+VLOOKUP($D44,유선_약갱!$C:$AE,'유선_합계(수식)'!AI$1,0)</f>
        <v>#N/A</v>
      </c>
      <c r="AJ44" s="718" t="e">
        <f>VLOOKUP($D44,유선목표!$A:$Z,AJ$1,0)+VLOOKUP($D44,유선_약갱!$C:$AE,'유선_합계(수식)'!AJ$1,0)</f>
        <v>#N/A</v>
      </c>
    </row>
    <row r="45" spans="1:36" ht="24" customHeight="1">
      <c r="A45" s="714" t="e">
        <f>VLOOKUP(D45,#REF!,2,0)</f>
        <v>#REF!</v>
      </c>
      <c r="B45" s="710">
        <v>42</v>
      </c>
      <c r="C45" s="711" t="s">
        <v>613</v>
      </c>
      <c r="D45" s="711" t="s">
        <v>469</v>
      </c>
      <c r="E45" s="718" t="e">
        <f t="shared" si="0"/>
        <v>#N/A</v>
      </c>
      <c r="F45" s="718" t="e">
        <f>VLOOKUP($D45,유선목표!$A:$Z,F$1,0)+VLOOKUP($D45,유선_약갱!$C:$AE,'유선_합계(수식)'!F$1,0)</f>
        <v>#N/A</v>
      </c>
      <c r="G45" s="718" t="e">
        <f>VLOOKUP($D45,유선목표!$A:$Z,G$1,0)+VLOOKUP($D45,유선_약갱!$C:$AE,'유선_합계(수식)'!G$1,0)</f>
        <v>#N/A</v>
      </c>
      <c r="H45" s="718" t="e">
        <f>VLOOKUP($D45,유선목표!$A:$Z,H$1,0)+VLOOKUP($D45,유선_약갱!$C:$AE,'유선_합계(수식)'!H$1,0)</f>
        <v>#N/A</v>
      </c>
      <c r="I45" s="718" t="e">
        <f>VLOOKUP($D45,유선목표!$A:$Z,I$1,0)+VLOOKUP($D45,유선_약갱!$C:$AE,'유선_합계(수식)'!I$1,0)</f>
        <v>#N/A</v>
      </c>
      <c r="J45" s="718" t="e">
        <f>VLOOKUP($D45,유선목표!$A:$Z,J$1,0)+VLOOKUP($D45,유선_약갱!$C:$AE,'유선_합계(수식)'!J$1,0)</f>
        <v>#N/A</v>
      </c>
      <c r="K45" s="718" t="e">
        <f>VLOOKUP($D45,유선목표!$A:$Z,K$1,0)+VLOOKUP($D45,유선_약갱!$C:$AE,'유선_합계(수식)'!K$1,0)</f>
        <v>#N/A</v>
      </c>
      <c r="L45" s="718" t="e">
        <f>VLOOKUP($D45,유선목표!$A:$Z,L$1,0)+VLOOKUP($D45,유선_약갱!$C:$AE,'유선_합계(수식)'!L$1,0)</f>
        <v>#N/A</v>
      </c>
      <c r="M45" s="718" t="e">
        <f>VLOOKUP($D45,유선목표!$A:$Z,M$1,0)+VLOOKUP($D45,유선_약갱!$C:$AE,'유선_합계(수식)'!M$1,0)</f>
        <v>#N/A</v>
      </c>
      <c r="N45" s="718" t="e">
        <f>VLOOKUP($D45,유선목표!$A:$Z,N$1,0)+VLOOKUP($D45,유선_약갱!$C:$AE,'유선_합계(수식)'!N$1,0)</f>
        <v>#N/A</v>
      </c>
      <c r="O45" s="718" t="e">
        <f>VLOOKUP($D45,유선목표!$A:$Z,O$1,0)+VLOOKUP($D45,유선_약갱!$C:$AE,'유선_합계(수식)'!O$1,0)</f>
        <v>#N/A</v>
      </c>
      <c r="P45" s="718" t="e">
        <f>VLOOKUP($D45,유선목표!$A:$Z,P$1,0)+VLOOKUP($D45,유선_약갱!$C:$AE,'유선_합계(수식)'!P$1,0)</f>
        <v>#N/A</v>
      </c>
      <c r="Q45" s="718" t="e">
        <f>VLOOKUP($D45,유선목표!$A:$Z,Q$1,0)+VLOOKUP($D45,유선_약갱!$C:$AE,'유선_합계(수식)'!Q$1,0)</f>
        <v>#N/A</v>
      </c>
      <c r="R45" s="718" t="e">
        <f>VLOOKUP($D45,유선목표!$A:$Z,R$1,0)+VLOOKUP($D45,유선_약갱!$C:$AE,'유선_합계(수식)'!R$1,0)</f>
        <v>#N/A</v>
      </c>
      <c r="S45" s="718" t="e">
        <f>VLOOKUP($D45,유선목표!$A:$Z,S$1,0)+VLOOKUP($D45,유선_약갱!$C:$AE,'유선_합계(수식)'!S$1,0)</f>
        <v>#N/A</v>
      </c>
      <c r="T45" s="718" t="e">
        <f>VLOOKUP($D45,유선목표!$A:$Z,T$1,0)+VLOOKUP($D45,유선_약갱!$C:$AE,'유선_합계(수식)'!T$1,0)</f>
        <v>#N/A</v>
      </c>
      <c r="U45" s="718" t="e">
        <f>VLOOKUP($D45,유선목표!$A:$Z,U$1,0)+VLOOKUP($D45,유선_약갱!$C:$AE,'유선_합계(수식)'!U$1,0)</f>
        <v>#N/A</v>
      </c>
      <c r="V45" s="718" t="e">
        <f>VLOOKUP($D45,유선목표!$A:$Z,V$1,0)+VLOOKUP($D45,유선_약갱!$C:$AE,'유선_합계(수식)'!V$1,0)</f>
        <v>#N/A</v>
      </c>
      <c r="W45" s="718" t="e">
        <f>VLOOKUP($D45,유선목표!$A:$Z,W$1,0)+VLOOKUP($D45,유선_약갱!$C:$AE,'유선_합계(수식)'!W$1,0)</f>
        <v>#N/A</v>
      </c>
      <c r="X45" s="718" t="e">
        <f>VLOOKUP($D45,유선목표!$A:$Z,X$1,0)+VLOOKUP($D45,유선_약갱!$C:$AE,'유선_합계(수식)'!X$1,0)</f>
        <v>#N/A</v>
      </c>
      <c r="Y45" s="718" t="e">
        <f>VLOOKUP($D45,유선목표!$A:$Z,Y$1,0)+VLOOKUP($D45,유선_약갱!$C:$AE,'유선_합계(수식)'!Y$1,0)</f>
        <v>#N/A</v>
      </c>
      <c r="Z45" s="718" t="e">
        <f>VLOOKUP($D45,유선목표!$A:$Z,Z$1,0)+VLOOKUP($D45,유선_약갱!$C:$AE,'유선_합계(수식)'!Z$1,0)</f>
        <v>#N/A</v>
      </c>
      <c r="AA45" s="718" t="e">
        <f>VLOOKUP($D45,유선목표!$A:$Z,AA$1,0)+VLOOKUP($D45,유선_약갱!$C:$AE,'유선_합계(수식)'!AA$1,0)</f>
        <v>#N/A</v>
      </c>
      <c r="AB45" s="718" t="e">
        <f>VLOOKUP($D45,유선목표!$A:$Z,AB$1,0)+VLOOKUP($D45,유선_약갱!$C:$AE,'유선_합계(수식)'!AB$1,0)</f>
        <v>#N/A</v>
      </c>
      <c r="AC45" s="718" t="e">
        <f>VLOOKUP($D45,유선목표!$A:$Z,AC$1,0)+VLOOKUP($D45,유선_약갱!$C:$AE,'유선_합계(수식)'!AC$1,0)</f>
        <v>#N/A</v>
      </c>
      <c r="AD45" s="718" t="e">
        <f>VLOOKUP($D45,유선목표!$A:$Z,AD$1,0)+VLOOKUP($D45,유선_약갱!$C:$AE,'유선_합계(수식)'!AD$1,0)</f>
        <v>#N/A</v>
      </c>
      <c r="AE45" s="718" t="e">
        <f>VLOOKUP($D45,유선목표!$A:$Z,AE$1,0)+VLOOKUP($D45,유선_약갱!$C:$AE,'유선_합계(수식)'!AE$1,0)</f>
        <v>#N/A</v>
      </c>
      <c r="AF45" s="718" t="e">
        <f>VLOOKUP($D45,유선목표!$A:$Z,AF$1,0)+VLOOKUP($D45,유선_약갱!$C:$AE,'유선_합계(수식)'!AF$1,0)</f>
        <v>#N/A</v>
      </c>
      <c r="AG45" s="718" t="e">
        <f>VLOOKUP($D45,유선목표!$A:$Z,AG$1,0)+VLOOKUP($D45,유선_약갱!$C:$AE,'유선_합계(수식)'!AG$1,0)</f>
        <v>#N/A</v>
      </c>
      <c r="AH45" s="718" t="e">
        <f>VLOOKUP($D45,유선목표!$A:$Z,AH$1,0)+VLOOKUP($D45,유선_약갱!$C:$AE,'유선_합계(수식)'!AH$1,0)</f>
        <v>#N/A</v>
      </c>
      <c r="AI45" s="718" t="e">
        <f>VLOOKUP($D45,유선목표!$A:$Z,AI$1,0)+VLOOKUP($D45,유선_약갱!$C:$AE,'유선_합계(수식)'!AI$1,0)</f>
        <v>#N/A</v>
      </c>
      <c r="AJ45" s="718" t="e">
        <f>VLOOKUP($D45,유선목표!$A:$Z,AJ$1,0)+VLOOKUP($D45,유선_약갱!$C:$AE,'유선_합계(수식)'!AJ$1,0)</f>
        <v>#N/A</v>
      </c>
    </row>
    <row r="46" spans="1:36" ht="24" customHeight="1">
      <c r="A46" s="714" t="e">
        <f>VLOOKUP(D46,#REF!,2,0)</f>
        <v>#REF!</v>
      </c>
      <c r="B46" s="710">
        <v>43</v>
      </c>
      <c r="C46" s="711" t="s">
        <v>616</v>
      </c>
      <c r="D46" s="711" t="s">
        <v>457</v>
      </c>
      <c r="E46" s="718" t="e">
        <f t="shared" si="0"/>
        <v>#N/A</v>
      </c>
      <c r="F46" s="718" t="e">
        <f>VLOOKUP($D46,유선목표!$A:$Z,F$1,0)+VLOOKUP($D46,유선_약갱!$C:$AE,'유선_합계(수식)'!F$1,0)</f>
        <v>#N/A</v>
      </c>
      <c r="G46" s="718" t="e">
        <f>VLOOKUP($D46,유선목표!$A:$Z,G$1,0)+VLOOKUP($D46,유선_약갱!$C:$AE,'유선_합계(수식)'!G$1,0)</f>
        <v>#N/A</v>
      </c>
      <c r="H46" s="718" t="e">
        <f>VLOOKUP($D46,유선목표!$A:$Z,H$1,0)+VLOOKUP($D46,유선_약갱!$C:$AE,'유선_합계(수식)'!H$1,0)</f>
        <v>#N/A</v>
      </c>
      <c r="I46" s="718" t="e">
        <f>VLOOKUP($D46,유선목표!$A:$Z,I$1,0)+VLOOKUP($D46,유선_약갱!$C:$AE,'유선_합계(수식)'!I$1,0)</f>
        <v>#N/A</v>
      </c>
      <c r="J46" s="718" t="e">
        <f>VLOOKUP($D46,유선목표!$A:$Z,J$1,0)+VLOOKUP($D46,유선_약갱!$C:$AE,'유선_합계(수식)'!J$1,0)</f>
        <v>#N/A</v>
      </c>
      <c r="K46" s="718" t="e">
        <f>VLOOKUP($D46,유선목표!$A:$Z,K$1,0)+VLOOKUP($D46,유선_약갱!$C:$AE,'유선_합계(수식)'!K$1,0)</f>
        <v>#N/A</v>
      </c>
      <c r="L46" s="718" t="e">
        <f>VLOOKUP($D46,유선목표!$A:$Z,L$1,0)+VLOOKUP($D46,유선_약갱!$C:$AE,'유선_합계(수식)'!L$1,0)</f>
        <v>#N/A</v>
      </c>
      <c r="M46" s="718" t="e">
        <f>VLOOKUP($D46,유선목표!$A:$Z,M$1,0)+VLOOKUP($D46,유선_약갱!$C:$AE,'유선_합계(수식)'!M$1,0)</f>
        <v>#N/A</v>
      </c>
      <c r="N46" s="718" t="e">
        <f>VLOOKUP($D46,유선목표!$A:$Z,N$1,0)+VLOOKUP($D46,유선_약갱!$C:$AE,'유선_합계(수식)'!N$1,0)</f>
        <v>#N/A</v>
      </c>
      <c r="O46" s="718" t="e">
        <f>VLOOKUP($D46,유선목표!$A:$Z,O$1,0)+VLOOKUP($D46,유선_약갱!$C:$AE,'유선_합계(수식)'!O$1,0)</f>
        <v>#N/A</v>
      </c>
      <c r="P46" s="718" t="e">
        <f>VLOOKUP($D46,유선목표!$A:$Z,P$1,0)+VLOOKUP($D46,유선_약갱!$C:$AE,'유선_합계(수식)'!P$1,0)</f>
        <v>#N/A</v>
      </c>
      <c r="Q46" s="718" t="e">
        <f>VLOOKUP($D46,유선목표!$A:$Z,Q$1,0)+VLOOKUP($D46,유선_약갱!$C:$AE,'유선_합계(수식)'!Q$1,0)</f>
        <v>#N/A</v>
      </c>
      <c r="R46" s="718" t="e">
        <f>VLOOKUP($D46,유선목표!$A:$Z,R$1,0)+VLOOKUP($D46,유선_약갱!$C:$AE,'유선_합계(수식)'!R$1,0)</f>
        <v>#N/A</v>
      </c>
      <c r="S46" s="718" t="e">
        <f>VLOOKUP($D46,유선목표!$A:$Z,S$1,0)+VLOOKUP($D46,유선_약갱!$C:$AE,'유선_합계(수식)'!S$1,0)</f>
        <v>#N/A</v>
      </c>
      <c r="T46" s="718" t="e">
        <f>VLOOKUP($D46,유선목표!$A:$Z,T$1,0)+VLOOKUP($D46,유선_약갱!$C:$AE,'유선_합계(수식)'!T$1,0)</f>
        <v>#N/A</v>
      </c>
      <c r="U46" s="718" t="e">
        <f>VLOOKUP($D46,유선목표!$A:$Z,U$1,0)+VLOOKUP($D46,유선_약갱!$C:$AE,'유선_합계(수식)'!U$1,0)</f>
        <v>#N/A</v>
      </c>
      <c r="V46" s="718" t="e">
        <f>VLOOKUP($D46,유선목표!$A:$Z,V$1,0)+VLOOKUP($D46,유선_약갱!$C:$AE,'유선_합계(수식)'!V$1,0)</f>
        <v>#N/A</v>
      </c>
      <c r="W46" s="718" t="e">
        <f>VLOOKUP($D46,유선목표!$A:$Z,W$1,0)+VLOOKUP($D46,유선_약갱!$C:$AE,'유선_합계(수식)'!W$1,0)</f>
        <v>#N/A</v>
      </c>
      <c r="X46" s="718" t="e">
        <f>VLOOKUP($D46,유선목표!$A:$Z,X$1,0)+VLOOKUP($D46,유선_약갱!$C:$AE,'유선_합계(수식)'!X$1,0)</f>
        <v>#N/A</v>
      </c>
      <c r="Y46" s="718" t="e">
        <f>VLOOKUP($D46,유선목표!$A:$Z,Y$1,0)+VLOOKUP($D46,유선_약갱!$C:$AE,'유선_합계(수식)'!Y$1,0)</f>
        <v>#N/A</v>
      </c>
      <c r="Z46" s="718" t="e">
        <f>VLOOKUP($D46,유선목표!$A:$Z,Z$1,0)+VLOOKUP($D46,유선_약갱!$C:$AE,'유선_합계(수식)'!Z$1,0)</f>
        <v>#N/A</v>
      </c>
      <c r="AA46" s="718" t="e">
        <f>VLOOKUP($D46,유선목표!$A:$Z,AA$1,0)+VLOOKUP($D46,유선_약갱!$C:$AE,'유선_합계(수식)'!AA$1,0)</f>
        <v>#N/A</v>
      </c>
      <c r="AB46" s="718" t="e">
        <f>VLOOKUP($D46,유선목표!$A:$Z,AB$1,0)+VLOOKUP($D46,유선_약갱!$C:$AE,'유선_합계(수식)'!AB$1,0)</f>
        <v>#N/A</v>
      </c>
      <c r="AC46" s="718" t="e">
        <f>VLOOKUP($D46,유선목표!$A:$Z,AC$1,0)+VLOOKUP($D46,유선_약갱!$C:$AE,'유선_합계(수식)'!AC$1,0)</f>
        <v>#N/A</v>
      </c>
      <c r="AD46" s="718" t="e">
        <f>VLOOKUP($D46,유선목표!$A:$Z,AD$1,0)+VLOOKUP($D46,유선_약갱!$C:$AE,'유선_합계(수식)'!AD$1,0)</f>
        <v>#N/A</v>
      </c>
      <c r="AE46" s="718" t="e">
        <f>VLOOKUP($D46,유선목표!$A:$Z,AE$1,0)+VLOOKUP($D46,유선_약갱!$C:$AE,'유선_합계(수식)'!AE$1,0)</f>
        <v>#N/A</v>
      </c>
      <c r="AF46" s="718" t="e">
        <f>VLOOKUP($D46,유선목표!$A:$Z,AF$1,0)+VLOOKUP($D46,유선_약갱!$C:$AE,'유선_합계(수식)'!AF$1,0)</f>
        <v>#N/A</v>
      </c>
      <c r="AG46" s="718" t="e">
        <f>VLOOKUP($D46,유선목표!$A:$Z,AG$1,0)+VLOOKUP($D46,유선_약갱!$C:$AE,'유선_합계(수식)'!AG$1,0)</f>
        <v>#N/A</v>
      </c>
      <c r="AH46" s="718" t="e">
        <f>VLOOKUP($D46,유선목표!$A:$Z,AH$1,0)+VLOOKUP($D46,유선_약갱!$C:$AE,'유선_합계(수식)'!AH$1,0)</f>
        <v>#N/A</v>
      </c>
      <c r="AI46" s="718" t="e">
        <f>VLOOKUP($D46,유선목표!$A:$Z,AI$1,0)+VLOOKUP($D46,유선_약갱!$C:$AE,'유선_합계(수식)'!AI$1,0)</f>
        <v>#N/A</v>
      </c>
      <c r="AJ46" s="718" t="e">
        <f>VLOOKUP($D46,유선목표!$A:$Z,AJ$1,0)+VLOOKUP($D46,유선_약갱!$C:$AE,'유선_합계(수식)'!AJ$1,0)</f>
        <v>#N/A</v>
      </c>
    </row>
    <row r="47" spans="1:36" ht="24" customHeight="1">
      <c r="A47" s="714" t="e">
        <f>VLOOKUP(D47,#REF!,2,0)</f>
        <v>#REF!</v>
      </c>
      <c r="B47" s="710">
        <v>44</v>
      </c>
      <c r="C47" s="711" t="s">
        <v>617</v>
      </c>
      <c r="D47" s="711" t="s">
        <v>461</v>
      </c>
      <c r="E47" s="718" t="e">
        <f t="shared" si="0"/>
        <v>#N/A</v>
      </c>
      <c r="F47" s="718" t="e">
        <f>VLOOKUP($D47,유선목표!$A:$Z,F$1,0)+VLOOKUP($D47,유선_약갱!$C:$AE,'유선_합계(수식)'!F$1,0)</f>
        <v>#N/A</v>
      </c>
      <c r="G47" s="718" t="e">
        <f>VLOOKUP($D47,유선목표!$A:$Z,G$1,0)+VLOOKUP($D47,유선_약갱!$C:$AE,'유선_합계(수식)'!G$1,0)</f>
        <v>#N/A</v>
      </c>
      <c r="H47" s="718" t="e">
        <f>VLOOKUP($D47,유선목표!$A:$Z,H$1,0)+VLOOKUP($D47,유선_약갱!$C:$AE,'유선_합계(수식)'!H$1,0)</f>
        <v>#N/A</v>
      </c>
      <c r="I47" s="718" t="e">
        <f>VLOOKUP($D47,유선목표!$A:$Z,I$1,0)+VLOOKUP($D47,유선_약갱!$C:$AE,'유선_합계(수식)'!I$1,0)</f>
        <v>#N/A</v>
      </c>
      <c r="J47" s="718" t="e">
        <f>VLOOKUP($D47,유선목표!$A:$Z,J$1,0)+VLOOKUP($D47,유선_약갱!$C:$AE,'유선_합계(수식)'!J$1,0)</f>
        <v>#N/A</v>
      </c>
      <c r="K47" s="718" t="e">
        <f>VLOOKUP($D47,유선목표!$A:$Z,K$1,0)+VLOOKUP($D47,유선_약갱!$C:$AE,'유선_합계(수식)'!K$1,0)</f>
        <v>#N/A</v>
      </c>
      <c r="L47" s="718" t="e">
        <f>VLOOKUP($D47,유선목표!$A:$Z,L$1,0)+VLOOKUP($D47,유선_약갱!$C:$AE,'유선_합계(수식)'!L$1,0)</f>
        <v>#N/A</v>
      </c>
      <c r="M47" s="718" t="e">
        <f>VLOOKUP($D47,유선목표!$A:$Z,M$1,0)+VLOOKUP($D47,유선_약갱!$C:$AE,'유선_합계(수식)'!M$1,0)</f>
        <v>#N/A</v>
      </c>
      <c r="N47" s="718" t="e">
        <f>VLOOKUP($D47,유선목표!$A:$Z,N$1,0)+VLOOKUP($D47,유선_약갱!$C:$AE,'유선_합계(수식)'!N$1,0)</f>
        <v>#N/A</v>
      </c>
      <c r="O47" s="718" t="e">
        <f>VLOOKUP($D47,유선목표!$A:$Z,O$1,0)+VLOOKUP($D47,유선_약갱!$C:$AE,'유선_합계(수식)'!O$1,0)</f>
        <v>#N/A</v>
      </c>
      <c r="P47" s="718" t="e">
        <f>VLOOKUP($D47,유선목표!$A:$Z,P$1,0)+VLOOKUP($D47,유선_약갱!$C:$AE,'유선_합계(수식)'!P$1,0)</f>
        <v>#N/A</v>
      </c>
      <c r="Q47" s="718" t="e">
        <f>VLOOKUP($D47,유선목표!$A:$Z,Q$1,0)+VLOOKUP($D47,유선_약갱!$C:$AE,'유선_합계(수식)'!Q$1,0)</f>
        <v>#N/A</v>
      </c>
      <c r="R47" s="718" t="e">
        <f>VLOOKUP($D47,유선목표!$A:$Z,R$1,0)+VLOOKUP($D47,유선_약갱!$C:$AE,'유선_합계(수식)'!R$1,0)</f>
        <v>#N/A</v>
      </c>
      <c r="S47" s="718" t="e">
        <f>VLOOKUP($D47,유선목표!$A:$Z,S$1,0)+VLOOKUP($D47,유선_약갱!$C:$AE,'유선_합계(수식)'!S$1,0)</f>
        <v>#N/A</v>
      </c>
      <c r="T47" s="718" t="e">
        <f>VLOOKUP($D47,유선목표!$A:$Z,T$1,0)+VLOOKUP($D47,유선_약갱!$C:$AE,'유선_합계(수식)'!T$1,0)</f>
        <v>#N/A</v>
      </c>
      <c r="U47" s="718" t="e">
        <f>VLOOKUP($D47,유선목표!$A:$Z,U$1,0)+VLOOKUP($D47,유선_약갱!$C:$AE,'유선_합계(수식)'!U$1,0)</f>
        <v>#N/A</v>
      </c>
      <c r="V47" s="718" t="e">
        <f>VLOOKUP($D47,유선목표!$A:$Z,V$1,0)+VLOOKUP($D47,유선_약갱!$C:$AE,'유선_합계(수식)'!V$1,0)</f>
        <v>#N/A</v>
      </c>
      <c r="W47" s="718" t="e">
        <f>VLOOKUP($D47,유선목표!$A:$Z,W$1,0)+VLOOKUP($D47,유선_약갱!$C:$AE,'유선_합계(수식)'!W$1,0)</f>
        <v>#N/A</v>
      </c>
      <c r="X47" s="718" t="e">
        <f>VLOOKUP($D47,유선목표!$A:$Z,X$1,0)+VLOOKUP($D47,유선_약갱!$C:$AE,'유선_합계(수식)'!X$1,0)</f>
        <v>#N/A</v>
      </c>
      <c r="Y47" s="718" t="e">
        <f>VLOOKUP($D47,유선목표!$A:$Z,Y$1,0)+VLOOKUP($D47,유선_약갱!$C:$AE,'유선_합계(수식)'!Y$1,0)</f>
        <v>#N/A</v>
      </c>
      <c r="Z47" s="718" t="e">
        <f>VLOOKUP($D47,유선목표!$A:$Z,Z$1,0)+VLOOKUP($D47,유선_약갱!$C:$AE,'유선_합계(수식)'!Z$1,0)</f>
        <v>#N/A</v>
      </c>
      <c r="AA47" s="718" t="e">
        <f>VLOOKUP($D47,유선목표!$A:$Z,AA$1,0)+VLOOKUP($D47,유선_약갱!$C:$AE,'유선_합계(수식)'!AA$1,0)</f>
        <v>#N/A</v>
      </c>
      <c r="AB47" s="718" t="e">
        <f>VLOOKUP($D47,유선목표!$A:$Z,AB$1,0)+VLOOKUP($D47,유선_약갱!$C:$AE,'유선_합계(수식)'!AB$1,0)</f>
        <v>#N/A</v>
      </c>
      <c r="AC47" s="718" t="e">
        <f>VLOOKUP($D47,유선목표!$A:$Z,AC$1,0)+VLOOKUP($D47,유선_약갱!$C:$AE,'유선_합계(수식)'!AC$1,0)</f>
        <v>#N/A</v>
      </c>
      <c r="AD47" s="718" t="e">
        <f>VLOOKUP($D47,유선목표!$A:$Z,AD$1,0)+VLOOKUP($D47,유선_약갱!$C:$AE,'유선_합계(수식)'!AD$1,0)</f>
        <v>#N/A</v>
      </c>
      <c r="AE47" s="718" t="e">
        <f>VLOOKUP($D47,유선목표!$A:$Z,AE$1,0)+VLOOKUP($D47,유선_약갱!$C:$AE,'유선_합계(수식)'!AE$1,0)</f>
        <v>#N/A</v>
      </c>
      <c r="AF47" s="718" t="e">
        <f>VLOOKUP($D47,유선목표!$A:$Z,AF$1,0)+VLOOKUP($D47,유선_약갱!$C:$AE,'유선_합계(수식)'!AF$1,0)</f>
        <v>#N/A</v>
      </c>
      <c r="AG47" s="718" t="e">
        <f>VLOOKUP($D47,유선목표!$A:$Z,AG$1,0)+VLOOKUP($D47,유선_약갱!$C:$AE,'유선_합계(수식)'!AG$1,0)</f>
        <v>#N/A</v>
      </c>
      <c r="AH47" s="718" t="e">
        <f>VLOOKUP($D47,유선목표!$A:$Z,AH$1,0)+VLOOKUP($D47,유선_약갱!$C:$AE,'유선_합계(수식)'!AH$1,0)</f>
        <v>#N/A</v>
      </c>
      <c r="AI47" s="718" t="e">
        <f>VLOOKUP($D47,유선목표!$A:$Z,AI$1,0)+VLOOKUP($D47,유선_약갱!$C:$AE,'유선_합계(수식)'!AI$1,0)</f>
        <v>#N/A</v>
      </c>
      <c r="AJ47" s="718" t="e">
        <f>VLOOKUP($D47,유선목표!$A:$Z,AJ$1,0)+VLOOKUP($D47,유선_약갱!$C:$AE,'유선_합계(수식)'!AJ$1,0)</f>
        <v>#N/A</v>
      </c>
    </row>
    <row r="48" spans="1:36" ht="24" customHeight="1">
      <c r="A48" s="714" t="e">
        <f>VLOOKUP(D48,#REF!,2,0)</f>
        <v>#REF!</v>
      </c>
      <c r="B48" s="710">
        <v>45</v>
      </c>
      <c r="C48" s="711" t="s">
        <v>618</v>
      </c>
      <c r="D48" s="711" t="s">
        <v>463</v>
      </c>
      <c r="E48" s="718" t="e">
        <f t="shared" si="0"/>
        <v>#N/A</v>
      </c>
      <c r="F48" s="718" t="e">
        <f>VLOOKUP($D48,유선목표!$A:$Z,F$1,0)+VLOOKUP($D48,유선_약갱!$C:$AE,'유선_합계(수식)'!F$1,0)</f>
        <v>#N/A</v>
      </c>
      <c r="G48" s="718" t="e">
        <f>VLOOKUP($D48,유선목표!$A:$Z,G$1,0)+VLOOKUP($D48,유선_약갱!$C:$AE,'유선_합계(수식)'!G$1,0)</f>
        <v>#N/A</v>
      </c>
      <c r="H48" s="718" t="e">
        <f>VLOOKUP($D48,유선목표!$A:$Z,H$1,0)+VLOOKUP($D48,유선_약갱!$C:$AE,'유선_합계(수식)'!H$1,0)</f>
        <v>#N/A</v>
      </c>
      <c r="I48" s="718" t="e">
        <f>VLOOKUP($D48,유선목표!$A:$Z,I$1,0)+VLOOKUP($D48,유선_약갱!$C:$AE,'유선_합계(수식)'!I$1,0)</f>
        <v>#N/A</v>
      </c>
      <c r="J48" s="718" t="e">
        <f>VLOOKUP($D48,유선목표!$A:$Z,J$1,0)+VLOOKUP($D48,유선_약갱!$C:$AE,'유선_합계(수식)'!J$1,0)</f>
        <v>#N/A</v>
      </c>
      <c r="K48" s="718" t="e">
        <f>VLOOKUP($D48,유선목표!$A:$Z,K$1,0)+VLOOKUP($D48,유선_약갱!$C:$AE,'유선_합계(수식)'!K$1,0)</f>
        <v>#N/A</v>
      </c>
      <c r="L48" s="718" t="e">
        <f>VLOOKUP($D48,유선목표!$A:$Z,L$1,0)+VLOOKUP($D48,유선_약갱!$C:$AE,'유선_합계(수식)'!L$1,0)</f>
        <v>#N/A</v>
      </c>
      <c r="M48" s="718" t="e">
        <f>VLOOKUP($D48,유선목표!$A:$Z,M$1,0)+VLOOKUP($D48,유선_약갱!$C:$AE,'유선_합계(수식)'!M$1,0)</f>
        <v>#N/A</v>
      </c>
      <c r="N48" s="718" t="e">
        <f>VLOOKUP($D48,유선목표!$A:$Z,N$1,0)+VLOOKUP($D48,유선_약갱!$C:$AE,'유선_합계(수식)'!N$1,0)</f>
        <v>#N/A</v>
      </c>
      <c r="O48" s="718" t="e">
        <f>VLOOKUP($D48,유선목표!$A:$Z,O$1,0)+VLOOKUP($D48,유선_약갱!$C:$AE,'유선_합계(수식)'!O$1,0)</f>
        <v>#N/A</v>
      </c>
      <c r="P48" s="718" t="e">
        <f>VLOOKUP($D48,유선목표!$A:$Z,P$1,0)+VLOOKUP($D48,유선_약갱!$C:$AE,'유선_합계(수식)'!P$1,0)</f>
        <v>#N/A</v>
      </c>
      <c r="Q48" s="718" t="e">
        <f>VLOOKUP($D48,유선목표!$A:$Z,Q$1,0)+VLOOKUP($D48,유선_약갱!$C:$AE,'유선_합계(수식)'!Q$1,0)</f>
        <v>#N/A</v>
      </c>
      <c r="R48" s="718" t="e">
        <f>VLOOKUP($D48,유선목표!$A:$Z,R$1,0)+VLOOKUP($D48,유선_약갱!$C:$AE,'유선_합계(수식)'!R$1,0)</f>
        <v>#N/A</v>
      </c>
      <c r="S48" s="718" t="e">
        <f>VLOOKUP($D48,유선목표!$A:$Z,S$1,0)+VLOOKUP($D48,유선_약갱!$C:$AE,'유선_합계(수식)'!S$1,0)</f>
        <v>#N/A</v>
      </c>
      <c r="T48" s="718" t="e">
        <f>VLOOKUP($D48,유선목표!$A:$Z,T$1,0)+VLOOKUP($D48,유선_약갱!$C:$AE,'유선_합계(수식)'!T$1,0)</f>
        <v>#N/A</v>
      </c>
      <c r="U48" s="718" t="e">
        <f>VLOOKUP($D48,유선목표!$A:$Z,U$1,0)+VLOOKUP($D48,유선_약갱!$C:$AE,'유선_합계(수식)'!U$1,0)</f>
        <v>#N/A</v>
      </c>
      <c r="V48" s="718" t="e">
        <f>VLOOKUP($D48,유선목표!$A:$Z,V$1,0)+VLOOKUP($D48,유선_약갱!$C:$AE,'유선_합계(수식)'!V$1,0)</f>
        <v>#N/A</v>
      </c>
      <c r="W48" s="718" t="e">
        <f>VLOOKUP($D48,유선목표!$A:$Z,W$1,0)+VLOOKUP($D48,유선_약갱!$C:$AE,'유선_합계(수식)'!W$1,0)</f>
        <v>#N/A</v>
      </c>
      <c r="X48" s="718" t="e">
        <f>VLOOKUP($D48,유선목표!$A:$Z,X$1,0)+VLOOKUP($D48,유선_약갱!$C:$AE,'유선_합계(수식)'!X$1,0)</f>
        <v>#N/A</v>
      </c>
      <c r="Y48" s="718" t="e">
        <f>VLOOKUP($D48,유선목표!$A:$Z,Y$1,0)+VLOOKUP($D48,유선_약갱!$C:$AE,'유선_합계(수식)'!Y$1,0)</f>
        <v>#N/A</v>
      </c>
      <c r="Z48" s="718" t="e">
        <f>VLOOKUP($D48,유선목표!$A:$Z,Z$1,0)+VLOOKUP($D48,유선_약갱!$C:$AE,'유선_합계(수식)'!Z$1,0)</f>
        <v>#N/A</v>
      </c>
      <c r="AA48" s="718" t="e">
        <f>VLOOKUP($D48,유선목표!$A:$Z,AA$1,0)+VLOOKUP($D48,유선_약갱!$C:$AE,'유선_합계(수식)'!AA$1,0)</f>
        <v>#N/A</v>
      </c>
      <c r="AB48" s="718" t="e">
        <f>VLOOKUP($D48,유선목표!$A:$Z,AB$1,0)+VLOOKUP($D48,유선_약갱!$C:$AE,'유선_합계(수식)'!AB$1,0)</f>
        <v>#N/A</v>
      </c>
      <c r="AC48" s="718" t="e">
        <f>VLOOKUP($D48,유선목표!$A:$Z,AC$1,0)+VLOOKUP($D48,유선_약갱!$C:$AE,'유선_합계(수식)'!AC$1,0)</f>
        <v>#N/A</v>
      </c>
      <c r="AD48" s="718" t="e">
        <f>VLOOKUP($D48,유선목표!$A:$Z,AD$1,0)+VLOOKUP($D48,유선_약갱!$C:$AE,'유선_합계(수식)'!AD$1,0)</f>
        <v>#N/A</v>
      </c>
      <c r="AE48" s="718" t="e">
        <f>VLOOKUP($D48,유선목표!$A:$Z,AE$1,0)+VLOOKUP($D48,유선_약갱!$C:$AE,'유선_합계(수식)'!AE$1,0)</f>
        <v>#N/A</v>
      </c>
      <c r="AF48" s="718" t="e">
        <f>VLOOKUP($D48,유선목표!$A:$Z,AF$1,0)+VLOOKUP($D48,유선_약갱!$C:$AE,'유선_합계(수식)'!AF$1,0)</f>
        <v>#N/A</v>
      </c>
      <c r="AG48" s="718" t="e">
        <f>VLOOKUP($D48,유선목표!$A:$Z,AG$1,0)+VLOOKUP($D48,유선_약갱!$C:$AE,'유선_합계(수식)'!AG$1,0)</f>
        <v>#N/A</v>
      </c>
      <c r="AH48" s="718" t="e">
        <f>VLOOKUP($D48,유선목표!$A:$Z,AH$1,0)+VLOOKUP($D48,유선_약갱!$C:$AE,'유선_합계(수식)'!AH$1,0)</f>
        <v>#N/A</v>
      </c>
      <c r="AI48" s="718" t="e">
        <f>VLOOKUP($D48,유선목표!$A:$Z,AI$1,0)+VLOOKUP($D48,유선_약갱!$C:$AE,'유선_합계(수식)'!AI$1,0)</f>
        <v>#N/A</v>
      </c>
      <c r="AJ48" s="718" t="e">
        <f>VLOOKUP($D48,유선목표!$A:$Z,AJ$1,0)+VLOOKUP($D48,유선_약갱!$C:$AE,'유선_합계(수식)'!AJ$1,0)</f>
        <v>#N/A</v>
      </c>
    </row>
    <row r="49" spans="1:36" ht="24" customHeight="1">
      <c r="A49" s="714" t="e">
        <f>VLOOKUP(D49,#REF!,2,0)</f>
        <v>#REF!</v>
      </c>
      <c r="B49" s="710">
        <v>46</v>
      </c>
      <c r="C49" s="711" t="s">
        <v>619</v>
      </c>
      <c r="D49" s="711" t="s">
        <v>452</v>
      </c>
      <c r="E49" s="718" t="e">
        <f t="shared" si="0"/>
        <v>#N/A</v>
      </c>
      <c r="F49" s="718" t="e">
        <f>VLOOKUP($D49,유선목표!$A:$Z,F$1,0)+VLOOKUP($D49,유선_약갱!$C:$AE,'유선_합계(수식)'!F$1,0)</f>
        <v>#N/A</v>
      </c>
      <c r="G49" s="718" t="e">
        <f>VLOOKUP($D49,유선목표!$A:$Z,G$1,0)+VLOOKUP($D49,유선_약갱!$C:$AE,'유선_합계(수식)'!G$1,0)</f>
        <v>#N/A</v>
      </c>
      <c r="H49" s="718" t="e">
        <f>VLOOKUP($D49,유선목표!$A:$Z,H$1,0)+VLOOKUP($D49,유선_약갱!$C:$AE,'유선_합계(수식)'!H$1,0)</f>
        <v>#N/A</v>
      </c>
      <c r="I49" s="718" t="e">
        <f>VLOOKUP($D49,유선목표!$A:$Z,I$1,0)+VLOOKUP($D49,유선_약갱!$C:$AE,'유선_합계(수식)'!I$1,0)</f>
        <v>#N/A</v>
      </c>
      <c r="J49" s="718" t="e">
        <f>VLOOKUP($D49,유선목표!$A:$Z,J$1,0)+VLOOKUP($D49,유선_약갱!$C:$AE,'유선_합계(수식)'!J$1,0)</f>
        <v>#N/A</v>
      </c>
      <c r="K49" s="718" t="e">
        <f>VLOOKUP($D49,유선목표!$A:$Z,K$1,0)+VLOOKUP($D49,유선_약갱!$C:$AE,'유선_합계(수식)'!K$1,0)</f>
        <v>#N/A</v>
      </c>
      <c r="L49" s="718" t="e">
        <f>VLOOKUP($D49,유선목표!$A:$Z,L$1,0)+VLOOKUP($D49,유선_약갱!$C:$AE,'유선_합계(수식)'!L$1,0)</f>
        <v>#N/A</v>
      </c>
      <c r="M49" s="718" t="e">
        <f>VLOOKUP($D49,유선목표!$A:$Z,M$1,0)+VLOOKUP($D49,유선_약갱!$C:$AE,'유선_합계(수식)'!M$1,0)</f>
        <v>#N/A</v>
      </c>
      <c r="N49" s="718" t="e">
        <f>VLOOKUP($D49,유선목표!$A:$Z,N$1,0)+VLOOKUP($D49,유선_약갱!$C:$AE,'유선_합계(수식)'!N$1,0)</f>
        <v>#N/A</v>
      </c>
      <c r="O49" s="718" t="e">
        <f>VLOOKUP($D49,유선목표!$A:$Z,O$1,0)+VLOOKUP($D49,유선_약갱!$C:$AE,'유선_합계(수식)'!O$1,0)</f>
        <v>#N/A</v>
      </c>
      <c r="P49" s="718" t="e">
        <f>VLOOKUP($D49,유선목표!$A:$Z,P$1,0)+VLOOKUP($D49,유선_약갱!$C:$AE,'유선_합계(수식)'!P$1,0)</f>
        <v>#N/A</v>
      </c>
      <c r="Q49" s="718" t="e">
        <f>VLOOKUP($D49,유선목표!$A:$Z,Q$1,0)+VLOOKUP($D49,유선_약갱!$C:$AE,'유선_합계(수식)'!Q$1,0)</f>
        <v>#N/A</v>
      </c>
      <c r="R49" s="718" t="e">
        <f>VLOOKUP($D49,유선목표!$A:$Z,R$1,0)+VLOOKUP($D49,유선_약갱!$C:$AE,'유선_합계(수식)'!R$1,0)</f>
        <v>#N/A</v>
      </c>
      <c r="S49" s="718" t="e">
        <f>VLOOKUP($D49,유선목표!$A:$Z,S$1,0)+VLOOKUP($D49,유선_약갱!$C:$AE,'유선_합계(수식)'!S$1,0)</f>
        <v>#N/A</v>
      </c>
      <c r="T49" s="718" t="e">
        <f>VLOOKUP($D49,유선목표!$A:$Z,T$1,0)+VLOOKUP($D49,유선_약갱!$C:$AE,'유선_합계(수식)'!T$1,0)</f>
        <v>#N/A</v>
      </c>
      <c r="U49" s="718" t="e">
        <f>VLOOKUP($D49,유선목표!$A:$Z,U$1,0)+VLOOKUP($D49,유선_약갱!$C:$AE,'유선_합계(수식)'!U$1,0)</f>
        <v>#N/A</v>
      </c>
      <c r="V49" s="718" t="e">
        <f>VLOOKUP($D49,유선목표!$A:$Z,V$1,0)+VLOOKUP($D49,유선_약갱!$C:$AE,'유선_합계(수식)'!V$1,0)</f>
        <v>#N/A</v>
      </c>
      <c r="W49" s="718" t="e">
        <f>VLOOKUP($D49,유선목표!$A:$Z,W$1,0)+VLOOKUP($D49,유선_약갱!$C:$AE,'유선_합계(수식)'!W$1,0)</f>
        <v>#N/A</v>
      </c>
      <c r="X49" s="718" t="e">
        <f>VLOOKUP($D49,유선목표!$A:$Z,X$1,0)+VLOOKUP($D49,유선_약갱!$C:$AE,'유선_합계(수식)'!X$1,0)</f>
        <v>#N/A</v>
      </c>
      <c r="Y49" s="718" t="e">
        <f>VLOOKUP($D49,유선목표!$A:$Z,Y$1,0)+VLOOKUP($D49,유선_약갱!$C:$AE,'유선_합계(수식)'!Y$1,0)</f>
        <v>#N/A</v>
      </c>
      <c r="Z49" s="718" t="e">
        <f>VLOOKUP($D49,유선목표!$A:$Z,Z$1,0)+VLOOKUP($D49,유선_약갱!$C:$AE,'유선_합계(수식)'!Z$1,0)</f>
        <v>#N/A</v>
      </c>
      <c r="AA49" s="718" t="e">
        <f>VLOOKUP($D49,유선목표!$A:$Z,AA$1,0)+VLOOKUP($D49,유선_약갱!$C:$AE,'유선_합계(수식)'!AA$1,0)</f>
        <v>#N/A</v>
      </c>
      <c r="AB49" s="718" t="e">
        <f>VLOOKUP($D49,유선목표!$A:$Z,AB$1,0)+VLOOKUP($D49,유선_약갱!$C:$AE,'유선_합계(수식)'!AB$1,0)</f>
        <v>#N/A</v>
      </c>
      <c r="AC49" s="718" t="e">
        <f>VLOOKUP($D49,유선목표!$A:$Z,AC$1,0)+VLOOKUP($D49,유선_약갱!$C:$AE,'유선_합계(수식)'!AC$1,0)</f>
        <v>#N/A</v>
      </c>
      <c r="AD49" s="718" t="e">
        <f>VLOOKUP($D49,유선목표!$A:$Z,AD$1,0)+VLOOKUP($D49,유선_약갱!$C:$AE,'유선_합계(수식)'!AD$1,0)</f>
        <v>#N/A</v>
      </c>
      <c r="AE49" s="718" t="e">
        <f>VLOOKUP($D49,유선목표!$A:$Z,AE$1,0)+VLOOKUP($D49,유선_약갱!$C:$AE,'유선_합계(수식)'!AE$1,0)</f>
        <v>#N/A</v>
      </c>
      <c r="AF49" s="718" t="e">
        <f>VLOOKUP($D49,유선목표!$A:$Z,AF$1,0)+VLOOKUP($D49,유선_약갱!$C:$AE,'유선_합계(수식)'!AF$1,0)</f>
        <v>#N/A</v>
      </c>
      <c r="AG49" s="718" t="e">
        <f>VLOOKUP($D49,유선목표!$A:$Z,AG$1,0)+VLOOKUP($D49,유선_약갱!$C:$AE,'유선_합계(수식)'!AG$1,0)</f>
        <v>#N/A</v>
      </c>
      <c r="AH49" s="718" t="e">
        <f>VLOOKUP($D49,유선목표!$A:$Z,AH$1,0)+VLOOKUP($D49,유선_약갱!$C:$AE,'유선_합계(수식)'!AH$1,0)</f>
        <v>#N/A</v>
      </c>
      <c r="AI49" s="718" t="e">
        <f>VLOOKUP($D49,유선목표!$A:$Z,AI$1,0)+VLOOKUP($D49,유선_약갱!$C:$AE,'유선_합계(수식)'!AI$1,0)</f>
        <v>#N/A</v>
      </c>
      <c r="AJ49" s="718" t="e">
        <f>VLOOKUP($D49,유선목표!$A:$Z,AJ$1,0)+VLOOKUP($D49,유선_약갱!$C:$AE,'유선_합계(수식)'!AJ$1,0)</f>
        <v>#N/A</v>
      </c>
    </row>
    <row r="50" spans="1:36" ht="24" customHeight="1">
      <c r="A50" s="714" t="e">
        <f>VLOOKUP(D50,#REF!,2,0)</f>
        <v>#REF!</v>
      </c>
      <c r="B50" s="710">
        <v>47</v>
      </c>
      <c r="C50" s="711" t="s">
        <v>620</v>
      </c>
      <c r="D50" s="711" t="s">
        <v>465</v>
      </c>
      <c r="E50" s="718" t="e">
        <f t="shared" si="0"/>
        <v>#N/A</v>
      </c>
      <c r="F50" s="718" t="e">
        <f>VLOOKUP($D50,유선목표!$A:$Z,F$1,0)+VLOOKUP($D50,유선_약갱!$C:$AE,'유선_합계(수식)'!F$1,0)</f>
        <v>#N/A</v>
      </c>
      <c r="G50" s="718" t="e">
        <f>VLOOKUP($D50,유선목표!$A:$Z,G$1,0)+VLOOKUP($D50,유선_약갱!$C:$AE,'유선_합계(수식)'!G$1,0)</f>
        <v>#N/A</v>
      </c>
      <c r="H50" s="718" t="e">
        <f>VLOOKUP($D50,유선목표!$A:$Z,H$1,0)+VLOOKUP($D50,유선_약갱!$C:$AE,'유선_합계(수식)'!H$1,0)</f>
        <v>#N/A</v>
      </c>
      <c r="I50" s="718" t="e">
        <f>VLOOKUP($D50,유선목표!$A:$Z,I$1,0)+VLOOKUP($D50,유선_약갱!$C:$AE,'유선_합계(수식)'!I$1,0)</f>
        <v>#N/A</v>
      </c>
      <c r="J50" s="718" t="e">
        <f>VLOOKUP($D50,유선목표!$A:$Z,J$1,0)+VLOOKUP($D50,유선_약갱!$C:$AE,'유선_합계(수식)'!J$1,0)</f>
        <v>#N/A</v>
      </c>
      <c r="K50" s="718" t="e">
        <f>VLOOKUP($D50,유선목표!$A:$Z,K$1,0)+VLOOKUP($D50,유선_약갱!$C:$AE,'유선_합계(수식)'!K$1,0)</f>
        <v>#N/A</v>
      </c>
      <c r="L50" s="718" t="e">
        <f>VLOOKUP($D50,유선목표!$A:$Z,L$1,0)+VLOOKUP($D50,유선_약갱!$C:$AE,'유선_합계(수식)'!L$1,0)</f>
        <v>#N/A</v>
      </c>
      <c r="M50" s="718" t="e">
        <f>VLOOKUP($D50,유선목표!$A:$Z,M$1,0)+VLOOKUP($D50,유선_약갱!$C:$AE,'유선_합계(수식)'!M$1,0)</f>
        <v>#N/A</v>
      </c>
      <c r="N50" s="718" t="e">
        <f>VLOOKUP($D50,유선목표!$A:$Z,N$1,0)+VLOOKUP($D50,유선_약갱!$C:$AE,'유선_합계(수식)'!N$1,0)</f>
        <v>#N/A</v>
      </c>
      <c r="O50" s="718" t="e">
        <f>VLOOKUP($D50,유선목표!$A:$Z,O$1,0)+VLOOKUP($D50,유선_약갱!$C:$AE,'유선_합계(수식)'!O$1,0)</f>
        <v>#N/A</v>
      </c>
      <c r="P50" s="718" t="e">
        <f>VLOOKUP($D50,유선목표!$A:$Z,P$1,0)+VLOOKUP($D50,유선_약갱!$C:$AE,'유선_합계(수식)'!P$1,0)</f>
        <v>#N/A</v>
      </c>
      <c r="Q50" s="718" t="e">
        <f>VLOOKUP($D50,유선목표!$A:$Z,Q$1,0)+VLOOKUP($D50,유선_약갱!$C:$AE,'유선_합계(수식)'!Q$1,0)</f>
        <v>#N/A</v>
      </c>
      <c r="R50" s="718" t="e">
        <f>VLOOKUP($D50,유선목표!$A:$Z,R$1,0)+VLOOKUP($D50,유선_약갱!$C:$AE,'유선_합계(수식)'!R$1,0)</f>
        <v>#N/A</v>
      </c>
      <c r="S50" s="718" t="e">
        <f>VLOOKUP($D50,유선목표!$A:$Z,S$1,0)+VLOOKUP($D50,유선_약갱!$C:$AE,'유선_합계(수식)'!S$1,0)</f>
        <v>#N/A</v>
      </c>
      <c r="T50" s="718" t="e">
        <f>VLOOKUP($D50,유선목표!$A:$Z,T$1,0)+VLOOKUP($D50,유선_약갱!$C:$AE,'유선_합계(수식)'!T$1,0)</f>
        <v>#N/A</v>
      </c>
      <c r="U50" s="718" t="e">
        <f>VLOOKUP($D50,유선목표!$A:$Z,U$1,0)+VLOOKUP($D50,유선_약갱!$C:$AE,'유선_합계(수식)'!U$1,0)</f>
        <v>#N/A</v>
      </c>
      <c r="V50" s="718" t="e">
        <f>VLOOKUP($D50,유선목표!$A:$Z,V$1,0)+VLOOKUP($D50,유선_약갱!$C:$AE,'유선_합계(수식)'!V$1,0)</f>
        <v>#N/A</v>
      </c>
      <c r="W50" s="718" t="e">
        <f>VLOOKUP($D50,유선목표!$A:$Z,W$1,0)+VLOOKUP($D50,유선_약갱!$C:$AE,'유선_합계(수식)'!W$1,0)</f>
        <v>#N/A</v>
      </c>
      <c r="X50" s="718" t="e">
        <f>VLOOKUP($D50,유선목표!$A:$Z,X$1,0)+VLOOKUP($D50,유선_약갱!$C:$AE,'유선_합계(수식)'!X$1,0)</f>
        <v>#N/A</v>
      </c>
      <c r="Y50" s="718" t="e">
        <f>VLOOKUP($D50,유선목표!$A:$Z,Y$1,0)+VLOOKUP($D50,유선_약갱!$C:$AE,'유선_합계(수식)'!Y$1,0)</f>
        <v>#N/A</v>
      </c>
      <c r="Z50" s="718" t="e">
        <f>VLOOKUP($D50,유선목표!$A:$Z,Z$1,0)+VLOOKUP($D50,유선_약갱!$C:$AE,'유선_합계(수식)'!Z$1,0)</f>
        <v>#N/A</v>
      </c>
      <c r="AA50" s="718" t="e">
        <f>VLOOKUP($D50,유선목표!$A:$Z,AA$1,0)+VLOOKUP($D50,유선_약갱!$C:$AE,'유선_합계(수식)'!AA$1,0)</f>
        <v>#N/A</v>
      </c>
      <c r="AB50" s="718" t="e">
        <f>VLOOKUP($D50,유선목표!$A:$Z,AB$1,0)+VLOOKUP($D50,유선_약갱!$C:$AE,'유선_합계(수식)'!AB$1,0)</f>
        <v>#N/A</v>
      </c>
      <c r="AC50" s="718" t="e">
        <f>VLOOKUP($D50,유선목표!$A:$Z,AC$1,0)+VLOOKUP($D50,유선_약갱!$C:$AE,'유선_합계(수식)'!AC$1,0)</f>
        <v>#N/A</v>
      </c>
      <c r="AD50" s="718" t="e">
        <f>VLOOKUP($D50,유선목표!$A:$Z,AD$1,0)+VLOOKUP($D50,유선_약갱!$C:$AE,'유선_합계(수식)'!AD$1,0)</f>
        <v>#N/A</v>
      </c>
      <c r="AE50" s="718" t="e">
        <f>VLOOKUP($D50,유선목표!$A:$Z,AE$1,0)+VLOOKUP($D50,유선_약갱!$C:$AE,'유선_합계(수식)'!AE$1,0)</f>
        <v>#N/A</v>
      </c>
      <c r="AF50" s="718" t="e">
        <f>VLOOKUP($D50,유선목표!$A:$Z,AF$1,0)+VLOOKUP($D50,유선_약갱!$C:$AE,'유선_합계(수식)'!AF$1,0)</f>
        <v>#N/A</v>
      </c>
      <c r="AG50" s="718" t="e">
        <f>VLOOKUP($D50,유선목표!$A:$Z,AG$1,0)+VLOOKUP($D50,유선_약갱!$C:$AE,'유선_합계(수식)'!AG$1,0)</f>
        <v>#N/A</v>
      </c>
      <c r="AH50" s="718" t="e">
        <f>VLOOKUP($D50,유선목표!$A:$Z,AH$1,0)+VLOOKUP($D50,유선_약갱!$C:$AE,'유선_합계(수식)'!AH$1,0)</f>
        <v>#N/A</v>
      </c>
      <c r="AI50" s="718" t="e">
        <f>VLOOKUP($D50,유선목표!$A:$Z,AI$1,0)+VLOOKUP($D50,유선_약갱!$C:$AE,'유선_합계(수식)'!AI$1,0)</f>
        <v>#N/A</v>
      </c>
      <c r="AJ50" s="718" t="e">
        <f>VLOOKUP($D50,유선목표!$A:$Z,AJ$1,0)+VLOOKUP($D50,유선_약갱!$C:$AE,'유선_합계(수식)'!AJ$1,0)</f>
        <v>#N/A</v>
      </c>
    </row>
    <row r="51" spans="1:36" ht="24" customHeight="1">
      <c r="A51" s="714" t="e">
        <f>VLOOKUP(D51,#REF!,2,0)</f>
        <v>#REF!</v>
      </c>
      <c r="B51" s="710">
        <v>48</v>
      </c>
      <c r="C51" s="711" t="s">
        <v>621</v>
      </c>
      <c r="D51" s="711" t="s">
        <v>459</v>
      </c>
      <c r="E51" s="718" t="e">
        <f t="shared" si="0"/>
        <v>#N/A</v>
      </c>
      <c r="F51" s="718" t="e">
        <f>VLOOKUP($D51,유선목표!$A:$Z,F$1,0)+VLOOKUP($D51,유선_약갱!$C:$AE,'유선_합계(수식)'!F$1,0)</f>
        <v>#N/A</v>
      </c>
      <c r="G51" s="718" t="e">
        <f>VLOOKUP($D51,유선목표!$A:$Z,G$1,0)+VLOOKUP($D51,유선_약갱!$C:$AE,'유선_합계(수식)'!G$1,0)</f>
        <v>#N/A</v>
      </c>
      <c r="H51" s="718" t="e">
        <f>VLOOKUP($D51,유선목표!$A:$Z,H$1,0)+VLOOKUP($D51,유선_약갱!$C:$AE,'유선_합계(수식)'!H$1,0)</f>
        <v>#N/A</v>
      </c>
      <c r="I51" s="718" t="e">
        <f>VLOOKUP($D51,유선목표!$A:$Z,I$1,0)+VLOOKUP($D51,유선_약갱!$C:$AE,'유선_합계(수식)'!I$1,0)</f>
        <v>#N/A</v>
      </c>
      <c r="J51" s="718" t="e">
        <f>VLOOKUP($D51,유선목표!$A:$Z,J$1,0)+VLOOKUP($D51,유선_약갱!$C:$AE,'유선_합계(수식)'!J$1,0)</f>
        <v>#N/A</v>
      </c>
      <c r="K51" s="718" t="e">
        <f>VLOOKUP($D51,유선목표!$A:$Z,K$1,0)+VLOOKUP($D51,유선_약갱!$C:$AE,'유선_합계(수식)'!K$1,0)</f>
        <v>#N/A</v>
      </c>
      <c r="L51" s="718" t="e">
        <f>VLOOKUP($D51,유선목표!$A:$Z,L$1,0)+VLOOKUP($D51,유선_약갱!$C:$AE,'유선_합계(수식)'!L$1,0)</f>
        <v>#N/A</v>
      </c>
      <c r="M51" s="718" t="e">
        <f>VLOOKUP($D51,유선목표!$A:$Z,M$1,0)+VLOOKUP($D51,유선_약갱!$C:$AE,'유선_합계(수식)'!M$1,0)</f>
        <v>#N/A</v>
      </c>
      <c r="N51" s="718" t="e">
        <f>VLOOKUP($D51,유선목표!$A:$Z,N$1,0)+VLOOKUP($D51,유선_약갱!$C:$AE,'유선_합계(수식)'!N$1,0)</f>
        <v>#N/A</v>
      </c>
      <c r="O51" s="718" t="e">
        <f>VLOOKUP($D51,유선목표!$A:$Z,O$1,0)+VLOOKUP($D51,유선_약갱!$C:$AE,'유선_합계(수식)'!O$1,0)</f>
        <v>#N/A</v>
      </c>
      <c r="P51" s="718" t="e">
        <f>VLOOKUP($D51,유선목표!$A:$Z,P$1,0)+VLOOKUP($D51,유선_약갱!$C:$AE,'유선_합계(수식)'!P$1,0)</f>
        <v>#N/A</v>
      </c>
      <c r="Q51" s="718" t="e">
        <f>VLOOKUP($D51,유선목표!$A:$Z,Q$1,0)+VLOOKUP($D51,유선_약갱!$C:$AE,'유선_합계(수식)'!Q$1,0)</f>
        <v>#N/A</v>
      </c>
      <c r="R51" s="718" t="e">
        <f>VLOOKUP($D51,유선목표!$A:$Z,R$1,0)+VLOOKUP($D51,유선_약갱!$C:$AE,'유선_합계(수식)'!R$1,0)</f>
        <v>#N/A</v>
      </c>
      <c r="S51" s="718" t="e">
        <f>VLOOKUP($D51,유선목표!$A:$Z,S$1,0)+VLOOKUP($D51,유선_약갱!$C:$AE,'유선_합계(수식)'!S$1,0)</f>
        <v>#N/A</v>
      </c>
      <c r="T51" s="718" t="e">
        <f>VLOOKUP($D51,유선목표!$A:$Z,T$1,0)+VLOOKUP($D51,유선_약갱!$C:$AE,'유선_합계(수식)'!T$1,0)</f>
        <v>#N/A</v>
      </c>
      <c r="U51" s="718" t="e">
        <f>VLOOKUP($D51,유선목표!$A:$Z,U$1,0)+VLOOKUP($D51,유선_약갱!$C:$AE,'유선_합계(수식)'!U$1,0)</f>
        <v>#N/A</v>
      </c>
      <c r="V51" s="718" t="e">
        <f>VLOOKUP($D51,유선목표!$A:$Z,V$1,0)+VLOOKUP($D51,유선_약갱!$C:$AE,'유선_합계(수식)'!V$1,0)</f>
        <v>#N/A</v>
      </c>
      <c r="W51" s="718" t="e">
        <f>VLOOKUP($D51,유선목표!$A:$Z,W$1,0)+VLOOKUP($D51,유선_약갱!$C:$AE,'유선_합계(수식)'!W$1,0)</f>
        <v>#N/A</v>
      </c>
      <c r="X51" s="718" t="e">
        <f>VLOOKUP($D51,유선목표!$A:$Z,X$1,0)+VLOOKUP($D51,유선_약갱!$C:$AE,'유선_합계(수식)'!X$1,0)</f>
        <v>#N/A</v>
      </c>
      <c r="Y51" s="718" t="e">
        <f>VLOOKUP($D51,유선목표!$A:$Z,Y$1,0)+VLOOKUP($D51,유선_약갱!$C:$AE,'유선_합계(수식)'!Y$1,0)</f>
        <v>#N/A</v>
      </c>
      <c r="Z51" s="718" t="e">
        <f>VLOOKUP($D51,유선목표!$A:$Z,Z$1,0)+VLOOKUP($D51,유선_약갱!$C:$AE,'유선_합계(수식)'!Z$1,0)</f>
        <v>#N/A</v>
      </c>
      <c r="AA51" s="718" t="e">
        <f>VLOOKUP($D51,유선목표!$A:$Z,AA$1,0)+VLOOKUP($D51,유선_약갱!$C:$AE,'유선_합계(수식)'!AA$1,0)</f>
        <v>#N/A</v>
      </c>
      <c r="AB51" s="718" t="e">
        <f>VLOOKUP($D51,유선목표!$A:$Z,AB$1,0)+VLOOKUP($D51,유선_약갱!$C:$AE,'유선_합계(수식)'!AB$1,0)</f>
        <v>#N/A</v>
      </c>
      <c r="AC51" s="718" t="e">
        <f>VLOOKUP($D51,유선목표!$A:$Z,AC$1,0)+VLOOKUP($D51,유선_약갱!$C:$AE,'유선_합계(수식)'!AC$1,0)</f>
        <v>#N/A</v>
      </c>
      <c r="AD51" s="718" t="e">
        <f>VLOOKUP($D51,유선목표!$A:$Z,AD$1,0)+VLOOKUP($D51,유선_약갱!$C:$AE,'유선_합계(수식)'!AD$1,0)</f>
        <v>#N/A</v>
      </c>
      <c r="AE51" s="718" t="e">
        <f>VLOOKUP($D51,유선목표!$A:$Z,AE$1,0)+VLOOKUP($D51,유선_약갱!$C:$AE,'유선_합계(수식)'!AE$1,0)</f>
        <v>#N/A</v>
      </c>
      <c r="AF51" s="718" t="e">
        <f>VLOOKUP($D51,유선목표!$A:$Z,AF$1,0)+VLOOKUP($D51,유선_약갱!$C:$AE,'유선_합계(수식)'!AF$1,0)</f>
        <v>#N/A</v>
      </c>
      <c r="AG51" s="718" t="e">
        <f>VLOOKUP($D51,유선목표!$A:$Z,AG$1,0)+VLOOKUP($D51,유선_약갱!$C:$AE,'유선_합계(수식)'!AG$1,0)</f>
        <v>#N/A</v>
      </c>
      <c r="AH51" s="718" t="e">
        <f>VLOOKUP($D51,유선목표!$A:$Z,AH$1,0)+VLOOKUP($D51,유선_약갱!$C:$AE,'유선_합계(수식)'!AH$1,0)</f>
        <v>#N/A</v>
      </c>
      <c r="AI51" s="718" t="e">
        <f>VLOOKUP($D51,유선목표!$A:$Z,AI$1,0)+VLOOKUP($D51,유선_약갱!$C:$AE,'유선_합계(수식)'!AI$1,0)</f>
        <v>#N/A</v>
      </c>
      <c r="AJ51" s="718" t="e">
        <f>VLOOKUP($D51,유선목표!$A:$Z,AJ$1,0)+VLOOKUP($D51,유선_약갱!$C:$AE,'유선_합계(수식)'!AJ$1,0)</f>
        <v>#N/A</v>
      </c>
    </row>
    <row r="52" spans="1:36" ht="24" customHeight="1">
      <c r="A52" s="714" t="e">
        <f>VLOOKUP(D52,#REF!,2,0)</f>
        <v>#REF!</v>
      </c>
      <c r="B52" s="710">
        <v>49</v>
      </c>
      <c r="C52" s="711" t="s">
        <v>622</v>
      </c>
      <c r="D52" s="711" t="s">
        <v>455</v>
      </c>
      <c r="E52" s="718" t="e">
        <f t="shared" si="0"/>
        <v>#N/A</v>
      </c>
      <c r="F52" s="718" t="e">
        <f>VLOOKUP($D52,유선목표!$A:$Z,F$1,0)+VLOOKUP($D52,유선_약갱!$C:$AE,'유선_합계(수식)'!F$1,0)</f>
        <v>#N/A</v>
      </c>
      <c r="G52" s="718" t="e">
        <f>VLOOKUP($D52,유선목표!$A:$Z,G$1,0)+VLOOKUP($D52,유선_약갱!$C:$AE,'유선_합계(수식)'!G$1,0)</f>
        <v>#N/A</v>
      </c>
      <c r="H52" s="718" t="e">
        <f>VLOOKUP($D52,유선목표!$A:$Z,H$1,0)+VLOOKUP($D52,유선_약갱!$C:$AE,'유선_합계(수식)'!H$1,0)</f>
        <v>#N/A</v>
      </c>
      <c r="I52" s="718" t="e">
        <f>VLOOKUP($D52,유선목표!$A:$Z,I$1,0)+VLOOKUP($D52,유선_약갱!$C:$AE,'유선_합계(수식)'!I$1,0)</f>
        <v>#N/A</v>
      </c>
      <c r="J52" s="718" t="e">
        <f>VLOOKUP($D52,유선목표!$A:$Z,J$1,0)+VLOOKUP($D52,유선_약갱!$C:$AE,'유선_합계(수식)'!J$1,0)</f>
        <v>#N/A</v>
      </c>
      <c r="K52" s="718" t="e">
        <f>VLOOKUP($D52,유선목표!$A:$Z,K$1,0)+VLOOKUP($D52,유선_약갱!$C:$AE,'유선_합계(수식)'!K$1,0)</f>
        <v>#N/A</v>
      </c>
      <c r="L52" s="718" t="e">
        <f>VLOOKUP($D52,유선목표!$A:$Z,L$1,0)+VLOOKUP($D52,유선_약갱!$C:$AE,'유선_합계(수식)'!L$1,0)</f>
        <v>#N/A</v>
      </c>
      <c r="M52" s="718" t="e">
        <f>VLOOKUP($D52,유선목표!$A:$Z,M$1,0)+VLOOKUP($D52,유선_약갱!$C:$AE,'유선_합계(수식)'!M$1,0)</f>
        <v>#N/A</v>
      </c>
      <c r="N52" s="718" t="e">
        <f>VLOOKUP($D52,유선목표!$A:$Z,N$1,0)+VLOOKUP($D52,유선_약갱!$C:$AE,'유선_합계(수식)'!N$1,0)</f>
        <v>#N/A</v>
      </c>
      <c r="O52" s="718" t="e">
        <f>VLOOKUP($D52,유선목표!$A:$Z,O$1,0)+VLOOKUP($D52,유선_약갱!$C:$AE,'유선_합계(수식)'!O$1,0)</f>
        <v>#N/A</v>
      </c>
      <c r="P52" s="718" t="e">
        <f>VLOOKUP($D52,유선목표!$A:$Z,P$1,0)+VLOOKUP($D52,유선_약갱!$C:$AE,'유선_합계(수식)'!P$1,0)</f>
        <v>#N/A</v>
      </c>
      <c r="Q52" s="718" t="e">
        <f>VLOOKUP($D52,유선목표!$A:$Z,Q$1,0)+VLOOKUP($D52,유선_약갱!$C:$AE,'유선_합계(수식)'!Q$1,0)</f>
        <v>#N/A</v>
      </c>
      <c r="R52" s="718" t="e">
        <f>VLOOKUP($D52,유선목표!$A:$Z,R$1,0)+VLOOKUP($D52,유선_약갱!$C:$AE,'유선_합계(수식)'!R$1,0)</f>
        <v>#N/A</v>
      </c>
      <c r="S52" s="718" t="e">
        <f>VLOOKUP($D52,유선목표!$A:$Z,S$1,0)+VLOOKUP($D52,유선_약갱!$C:$AE,'유선_합계(수식)'!S$1,0)</f>
        <v>#N/A</v>
      </c>
      <c r="T52" s="718" t="e">
        <f>VLOOKUP($D52,유선목표!$A:$Z,T$1,0)+VLOOKUP($D52,유선_약갱!$C:$AE,'유선_합계(수식)'!T$1,0)</f>
        <v>#N/A</v>
      </c>
      <c r="U52" s="718" t="e">
        <f>VLOOKUP($D52,유선목표!$A:$Z,U$1,0)+VLOOKUP($D52,유선_약갱!$C:$AE,'유선_합계(수식)'!U$1,0)</f>
        <v>#N/A</v>
      </c>
      <c r="V52" s="718" t="e">
        <f>VLOOKUP($D52,유선목표!$A:$Z,V$1,0)+VLOOKUP($D52,유선_약갱!$C:$AE,'유선_합계(수식)'!V$1,0)</f>
        <v>#N/A</v>
      </c>
      <c r="W52" s="718" t="e">
        <f>VLOOKUP($D52,유선목표!$A:$Z,W$1,0)+VLOOKUP($D52,유선_약갱!$C:$AE,'유선_합계(수식)'!W$1,0)</f>
        <v>#N/A</v>
      </c>
      <c r="X52" s="718" t="e">
        <f>VLOOKUP($D52,유선목표!$A:$Z,X$1,0)+VLOOKUP($D52,유선_약갱!$C:$AE,'유선_합계(수식)'!X$1,0)</f>
        <v>#N/A</v>
      </c>
      <c r="Y52" s="718" t="e">
        <f>VLOOKUP($D52,유선목표!$A:$Z,Y$1,0)+VLOOKUP($D52,유선_약갱!$C:$AE,'유선_합계(수식)'!Y$1,0)</f>
        <v>#N/A</v>
      </c>
      <c r="Z52" s="718" t="e">
        <f>VLOOKUP($D52,유선목표!$A:$Z,Z$1,0)+VLOOKUP($D52,유선_약갱!$C:$AE,'유선_합계(수식)'!Z$1,0)</f>
        <v>#N/A</v>
      </c>
      <c r="AA52" s="718" t="e">
        <f>VLOOKUP($D52,유선목표!$A:$Z,AA$1,0)+VLOOKUP($D52,유선_약갱!$C:$AE,'유선_합계(수식)'!AA$1,0)</f>
        <v>#N/A</v>
      </c>
      <c r="AB52" s="718" t="e">
        <f>VLOOKUP($D52,유선목표!$A:$Z,AB$1,0)+VLOOKUP($D52,유선_약갱!$C:$AE,'유선_합계(수식)'!AB$1,0)</f>
        <v>#N/A</v>
      </c>
      <c r="AC52" s="718" t="e">
        <f>VLOOKUP($D52,유선목표!$A:$Z,AC$1,0)+VLOOKUP($D52,유선_약갱!$C:$AE,'유선_합계(수식)'!AC$1,0)</f>
        <v>#N/A</v>
      </c>
      <c r="AD52" s="718" t="e">
        <f>VLOOKUP($D52,유선목표!$A:$Z,AD$1,0)+VLOOKUP($D52,유선_약갱!$C:$AE,'유선_합계(수식)'!AD$1,0)</f>
        <v>#N/A</v>
      </c>
      <c r="AE52" s="718" t="e">
        <f>VLOOKUP($D52,유선목표!$A:$Z,AE$1,0)+VLOOKUP($D52,유선_약갱!$C:$AE,'유선_합계(수식)'!AE$1,0)</f>
        <v>#N/A</v>
      </c>
      <c r="AF52" s="718" t="e">
        <f>VLOOKUP($D52,유선목표!$A:$Z,AF$1,0)+VLOOKUP($D52,유선_약갱!$C:$AE,'유선_합계(수식)'!AF$1,0)</f>
        <v>#N/A</v>
      </c>
      <c r="AG52" s="718" t="e">
        <f>VLOOKUP($D52,유선목표!$A:$Z,AG$1,0)+VLOOKUP($D52,유선_약갱!$C:$AE,'유선_합계(수식)'!AG$1,0)</f>
        <v>#N/A</v>
      </c>
      <c r="AH52" s="718" t="e">
        <f>VLOOKUP($D52,유선목표!$A:$Z,AH$1,0)+VLOOKUP($D52,유선_약갱!$C:$AE,'유선_합계(수식)'!AH$1,0)</f>
        <v>#N/A</v>
      </c>
      <c r="AI52" s="718" t="e">
        <f>VLOOKUP($D52,유선목표!$A:$Z,AI$1,0)+VLOOKUP($D52,유선_약갱!$C:$AE,'유선_합계(수식)'!AI$1,0)</f>
        <v>#N/A</v>
      </c>
      <c r="AJ52" s="718" t="e">
        <f>VLOOKUP($D52,유선목표!$A:$Z,AJ$1,0)+VLOOKUP($D52,유선_약갱!$C:$AE,'유선_합계(수식)'!AJ$1,0)</f>
        <v>#N/A</v>
      </c>
    </row>
    <row r="53" spans="1:36" ht="24" customHeight="1">
      <c r="A53" s="714" t="e">
        <f>VLOOKUP(D53,#REF!,2,0)</f>
        <v>#REF!</v>
      </c>
      <c r="B53" s="710">
        <v>50</v>
      </c>
      <c r="C53" s="711" t="s">
        <v>579</v>
      </c>
      <c r="D53" s="711" t="s">
        <v>379</v>
      </c>
      <c r="E53" s="718" t="e">
        <f t="shared" si="0"/>
        <v>#N/A</v>
      </c>
      <c r="F53" s="718" t="e">
        <f>VLOOKUP($D53,유선목표!$A:$Z,F$1,0)+VLOOKUP($D53,유선_약갱!$C:$AE,'유선_합계(수식)'!F$1,0)</f>
        <v>#N/A</v>
      </c>
      <c r="G53" s="718" t="e">
        <f>VLOOKUP($D53,유선목표!$A:$Z,G$1,0)+VLOOKUP($D53,유선_약갱!$C:$AE,'유선_합계(수식)'!G$1,0)</f>
        <v>#N/A</v>
      </c>
      <c r="H53" s="718" t="e">
        <f>VLOOKUP($D53,유선목표!$A:$Z,H$1,0)+VLOOKUP($D53,유선_약갱!$C:$AE,'유선_합계(수식)'!H$1,0)</f>
        <v>#N/A</v>
      </c>
      <c r="I53" s="718" t="e">
        <f>VLOOKUP($D53,유선목표!$A:$Z,I$1,0)+VLOOKUP($D53,유선_약갱!$C:$AE,'유선_합계(수식)'!I$1,0)</f>
        <v>#N/A</v>
      </c>
      <c r="J53" s="718" t="e">
        <f>VLOOKUP($D53,유선목표!$A:$Z,J$1,0)+VLOOKUP($D53,유선_약갱!$C:$AE,'유선_합계(수식)'!J$1,0)</f>
        <v>#N/A</v>
      </c>
      <c r="K53" s="718" t="e">
        <f>VLOOKUP($D53,유선목표!$A:$Z,K$1,0)+VLOOKUP($D53,유선_약갱!$C:$AE,'유선_합계(수식)'!K$1,0)</f>
        <v>#N/A</v>
      </c>
      <c r="L53" s="718" t="e">
        <f>VLOOKUP($D53,유선목표!$A:$Z,L$1,0)+VLOOKUP($D53,유선_약갱!$C:$AE,'유선_합계(수식)'!L$1,0)</f>
        <v>#N/A</v>
      </c>
      <c r="M53" s="718" t="e">
        <f>VLOOKUP($D53,유선목표!$A:$Z,M$1,0)+VLOOKUP($D53,유선_약갱!$C:$AE,'유선_합계(수식)'!M$1,0)</f>
        <v>#N/A</v>
      </c>
      <c r="N53" s="718" t="e">
        <f>VLOOKUP($D53,유선목표!$A:$Z,N$1,0)+VLOOKUP($D53,유선_약갱!$C:$AE,'유선_합계(수식)'!N$1,0)</f>
        <v>#N/A</v>
      </c>
      <c r="O53" s="718" t="e">
        <f>VLOOKUP($D53,유선목표!$A:$Z,O$1,0)+VLOOKUP($D53,유선_약갱!$C:$AE,'유선_합계(수식)'!O$1,0)</f>
        <v>#N/A</v>
      </c>
      <c r="P53" s="718" t="e">
        <f>VLOOKUP($D53,유선목표!$A:$Z,P$1,0)+VLOOKUP($D53,유선_약갱!$C:$AE,'유선_합계(수식)'!P$1,0)</f>
        <v>#N/A</v>
      </c>
      <c r="Q53" s="718" t="e">
        <f>VLOOKUP($D53,유선목표!$A:$Z,Q$1,0)+VLOOKUP($D53,유선_약갱!$C:$AE,'유선_합계(수식)'!Q$1,0)</f>
        <v>#N/A</v>
      </c>
      <c r="R53" s="718" t="e">
        <f>VLOOKUP($D53,유선목표!$A:$Z,R$1,0)+VLOOKUP($D53,유선_약갱!$C:$AE,'유선_합계(수식)'!R$1,0)</f>
        <v>#N/A</v>
      </c>
      <c r="S53" s="718" t="e">
        <f>VLOOKUP($D53,유선목표!$A:$Z,S$1,0)+VLOOKUP($D53,유선_약갱!$C:$AE,'유선_합계(수식)'!S$1,0)</f>
        <v>#N/A</v>
      </c>
      <c r="T53" s="718" t="e">
        <f>VLOOKUP($D53,유선목표!$A:$Z,T$1,0)+VLOOKUP($D53,유선_약갱!$C:$AE,'유선_합계(수식)'!T$1,0)</f>
        <v>#N/A</v>
      </c>
      <c r="U53" s="718" t="e">
        <f>VLOOKUP($D53,유선목표!$A:$Z,U$1,0)+VLOOKUP($D53,유선_약갱!$C:$AE,'유선_합계(수식)'!U$1,0)</f>
        <v>#N/A</v>
      </c>
      <c r="V53" s="718" t="e">
        <f>VLOOKUP($D53,유선목표!$A:$Z,V$1,0)+VLOOKUP($D53,유선_약갱!$C:$AE,'유선_합계(수식)'!V$1,0)</f>
        <v>#N/A</v>
      </c>
      <c r="W53" s="718" t="e">
        <f>VLOOKUP($D53,유선목표!$A:$Z,W$1,0)+VLOOKUP($D53,유선_약갱!$C:$AE,'유선_합계(수식)'!W$1,0)</f>
        <v>#N/A</v>
      </c>
      <c r="X53" s="718" t="e">
        <f>VLOOKUP($D53,유선목표!$A:$Z,X$1,0)+VLOOKUP($D53,유선_약갱!$C:$AE,'유선_합계(수식)'!X$1,0)</f>
        <v>#N/A</v>
      </c>
      <c r="Y53" s="718" t="e">
        <f>VLOOKUP($D53,유선목표!$A:$Z,Y$1,0)+VLOOKUP($D53,유선_약갱!$C:$AE,'유선_합계(수식)'!Y$1,0)</f>
        <v>#N/A</v>
      </c>
      <c r="Z53" s="718" t="e">
        <f>VLOOKUP($D53,유선목표!$A:$Z,Z$1,0)+VLOOKUP($D53,유선_약갱!$C:$AE,'유선_합계(수식)'!Z$1,0)</f>
        <v>#N/A</v>
      </c>
      <c r="AA53" s="718" t="e">
        <f>VLOOKUP($D53,유선목표!$A:$Z,AA$1,0)+VLOOKUP($D53,유선_약갱!$C:$AE,'유선_합계(수식)'!AA$1,0)</f>
        <v>#N/A</v>
      </c>
      <c r="AB53" s="718" t="e">
        <f>VLOOKUP($D53,유선목표!$A:$Z,AB$1,0)+VLOOKUP($D53,유선_약갱!$C:$AE,'유선_합계(수식)'!AB$1,0)</f>
        <v>#N/A</v>
      </c>
      <c r="AC53" s="718" t="e">
        <f>VLOOKUP($D53,유선목표!$A:$Z,AC$1,0)+VLOOKUP($D53,유선_약갱!$C:$AE,'유선_합계(수식)'!AC$1,0)</f>
        <v>#N/A</v>
      </c>
      <c r="AD53" s="718" t="e">
        <f>VLOOKUP($D53,유선목표!$A:$Z,AD$1,0)+VLOOKUP($D53,유선_약갱!$C:$AE,'유선_합계(수식)'!AD$1,0)</f>
        <v>#N/A</v>
      </c>
      <c r="AE53" s="718" t="e">
        <f>VLOOKUP($D53,유선목표!$A:$Z,AE$1,0)+VLOOKUP($D53,유선_약갱!$C:$AE,'유선_합계(수식)'!AE$1,0)</f>
        <v>#N/A</v>
      </c>
      <c r="AF53" s="718" t="e">
        <f>VLOOKUP($D53,유선목표!$A:$Z,AF$1,0)+VLOOKUP($D53,유선_약갱!$C:$AE,'유선_합계(수식)'!AF$1,0)</f>
        <v>#N/A</v>
      </c>
      <c r="AG53" s="718" t="e">
        <f>VLOOKUP($D53,유선목표!$A:$Z,AG$1,0)+VLOOKUP($D53,유선_약갱!$C:$AE,'유선_합계(수식)'!AG$1,0)</f>
        <v>#N/A</v>
      </c>
      <c r="AH53" s="718" t="e">
        <f>VLOOKUP($D53,유선목표!$A:$Z,AH$1,0)+VLOOKUP($D53,유선_약갱!$C:$AE,'유선_합계(수식)'!AH$1,0)</f>
        <v>#N/A</v>
      </c>
      <c r="AI53" s="718" t="e">
        <f>VLOOKUP($D53,유선목표!$A:$Z,AI$1,0)+VLOOKUP($D53,유선_약갱!$C:$AE,'유선_합계(수식)'!AI$1,0)</f>
        <v>#N/A</v>
      </c>
      <c r="AJ53" s="718" t="e">
        <f>VLOOKUP($D53,유선목표!$A:$Z,AJ$1,0)+VLOOKUP($D53,유선_약갱!$C:$AE,'유선_합계(수식)'!AJ$1,0)</f>
        <v>#N/A</v>
      </c>
    </row>
    <row r="54" spans="1:36" ht="24" customHeight="1">
      <c r="A54" s="714" t="e">
        <f>VLOOKUP(D54,#REF!,2,0)</f>
        <v>#REF!</v>
      </c>
      <c r="B54" s="710">
        <v>51</v>
      </c>
      <c r="C54" s="711" t="s">
        <v>595</v>
      </c>
      <c r="D54" s="711" t="s">
        <v>403</v>
      </c>
      <c r="E54" s="718" t="e">
        <f t="shared" si="0"/>
        <v>#N/A</v>
      </c>
      <c r="F54" s="718" t="e">
        <f>VLOOKUP($D54,유선목표!$A:$Z,F$1,0)+VLOOKUP($D54,유선_약갱!$C:$AE,'유선_합계(수식)'!F$1,0)</f>
        <v>#N/A</v>
      </c>
      <c r="G54" s="718" t="e">
        <f>VLOOKUP($D54,유선목표!$A:$Z,G$1,0)+VLOOKUP($D54,유선_약갱!$C:$AE,'유선_합계(수식)'!G$1,0)</f>
        <v>#N/A</v>
      </c>
      <c r="H54" s="718" t="e">
        <f>VLOOKUP($D54,유선목표!$A:$Z,H$1,0)+VLOOKUP($D54,유선_약갱!$C:$AE,'유선_합계(수식)'!H$1,0)</f>
        <v>#N/A</v>
      </c>
      <c r="I54" s="718" t="e">
        <f>VLOOKUP($D54,유선목표!$A:$Z,I$1,0)+VLOOKUP($D54,유선_약갱!$C:$AE,'유선_합계(수식)'!I$1,0)</f>
        <v>#N/A</v>
      </c>
      <c r="J54" s="718" t="e">
        <f>VLOOKUP($D54,유선목표!$A:$Z,J$1,0)+VLOOKUP($D54,유선_약갱!$C:$AE,'유선_합계(수식)'!J$1,0)</f>
        <v>#N/A</v>
      </c>
      <c r="K54" s="718" t="e">
        <f>VLOOKUP($D54,유선목표!$A:$Z,K$1,0)+VLOOKUP($D54,유선_약갱!$C:$AE,'유선_합계(수식)'!K$1,0)</f>
        <v>#N/A</v>
      </c>
      <c r="L54" s="718" t="e">
        <f>VLOOKUP($D54,유선목표!$A:$Z,L$1,0)+VLOOKUP($D54,유선_약갱!$C:$AE,'유선_합계(수식)'!L$1,0)</f>
        <v>#N/A</v>
      </c>
      <c r="M54" s="718" t="e">
        <f>VLOOKUP($D54,유선목표!$A:$Z,M$1,0)+VLOOKUP($D54,유선_약갱!$C:$AE,'유선_합계(수식)'!M$1,0)</f>
        <v>#N/A</v>
      </c>
      <c r="N54" s="718" t="e">
        <f>VLOOKUP($D54,유선목표!$A:$Z,N$1,0)+VLOOKUP($D54,유선_약갱!$C:$AE,'유선_합계(수식)'!N$1,0)</f>
        <v>#N/A</v>
      </c>
      <c r="O54" s="718" t="e">
        <f>VLOOKUP($D54,유선목표!$A:$Z,O$1,0)+VLOOKUP($D54,유선_약갱!$C:$AE,'유선_합계(수식)'!O$1,0)</f>
        <v>#N/A</v>
      </c>
      <c r="P54" s="718" t="e">
        <f>VLOOKUP($D54,유선목표!$A:$Z,P$1,0)+VLOOKUP($D54,유선_약갱!$C:$AE,'유선_합계(수식)'!P$1,0)</f>
        <v>#N/A</v>
      </c>
      <c r="Q54" s="718" t="e">
        <f>VLOOKUP($D54,유선목표!$A:$Z,Q$1,0)+VLOOKUP($D54,유선_약갱!$C:$AE,'유선_합계(수식)'!Q$1,0)</f>
        <v>#N/A</v>
      </c>
      <c r="R54" s="718" t="e">
        <f>VLOOKUP($D54,유선목표!$A:$Z,R$1,0)+VLOOKUP($D54,유선_약갱!$C:$AE,'유선_합계(수식)'!R$1,0)</f>
        <v>#N/A</v>
      </c>
      <c r="S54" s="718" t="e">
        <f>VLOOKUP($D54,유선목표!$A:$Z,S$1,0)+VLOOKUP($D54,유선_약갱!$C:$AE,'유선_합계(수식)'!S$1,0)</f>
        <v>#N/A</v>
      </c>
      <c r="T54" s="718" t="e">
        <f>VLOOKUP($D54,유선목표!$A:$Z,T$1,0)+VLOOKUP($D54,유선_약갱!$C:$AE,'유선_합계(수식)'!T$1,0)</f>
        <v>#N/A</v>
      </c>
      <c r="U54" s="718" t="e">
        <f>VLOOKUP($D54,유선목표!$A:$Z,U$1,0)+VLOOKUP($D54,유선_약갱!$C:$AE,'유선_합계(수식)'!U$1,0)</f>
        <v>#N/A</v>
      </c>
      <c r="V54" s="718" t="e">
        <f>VLOOKUP($D54,유선목표!$A:$Z,V$1,0)+VLOOKUP($D54,유선_약갱!$C:$AE,'유선_합계(수식)'!V$1,0)</f>
        <v>#N/A</v>
      </c>
      <c r="W54" s="718" t="e">
        <f>VLOOKUP($D54,유선목표!$A:$Z,W$1,0)+VLOOKUP($D54,유선_약갱!$C:$AE,'유선_합계(수식)'!W$1,0)</f>
        <v>#N/A</v>
      </c>
      <c r="X54" s="718" t="e">
        <f>VLOOKUP($D54,유선목표!$A:$Z,X$1,0)+VLOOKUP($D54,유선_약갱!$C:$AE,'유선_합계(수식)'!X$1,0)</f>
        <v>#N/A</v>
      </c>
      <c r="Y54" s="718" t="e">
        <f>VLOOKUP($D54,유선목표!$A:$Z,Y$1,0)+VLOOKUP($D54,유선_약갱!$C:$AE,'유선_합계(수식)'!Y$1,0)</f>
        <v>#N/A</v>
      </c>
      <c r="Z54" s="718" t="e">
        <f>VLOOKUP($D54,유선목표!$A:$Z,Z$1,0)+VLOOKUP($D54,유선_약갱!$C:$AE,'유선_합계(수식)'!Z$1,0)</f>
        <v>#N/A</v>
      </c>
      <c r="AA54" s="718" t="e">
        <f>VLOOKUP($D54,유선목표!$A:$Z,AA$1,0)+VLOOKUP($D54,유선_약갱!$C:$AE,'유선_합계(수식)'!AA$1,0)</f>
        <v>#N/A</v>
      </c>
      <c r="AB54" s="718" t="e">
        <f>VLOOKUP($D54,유선목표!$A:$Z,AB$1,0)+VLOOKUP($D54,유선_약갱!$C:$AE,'유선_합계(수식)'!AB$1,0)</f>
        <v>#N/A</v>
      </c>
      <c r="AC54" s="718" t="e">
        <f>VLOOKUP($D54,유선목표!$A:$Z,AC$1,0)+VLOOKUP($D54,유선_약갱!$C:$AE,'유선_합계(수식)'!AC$1,0)</f>
        <v>#N/A</v>
      </c>
      <c r="AD54" s="718" t="e">
        <f>VLOOKUP($D54,유선목표!$A:$Z,AD$1,0)+VLOOKUP($D54,유선_약갱!$C:$AE,'유선_합계(수식)'!AD$1,0)</f>
        <v>#N/A</v>
      </c>
      <c r="AE54" s="718" t="e">
        <f>VLOOKUP($D54,유선목표!$A:$Z,AE$1,0)+VLOOKUP($D54,유선_약갱!$C:$AE,'유선_합계(수식)'!AE$1,0)</f>
        <v>#N/A</v>
      </c>
      <c r="AF54" s="718" t="e">
        <f>VLOOKUP($D54,유선목표!$A:$Z,AF$1,0)+VLOOKUP($D54,유선_약갱!$C:$AE,'유선_합계(수식)'!AF$1,0)</f>
        <v>#N/A</v>
      </c>
      <c r="AG54" s="718" t="e">
        <f>VLOOKUP($D54,유선목표!$A:$Z,AG$1,0)+VLOOKUP($D54,유선_약갱!$C:$AE,'유선_합계(수식)'!AG$1,0)</f>
        <v>#N/A</v>
      </c>
      <c r="AH54" s="718" t="e">
        <f>VLOOKUP($D54,유선목표!$A:$Z,AH$1,0)+VLOOKUP($D54,유선_약갱!$C:$AE,'유선_합계(수식)'!AH$1,0)</f>
        <v>#N/A</v>
      </c>
      <c r="AI54" s="718" t="e">
        <f>VLOOKUP($D54,유선목표!$A:$Z,AI$1,0)+VLOOKUP($D54,유선_약갱!$C:$AE,'유선_합계(수식)'!AI$1,0)</f>
        <v>#N/A</v>
      </c>
      <c r="AJ54" s="718" t="e">
        <f>VLOOKUP($D54,유선목표!$A:$Z,AJ$1,0)+VLOOKUP($D54,유선_약갱!$C:$AE,'유선_합계(수식)'!AJ$1,0)</f>
        <v>#N/A</v>
      </c>
    </row>
    <row r="55" spans="1:36" ht="24" customHeight="1">
      <c r="A55" s="714" t="e">
        <f>VLOOKUP(D55,#REF!,2,0)</f>
        <v>#REF!</v>
      </c>
      <c r="B55" s="710">
        <v>52</v>
      </c>
      <c r="C55" s="711" t="s">
        <v>603</v>
      </c>
      <c r="D55" s="711" t="s">
        <v>405</v>
      </c>
      <c r="E55" s="718" t="e">
        <f t="shared" si="0"/>
        <v>#N/A</v>
      </c>
      <c r="F55" s="718" t="e">
        <f>VLOOKUP($D55,유선목표!$A:$Z,F$1,0)+VLOOKUP($D55,유선_약갱!$C:$AE,'유선_합계(수식)'!F$1,0)</f>
        <v>#N/A</v>
      </c>
      <c r="G55" s="718" t="e">
        <f>VLOOKUP($D55,유선목표!$A:$Z,G$1,0)+VLOOKUP($D55,유선_약갱!$C:$AE,'유선_합계(수식)'!G$1,0)</f>
        <v>#N/A</v>
      </c>
      <c r="H55" s="718" t="e">
        <f>VLOOKUP($D55,유선목표!$A:$Z,H$1,0)+VLOOKUP($D55,유선_약갱!$C:$AE,'유선_합계(수식)'!H$1,0)</f>
        <v>#N/A</v>
      </c>
      <c r="I55" s="718" t="e">
        <f>VLOOKUP($D55,유선목표!$A:$Z,I$1,0)+VLOOKUP($D55,유선_약갱!$C:$AE,'유선_합계(수식)'!I$1,0)</f>
        <v>#N/A</v>
      </c>
      <c r="J55" s="718" t="e">
        <f>VLOOKUP($D55,유선목표!$A:$Z,J$1,0)+VLOOKUP($D55,유선_약갱!$C:$AE,'유선_합계(수식)'!J$1,0)</f>
        <v>#N/A</v>
      </c>
      <c r="K55" s="718" t="e">
        <f>VLOOKUP($D55,유선목표!$A:$Z,K$1,0)+VLOOKUP($D55,유선_약갱!$C:$AE,'유선_합계(수식)'!K$1,0)</f>
        <v>#N/A</v>
      </c>
      <c r="L55" s="718" t="e">
        <f>VLOOKUP($D55,유선목표!$A:$Z,L$1,0)+VLOOKUP($D55,유선_약갱!$C:$AE,'유선_합계(수식)'!L$1,0)</f>
        <v>#N/A</v>
      </c>
      <c r="M55" s="718" t="e">
        <f>VLOOKUP($D55,유선목표!$A:$Z,M$1,0)+VLOOKUP($D55,유선_약갱!$C:$AE,'유선_합계(수식)'!M$1,0)</f>
        <v>#N/A</v>
      </c>
      <c r="N55" s="718" t="e">
        <f>VLOOKUP($D55,유선목표!$A:$Z,N$1,0)+VLOOKUP($D55,유선_약갱!$C:$AE,'유선_합계(수식)'!N$1,0)</f>
        <v>#N/A</v>
      </c>
      <c r="O55" s="718" t="e">
        <f>VLOOKUP($D55,유선목표!$A:$Z,O$1,0)+VLOOKUP($D55,유선_약갱!$C:$AE,'유선_합계(수식)'!O$1,0)</f>
        <v>#N/A</v>
      </c>
      <c r="P55" s="718" t="e">
        <f>VLOOKUP($D55,유선목표!$A:$Z,P$1,0)+VLOOKUP($D55,유선_약갱!$C:$AE,'유선_합계(수식)'!P$1,0)</f>
        <v>#N/A</v>
      </c>
      <c r="Q55" s="718" t="e">
        <f>VLOOKUP($D55,유선목표!$A:$Z,Q$1,0)+VLOOKUP($D55,유선_약갱!$C:$AE,'유선_합계(수식)'!Q$1,0)</f>
        <v>#N/A</v>
      </c>
      <c r="R55" s="718" t="e">
        <f>VLOOKUP($D55,유선목표!$A:$Z,R$1,0)+VLOOKUP($D55,유선_약갱!$C:$AE,'유선_합계(수식)'!R$1,0)</f>
        <v>#N/A</v>
      </c>
      <c r="S55" s="718" t="e">
        <f>VLOOKUP($D55,유선목표!$A:$Z,S$1,0)+VLOOKUP($D55,유선_약갱!$C:$AE,'유선_합계(수식)'!S$1,0)</f>
        <v>#N/A</v>
      </c>
      <c r="T55" s="718" t="e">
        <f>VLOOKUP($D55,유선목표!$A:$Z,T$1,0)+VLOOKUP($D55,유선_약갱!$C:$AE,'유선_합계(수식)'!T$1,0)</f>
        <v>#N/A</v>
      </c>
      <c r="U55" s="718" t="e">
        <f>VLOOKUP($D55,유선목표!$A:$Z,U$1,0)+VLOOKUP($D55,유선_약갱!$C:$AE,'유선_합계(수식)'!U$1,0)</f>
        <v>#N/A</v>
      </c>
      <c r="V55" s="718" t="e">
        <f>VLOOKUP($D55,유선목표!$A:$Z,V$1,0)+VLOOKUP($D55,유선_약갱!$C:$AE,'유선_합계(수식)'!V$1,0)</f>
        <v>#N/A</v>
      </c>
      <c r="W55" s="718" t="e">
        <f>VLOOKUP($D55,유선목표!$A:$Z,W$1,0)+VLOOKUP($D55,유선_약갱!$C:$AE,'유선_합계(수식)'!W$1,0)</f>
        <v>#N/A</v>
      </c>
      <c r="X55" s="718" t="e">
        <f>VLOOKUP($D55,유선목표!$A:$Z,X$1,0)+VLOOKUP($D55,유선_약갱!$C:$AE,'유선_합계(수식)'!X$1,0)</f>
        <v>#N/A</v>
      </c>
      <c r="Y55" s="718" t="e">
        <f>VLOOKUP($D55,유선목표!$A:$Z,Y$1,0)+VLOOKUP($D55,유선_약갱!$C:$AE,'유선_합계(수식)'!Y$1,0)</f>
        <v>#N/A</v>
      </c>
      <c r="Z55" s="718" t="e">
        <f>VLOOKUP($D55,유선목표!$A:$Z,Z$1,0)+VLOOKUP($D55,유선_약갱!$C:$AE,'유선_합계(수식)'!Z$1,0)</f>
        <v>#N/A</v>
      </c>
      <c r="AA55" s="718" t="e">
        <f>VLOOKUP($D55,유선목표!$A:$Z,AA$1,0)+VLOOKUP($D55,유선_약갱!$C:$AE,'유선_합계(수식)'!AA$1,0)</f>
        <v>#N/A</v>
      </c>
      <c r="AB55" s="718" t="e">
        <f>VLOOKUP($D55,유선목표!$A:$Z,AB$1,0)+VLOOKUP($D55,유선_약갱!$C:$AE,'유선_합계(수식)'!AB$1,0)</f>
        <v>#N/A</v>
      </c>
      <c r="AC55" s="718" t="e">
        <f>VLOOKUP($D55,유선목표!$A:$Z,AC$1,0)+VLOOKUP($D55,유선_약갱!$C:$AE,'유선_합계(수식)'!AC$1,0)</f>
        <v>#N/A</v>
      </c>
      <c r="AD55" s="718" t="e">
        <f>VLOOKUP($D55,유선목표!$A:$Z,AD$1,0)+VLOOKUP($D55,유선_약갱!$C:$AE,'유선_합계(수식)'!AD$1,0)</f>
        <v>#N/A</v>
      </c>
      <c r="AE55" s="718" t="e">
        <f>VLOOKUP($D55,유선목표!$A:$Z,AE$1,0)+VLOOKUP($D55,유선_약갱!$C:$AE,'유선_합계(수식)'!AE$1,0)</f>
        <v>#N/A</v>
      </c>
      <c r="AF55" s="718" t="e">
        <f>VLOOKUP($D55,유선목표!$A:$Z,AF$1,0)+VLOOKUP($D55,유선_약갱!$C:$AE,'유선_합계(수식)'!AF$1,0)</f>
        <v>#N/A</v>
      </c>
      <c r="AG55" s="718" t="e">
        <f>VLOOKUP($D55,유선목표!$A:$Z,AG$1,0)+VLOOKUP($D55,유선_약갱!$C:$AE,'유선_합계(수식)'!AG$1,0)</f>
        <v>#N/A</v>
      </c>
      <c r="AH55" s="718" t="e">
        <f>VLOOKUP($D55,유선목표!$A:$Z,AH$1,0)+VLOOKUP($D55,유선_약갱!$C:$AE,'유선_합계(수식)'!AH$1,0)</f>
        <v>#N/A</v>
      </c>
      <c r="AI55" s="718" t="e">
        <f>VLOOKUP($D55,유선목표!$A:$Z,AI$1,0)+VLOOKUP($D55,유선_약갱!$C:$AE,'유선_합계(수식)'!AI$1,0)</f>
        <v>#N/A</v>
      </c>
      <c r="AJ55" s="718" t="e">
        <f>VLOOKUP($D55,유선목표!$A:$Z,AJ$1,0)+VLOOKUP($D55,유선_약갱!$C:$AE,'유선_합계(수식)'!AJ$1,0)</f>
        <v>#N/A</v>
      </c>
    </row>
    <row r="56" spans="1:36" ht="24" customHeight="1">
      <c r="A56" s="714" t="e">
        <f>VLOOKUP(D56,#REF!,2,0)</f>
        <v>#REF!</v>
      </c>
      <c r="B56" s="710">
        <v>53</v>
      </c>
      <c r="C56" s="711" t="s">
        <v>580</v>
      </c>
      <c r="D56" s="711" t="s">
        <v>372</v>
      </c>
      <c r="E56" s="718" t="e">
        <f t="shared" si="0"/>
        <v>#N/A</v>
      </c>
      <c r="F56" s="718" t="e">
        <f>VLOOKUP($D56,유선목표!$A:$Z,F$1,0)+VLOOKUP($D56,유선_약갱!$C:$AE,'유선_합계(수식)'!F$1,0)</f>
        <v>#N/A</v>
      </c>
      <c r="G56" s="718" t="e">
        <f>VLOOKUP($D56,유선목표!$A:$Z,G$1,0)+VLOOKUP($D56,유선_약갱!$C:$AE,'유선_합계(수식)'!G$1,0)</f>
        <v>#N/A</v>
      </c>
      <c r="H56" s="718" t="e">
        <f>VLOOKUP($D56,유선목표!$A:$Z,H$1,0)+VLOOKUP($D56,유선_약갱!$C:$AE,'유선_합계(수식)'!H$1,0)</f>
        <v>#N/A</v>
      </c>
      <c r="I56" s="718" t="e">
        <f>VLOOKUP($D56,유선목표!$A:$Z,I$1,0)+VLOOKUP($D56,유선_약갱!$C:$AE,'유선_합계(수식)'!I$1,0)</f>
        <v>#N/A</v>
      </c>
      <c r="J56" s="718" t="e">
        <f>VLOOKUP($D56,유선목표!$A:$Z,J$1,0)+VLOOKUP($D56,유선_약갱!$C:$AE,'유선_합계(수식)'!J$1,0)</f>
        <v>#N/A</v>
      </c>
      <c r="K56" s="718" t="e">
        <f>VLOOKUP($D56,유선목표!$A:$Z,K$1,0)+VLOOKUP($D56,유선_약갱!$C:$AE,'유선_합계(수식)'!K$1,0)</f>
        <v>#N/A</v>
      </c>
      <c r="L56" s="718" t="e">
        <f>VLOOKUP($D56,유선목표!$A:$Z,L$1,0)+VLOOKUP($D56,유선_약갱!$C:$AE,'유선_합계(수식)'!L$1,0)</f>
        <v>#N/A</v>
      </c>
      <c r="M56" s="718" t="e">
        <f>VLOOKUP($D56,유선목표!$A:$Z,M$1,0)+VLOOKUP($D56,유선_약갱!$C:$AE,'유선_합계(수식)'!M$1,0)</f>
        <v>#N/A</v>
      </c>
      <c r="N56" s="718" t="e">
        <f>VLOOKUP($D56,유선목표!$A:$Z,N$1,0)+VLOOKUP($D56,유선_약갱!$C:$AE,'유선_합계(수식)'!N$1,0)</f>
        <v>#N/A</v>
      </c>
      <c r="O56" s="718" t="e">
        <f>VLOOKUP($D56,유선목표!$A:$Z,O$1,0)+VLOOKUP($D56,유선_약갱!$C:$AE,'유선_합계(수식)'!O$1,0)</f>
        <v>#N/A</v>
      </c>
      <c r="P56" s="718" t="e">
        <f>VLOOKUP($D56,유선목표!$A:$Z,P$1,0)+VLOOKUP($D56,유선_약갱!$C:$AE,'유선_합계(수식)'!P$1,0)</f>
        <v>#N/A</v>
      </c>
      <c r="Q56" s="718" t="e">
        <f>VLOOKUP($D56,유선목표!$A:$Z,Q$1,0)+VLOOKUP($D56,유선_약갱!$C:$AE,'유선_합계(수식)'!Q$1,0)</f>
        <v>#N/A</v>
      </c>
      <c r="R56" s="718" t="e">
        <f>VLOOKUP($D56,유선목표!$A:$Z,R$1,0)+VLOOKUP($D56,유선_약갱!$C:$AE,'유선_합계(수식)'!R$1,0)</f>
        <v>#N/A</v>
      </c>
      <c r="S56" s="718" t="e">
        <f>VLOOKUP($D56,유선목표!$A:$Z,S$1,0)+VLOOKUP($D56,유선_약갱!$C:$AE,'유선_합계(수식)'!S$1,0)</f>
        <v>#N/A</v>
      </c>
      <c r="T56" s="718" t="e">
        <f>VLOOKUP($D56,유선목표!$A:$Z,T$1,0)+VLOOKUP($D56,유선_약갱!$C:$AE,'유선_합계(수식)'!T$1,0)</f>
        <v>#N/A</v>
      </c>
      <c r="U56" s="718" t="e">
        <f>VLOOKUP($D56,유선목표!$A:$Z,U$1,0)+VLOOKUP($D56,유선_약갱!$C:$AE,'유선_합계(수식)'!U$1,0)</f>
        <v>#N/A</v>
      </c>
      <c r="V56" s="718" t="e">
        <f>VLOOKUP($D56,유선목표!$A:$Z,V$1,0)+VLOOKUP($D56,유선_약갱!$C:$AE,'유선_합계(수식)'!V$1,0)</f>
        <v>#N/A</v>
      </c>
      <c r="W56" s="718" t="e">
        <f>VLOOKUP($D56,유선목표!$A:$Z,W$1,0)+VLOOKUP($D56,유선_약갱!$C:$AE,'유선_합계(수식)'!W$1,0)</f>
        <v>#N/A</v>
      </c>
      <c r="X56" s="718" t="e">
        <f>VLOOKUP($D56,유선목표!$A:$Z,X$1,0)+VLOOKUP($D56,유선_약갱!$C:$AE,'유선_합계(수식)'!X$1,0)</f>
        <v>#N/A</v>
      </c>
      <c r="Y56" s="718" t="e">
        <f>VLOOKUP($D56,유선목표!$A:$Z,Y$1,0)+VLOOKUP($D56,유선_약갱!$C:$AE,'유선_합계(수식)'!Y$1,0)</f>
        <v>#N/A</v>
      </c>
      <c r="Z56" s="718" t="e">
        <f>VLOOKUP($D56,유선목표!$A:$Z,Z$1,0)+VLOOKUP($D56,유선_약갱!$C:$AE,'유선_합계(수식)'!Z$1,0)</f>
        <v>#N/A</v>
      </c>
      <c r="AA56" s="718" t="e">
        <f>VLOOKUP($D56,유선목표!$A:$Z,AA$1,0)+VLOOKUP($D56,유선_약갱!$C:$AE,'유선_합계(수식)'!AA$1,0)</f>
        <v>#N/A</v>
      </c>
      <c r="AB56" s="718" t="e">
        <f>VLOOKUP($D56,유선목표!$A:$Z,AB$1,0)+VLOOKUP($D56,유선_약갱!$C:$AE,'유선_합계(수식)'!AB$1,0)</f>
        <v>#N/A</v>
      </c>
      <c r="AC56" s="718" t="e">
        <f>VLOOKUP($D56,유선목표!$A:$Z,AC$1,0)+VLOOKUP($D56,유선_약갱!$C:$AE,'유선_합계(수식)'!AC$1,0)</f>
        <v>#N/A</v>
      </c>
      <c r="AD56" s="718" t="e">
        <f>VLOOKUP($D56,유선목표!$A:$Z,AD$1,0)+VLOOKUP($D56,유선_약갱!$C:$AE,'유선_합계(수식)'!AD$1,0)</f>
        <v>#N/A</v>
      </c>
      <c r="AE56" s="718" t="e">
        <f>VLOOKUP($D56,유선목표!$A:$Z,AE$1,0)+VLOOKUP($D56,유선_약갱!$C:$AE,'유선_합계(수식)'!AE$1,0)</f>
        <v>#N/A</v>
      </c>
      <c r="AF56" s="718" t="e">
        <f>VLOOKUP($D56,유선목표!$A:$Z,AF$1,0)+VLOOKUP($D56,유선_약갱!$C:$AE,'유선_합계(수식)'!AF$1,0)</f>
        <v>#N/A</v>
      </c>
      <c r="AG56" s="718" t="e">
        <f>VLOOKUP($D56,유선목표!$A:$Z,AG$1,0)+VLOOKUP($D56,유선_약갱!$C:$AE,'유선_합계(수식)'!AG$1,0)</f>
        <v>#N/A</v>
      </c>
      <c r="AH56" s="718" t="e">
        <f>VLOOKUP($D56,유선목표!$A:$Z,AH$1,0)+VLOOKUP($D56,유선_약갱!$C:$AE,'유선_합계(수식)'!AH$1,0)</f>
        <v>#N/A</v>
      </c>
      <c r="AI56" s="718" t="e">
        <f>VLOOKUP($D56,유선목표!$A:$Z,AI$1,0)+VLOOKUP($D56,유선_약갱!$C:$AE,'유선_합계(수식)'!AI$1,0)</f>
        <v>#N/A</v>
      </c>
      <c r="AJ56" s="718" t="e">
        <f>VLOOKUP($D56,유선목표!$A:$Z,AJ$1,0)+VLOOKUP($D56,유선_약갱!$C:$AE,'유선_합계(수식)'!AJ$1,0)</f>
        <v>#N/A</v>
      </c>
    </row>
    <row r="57" spans="1:36" ht="24" customHeight="1">
      <c r="A57" s="714" t="e">
        <f>VLOOKUP(D57,#REF!,2,0)</f>
        <v>#REF!</v>
      </c>
      <c r="B57" s="710">
        <v>54</v>
      </c>
      <c r="C57" s="711" t="s">
        <v>604</v>
      </c>
      <c r="D57" s="711" t="s">
        <v>409</v>
      </c>
      <c r="E57" s="718" t="e">
        <f t="shared" si="0"/>
        <v>#N/A</v>
      </c>
      <c r="F57" s="718" t="e">
        <f>VLOOKUP($D57,유선목표!$A:$Z,F$1,0)+VLOOKUP($D57,유선_약갱!$C:$AE,'유선_합계(수식)'!F$1,0)</f>
        <v>#N/A</v>
      </c>
      <c r="G57" s="718" t="e">
        <f>VLOOKUP($D57,유선목표!$A:$Z,G$1,0)+VLOOKUP($D57,유선_약갱!$C:$AE,'유선_합계(수식)'!G$1,0)</f>
        <v>#N/A</v>
      </c>
      <c r="H57" s="718" t="e">
        <f>VLOOKUP($D57,유선목표!$A:$Z,H$1,0)+VLOOKUP($D57,유선_약갱!$C:$AE,'유선_합계(수식)'!H$1,0)</f>
        <v>#N/A</v>
      </c>
      <c r="I57" s="718" t="e">
        <f>VLOOKUP($D57,유선목표!$A:$Z,I$1,0)+VLOOKUP($D57,유선_약갱!$C:$AE,'유선_합계(수식)'!I$1,0)</f>
        <v>#N/A</v>
      </c>
      <c r="J57" s="718" t="e">
        <f>VLOOKUP($D57,유선목표!$A:$Z,J$1,0)+VLOOKUP($D57,유선_약갱!$C:$AE,'유선_합계(수식)'!J$1,0)</f>
        <v>#N/A</v>
      </c>
      <c r="K57" s="718" t="e">
        <f>VLOOKUP($D57,유선목표!$A:$Z,K$1,0)+VLOOKUP($D57,유선_약갱!$C:$AE,'유선_합계(수식)'!K$1,0)</f>
        <v>#N/A</v>
      </c>
      <c r="L57" s="718" t="e">
        <f>VLOOKUP($D57,유선목표!$A:$Z,L$1,0)+VLOOKUP($D57,유선_약갱!$C:$AE,'유선_합계(수식)'!L$1,0)</f>
        <v>#N/A</v>
      </c>
      <c r="M57" s="718" t="e">
        <f>VLOOKUP($D57,유선목표!$A:$Z,M$1,0)+VLOOKUP($D57,유선_약갱!$C:$AE,'유선_합계(수식)'!M$1,0)</f>
        <v>#N/A</v>
      </c>
      <c r="N57" s="718" t="e">
        <f>VLOOKUP($D57,유선목표!$A:$Z,N$1,0)+VLOOKUP($D57,유선_약갱!$C:$AE,'유선_합계(수식)'!N$1,0)</f>
        <v>#N/A</v>
      </c>
      <c r="O57" s="718" t="e">
        <f>VLOOKUP($D57,유선목표!$A:$Z,O$1,0)+VLOOKUP($D57,유선_약갱!$C:$AE,'유선_합계(수식)'!O$1,0)</f>
        <v>#N/A</v>
      </c>
      <c r="P57" s="718" t="e">
        <f>VLOOKUP($D57,유선목표!$A:$Z,P$1,0)+VLOOKUP($D57,유선_약갱!$C:$AE,'유선_합계(수식)'!P$1,0)</f>
        <v>#N/A</v>
      </c>
      <c r="Q57" s="718" t="e">
        <f>VLOOKUP($D57,유선목표!$A:$Z,Q$1,0)+VLOOKUP($D57,유선_약갱!$C:$AE,'유선_합계(수식)'!Q$1,0)</f>
        <v>#N/A</v>
      </c>
      <c r="R57" s="718" t="e">
        <f>VLOOKUP($D57,유선목표!$A:$Z,R$1,0)+VLOOKUP($D57,유선_약갱!$C:$AE,'유선_합계(수식)'!R$1,0)</f>
        <v>#N/A</v>
      </c>
      <c r="S57" s="718" t="e">
        <f>VLOOKUP($D57,유선목표!$A:$Z,S$1,0)+VLOOKUP($D57,유선_약갱!$C:$AE,'유선_합계(수식)'!S$1,0)</f>
        <v>#N/A</v>
      </c>
      <c r="T57" s="718" t="e">
        <f>VLOOKUP($D57,유선목표!$A:$Z,T$1,0)+VLOOKUP($D57,유선_약갱!$C:$AE,'유선_합계(수식)'!T$1,0)</f>
        <v>#N/A</v>
      </c>
      <c r="U57" s="718" t="e">
        <f>VLOOKUP($D57,유선목표!$A:$Z,U$1,0)+VLOOKUP($D57,유선_약갱!$C:$AE,'유선_합계(수식)'!U$1,0)</f>
        <v>#N/A</v>
      </c>
      <c r="V57" s="718" t="e">
        <f>VLOOKUP($D57,유선목표!$A:$Z,V$1,0)+VLOOKUP($D57,유선_약갱!$C:$AE,'유선_합계(수식)'!V$1,0)</f>
        <v>#N/A</v>
      </c>
      <c r="W57" s="718" t="e">
        <f>VLOOKUP($D57,유선목표!$A:$Z,W$1,0)+VLOOKUP($D57,유선_약갱!$C:$AE,'유선_합계(수식)'!W$1,0)</f>
        <v>#N/A</v>
      </c>
      <c r="X57" s="718" t="e">
        <f>VLOOKUP($D57,유선목표!$A:$Z,X$1,0)+VLOOKUP($D57,유선_약갱!$C:$AE,'유선_합계(수식)'!X$1,0)</f>
        <v>#N/A</v>
      </c>
      <c r="Y57" s="718" t="e">
        <f>VLOOKUP($D57,유선목표!$A:$Z,Y$1,0)+VLOOKUP($D57,유선_약갱!$C:$AE,'유선_합계(수식)'!Y$1,0)</f>
        <v>#N/A</v>
      </c>
      <c r="Z57" s="718" t="e">
        <f>VLOOKUP($D57,유선목표!$A:$Z,Z$1,0)+VLOOKUP($D57,유선_약갱!$C:$AE,'유선_합계(수식)'!Z$1,0)</f>
        <v>#N/A</v>
      </c>
      <c r="AA57" s="718" t="e">
        <f>VLOOKUP($D57,유선목표!$A:$Z,AA$1,0)+VLOOKUP($D57,유선_약갱!$C:$AE,'유선_합계(수식)'!AA$1,0)</f>
        <v>#N/A</v>
      </c>
      <c r="AB57" s="718" t="e">
        <f>VLOOKUP($D57,유선목표!$A:$Z,AB$1,0)+VLOOKUP($D57,유선_약갱!$C:$AE,'유선_합계(수식)'!AB$1,0)</f>
        <v>#N/A</v>
      </c>
      <c r="AC57" s="718" t="e">
        <f>VLOOKUP($D57,유선목표!$A:$Z,AC$1,0)+VLOOKUP($D57,유선_약갱!$C:$AE,'유선_합계(수식)'!AC$1,0)</f>
        <v>#N/A</v>
      </c>
      <c r="AD57" s="718" t="e">
        <f>VLOOKUP($D57,유선목표!$A:$Z,AD$1,0)+VLOOKUP($D57,유선_약갱!$C:$AE,'유선_합계(수식)'!AD$1,0)</f>
        <v>#N/A</v>
      </c>
      <c r="AE57" s="718" t="e">
        <f>VLOOKUP($D57,유선목표!$A:$Z,AE$1,0)+VLOOKUP($D57,유선_약갱!$C:$AE,'유선_합계(수식)'!AE$1,0)</f>
        <v>#N/A</v>
      </c>
      <c r="AF57" s="718" t="e">
        <f>VLOOKUP($D57,유선목표!$A:$Z,AF$1,0)+VLOOKUP($D57,유선_약갱!$C:$AE,'유선_합계(수식)'!AF$1,0)</f>
        <v>#N/A</v>
      </c>
      <c r="AG57" s="718" t="e">
        <f>VLOOKUP($D57,유선목표!$A:$Z,AG$1,0)+VLOOKUP($D57,유선_약갱!$C:$AE,'유선_합계(수식)'!AG$1,0)</f>
        <v>#N/A</v>
      </c>
      <c r="AH57" s="718" t="e">
        <f>VLOOKUP($D57,유선목표!$A:$Z,AH$1,0)+VLOOKUP($D57,유선_약갱!$C:$AE,'유선_합계(수식)'!AH$1,0)</f>
        <v>#N/A</v>
      </c>
      <c r="AI57" s="718" t="e">
        <f>VLOOKUP($D57,유선목표!$A:$Z,AI$1,0)+VLOOKUP($D57,유선_약갱!$C:$AE,'유선_합계(수식)'!AI$1,0)</f>
        <v>#N/A</v>
      </c>
      <c r="AJ57" s="718" t="e">
        <f>VLOOKUP($D57,유선목표!$A:$Z,AJ$1,0)+VLOOKUP($D57,유선_약갱!$C:$AE,'유선_합계(수식)'!AJ$1,0)</f>
        <v>#N/A</v>
      </c>
    </row>
    <row r="58" spans="1:36" ht="24" customHeight="1">
      <c r="A58" s="714" t="e">
        <f>VLOOKUP(D58,#REF!,2,0)</f>
        <v>#REF!</v>
      </c>
      <c r="B58" s="710">
        <v>55</v>
      </c>
      <c r="C58" s="711" t="s">
        <v>584</v>
      </c>
      <c r="D58" s="711" t="s">
        <v>387</v>
      </c>
      <c r="E58" s="718" t="e">
        <f t="shared" si="0"/>
        <v>#N/A</v>
      </c>
      <c r="F58" s="718" t="e">
        <f>VLOOKUP($D58,유선목표!$A:$Z,F$1,0)+VLOOKUP($D58,유선_약갱!$C:$AE,'유선_합계(수식)'!F$1,0)</f>
        <v>#N/A</v>
      </c>
      <c r="G58" s="718" t="e">
        <f>VLOOKUP($D58,유선목표!$A:$Z,G$1,0)+VLOOKUP($D58,유선_약갱!$C:$AE,'유선_합계(수식)'!G$1,0)</f>
        <v>#N/A</v>
      </c>
      <c r="H58" s="718" t="e">
        <f>VLOOKUP($D58,유선목표!$A:$Z,H$1,0)+VLOOKUP($D58,유선_약갱!$C:$AE,'유선_합계(수식)'!H$1,0)</f>
        <v>#N/A</v>
      </c>
      <c r="I58" s="718" t="e">
        <f>VLOOKUP($D58,유선목표!$A:$Z,I$1,0)+VLOOKUP($D58,유선_약갱!$C:$AE,'유선_합계(수식)'!I$1,0)</f>
        <v>#N/A</v>
      </c>
      <c r="J58" s="718" t="e">
        <f>VLOOKUP($D58,유선목표!$A:$Z,J$1,0)+VLOOKUP($D58,유선_약갱!$C:$AE,'유선_합계(수식)'!J$1,0)</f>
        <v>#N/A</v>
      </c>
      <c r="K58" s="718" t="e">
        <f>VLOOKUP($D58,유선목표!$A:$Z,K$1,0)+VLOOKUP($D58,유선_약갱!$C:$AE,'유선_합계(수식)'!K$1,0)</f>
        <v>#N/A</v>
      </c>
      <c r="L58" s="718" t="e">
        <f>VLOOKUP($D58,유선목표!$A:$Z,L$1,0)+VLOOKUP($D58,유선_약갱!$C:$AE,'유선_합계(수식)'!L$1,0)</f>
        <v>#N/A</v>
      </c>
      <c r="M58" s="718" t="e">
        <f>VLOOKUP($D58,유선목표!$A:$Z,M$1,0)+VLOOKUP($D58,유선_약갱!$C:$AE,'유선_합계(수식)'!M$1,0)</f>
        <v>#N/A</v>
      </c>
      <c r="N58" s="718" t="e">
        <f>VLOOKUP($D58,유선목표!$A:$Z,N$1,0)+VLOOKUP($D58,유선_약갱!$C:$AE,'유선_합계(수식)'!N$1,0)</f>
        <v>#N/A</v>
      </c>
      <c r="O58" s="718" t="e">
        <f>VLOOKUP($D58,유선목표!$A:$Z,O$1,0)+VLOOKUP($D58,유선_약갱!$C:$AE,'유선_합계(수식)'!O$1,0)</f>
        <v>#N/A</v>
      </c>
      <c r="P58" s="718" t="e">
        <f>VLOOKUP($D58,유선목표!$A:$Z,P$1,0)+VLOOKUP($D58,유선_약갱!$C:$AE,'유선_합계(수식)'!P$1,0)</f>
        <v>#N/A</v>
      </c>
      <c r="Q58" s="718" t="e">
        <f>VLOOKUP($D58,유선목표!$A:$Z,Q$1,0)+VLOOKUP($D58,유선_약갱!$C:$AE,'유선_합계(수식)'!Q$1,0)</f>
        <v>#N/A</v>
      </c>
      <c r="R58" s="718" t="e">
        <f>VLOOKUP($D58,유선목표!$A:$Z,R$1,0)+VLOOKUP($D58,유선_약갱!$C:$AE,'유선_합계(수식)'!R$1,0)</f>
        <v>#N/A</v>
      </c>
      <c r="S58" s="718" t="e">
        <f>VLOOKUP($D58,유선목표!$A:$Z,S$1,0)+VLOOKUP($D58,유선_약갱!$C:$AE,'유선_합계(수식)'!S$1,0)</f>
        <v>#N/A</v>
      </c>
      <c r="T58" s="718" t="e">
        <f>VLOOKUP($D58,유선목표!$A:$Z,T$1,0)+VLOOKUP($D58,유선_약갱!$C:$AE,'유선_합계(수식)'!T$1,0)</f>
        <v>#N/A</v>
      </c>
      <c r="U58" s="718" t="e">
        <f>VLOOKUP($D58,유선목표!$A:$Z,U$1,0)+VLOOKUP($D58,유선_약갱!$C:$AE,'유선_합계(수식)'!U$1,0)</f>
        <v>#N/A</v>
      </c>
      <c r="V58" s="718" t="e">
        <f>VLOOKUP($D58,유선목표!$A:$Z,V$1,0)+VLOOKUP($D58,유선_약갱!$C:$AE,'유선_합계(수식)'!V$1,0)</f>
        <v>#N/A</v>
      </c>
      <c r="W58" s="718" t="e">
        <f>VLOOKUP($D58,유선목표!$A:$Z,W$1,0)+VLOOKUP($D58,유선_약갱!$C:$AE,'유선_합계(수식)'!W$1,0)</f>
        <v>#N/A</v>
      </c>
      <c r="X58" s="718" t="e">
        <f>VLOOKUP($D58,유선목표!$A:$Z,X$1,0)+VLOOKUP($D58,유선_약갱!$C:$AE,'유선_합계(수식)'!X$1,0)</f>
        <v>#N/A</v>
      </c>
      <c r="Y58" s="718" t="e">
        <f>VLOOKUP($D58,유선목표!$A:$Z,Y$1,0)+VLOOKUP($D58,유선_약갱!$C:$AE,'유선_합계(수식)'!Y$1,0)</f>
        <v>#N/A</v>
      </c>
      <c r="Z58" s="718" t="e">
        <f>VLOOKUP($D58,유선목표!$A:$Z,Z$1,0)+VLOOKUP($D58,유선_약갱!$C:$AE,'유선_합계(수식)'!Z$1,0)</f>
        <v>#N/A</v>
      </c>
      <c r="AA58" s="718" t="e">
        <f>VLOOKUP($D58,유선목표!$A:$Z,AA$1,0)+VLOOKUP($D58,유선_약갱!$C:$AE,'유선_합계(수식)'!AA$1,0)</f>
        <v>#N/A</v>
      </c>
      <c r="AB58" s="718" t="e">
        <f>VLOOKUP($D58,유선목표!$A:$Z,AB$1,0)+VLOOKUP($D58,유선_약갱!$C:$AE,'유선_합계(수식)'!AB$1,0)</f>
        <v>#N/A</v>
      </c>
      <c r="AC58" s="718" t="e">
        <f>VLOOKUP($D58,유선목표!$A:$Z,AC$1,0)+VLOOKUP($D58,유선_약갱!$C:$AE,'유선_합계(수식)'!AC$1,0)</f>
        <v>#N/A</v>
      </c>
      <c r="AD58" s="718" t="e">
        <f>VLOOKUP($D58,유선목표!$A:$Z,AD$1,0)+VLOOKUP($D58,유선_약갱!$C:$AE,'유선_합계(수식)'!AD$1,0)</f>
        <v>#N/A</v>
      </c>
      <c r="AE58" s="718" t="e">
        <f>VLOOKUP($D58,유선목표!$A:$Z,AE$1,0)+VLOOKUP($D58,유선_약갱!$C:$AE,'유선_합계(수식)'!AE$1,0)</f>
        <v>#N/A</v>
      </c>
      <c r="AF58" s="718" t="e">
        <f>VLOOKUP($D58,유선목표!$A:$Z,AF$1,0)+VLOOKUP($D58,유선_약갱!$C:$AE,'유선_합계(수식)'!AF$1,0)</f>
        <v>#N/A</v>
      </c>
      <c r="AG58" s="718" t="e">
        <f>VLOOKUP($D58,유선목표!$A:$Z,AG$1,0)+VLOOKUP($D58,유선_약갱!$C:$AE,'유선_합계(수식)'!AG$1,0)</f>
        <v>#N/A</v>
      </c>
      <c r="AH58" s="718" t="e">
        <f>VLOOKUP($D58,유선목표!$A:$Z,AH$1,0)+VLOOKUP($D58,유선_약갱!$C:$AE,'유선_합계(수식)'!AH$1,0)</f>
        <v>#N/A</v>
      </c>
      <c r="AI58" s="718" t="e">
        <f>VLOOKUP($D58,유선목표!$A:$Z,AI$1,0)+VLOOKUP($D58,유선_약갱!$C:$AE,'유선_합계(수식)'!AI$1,0)</f>
        <v>#N/A</v>
      </c>
      <c r="AJ58" s="718" t="e">
        <f>VLOOKUP($D58,유선목표!$A:$Z,AJ$1,0)+VLOOKUP($D58,유선_약갱!$C:$AE,'유선_합계(수식)'!AJ$1,0)</f>
        <v>#N/A</v>
      </c>
    </row>
    <row r="59" spans="1:36" ht="24" customHeight="1">
      <c r="A59" s="714" t="e">
        <f>VLOOKUP(D59,#REF!,2,0)</f>
        <v>#REF!</v>
      </c>
      <c r="B59" s="710">
        <v>56</v>
      </c>
      <c r="C59" s="711" t="s">
        <v>614</v>
      </c>
      <c r="D59" s="711" t="s">
        <v>467</v>
      </c>
      <c r="E59" s="718" t="e">
        <f t="shared" si="0"/>
        <v>#N/A</v>
      </c>
      <c r="F59" s="718" t="e">
        <f>VLOOKUP($D59,유선목표!$A:$Z,F$1,0)+VLOOKUP($D59,유선_약갱!$C:$AE,'유선_합계(수식)'!F$1,0)</f>
        <v>#N/A</v>
      </c>
      <c r="G59" s="718" t="e">
        <f>VLOOKUP($D59,유선목표!$A:$Z,G$1,0)+VLOOKUP($D59,유선_약갱!$C:$AE,'유선_합계(수식)'!G$1,0)</f>
        <v>#N/A</v>
      </c>
      <c r="H59" s="718" t="e">
        <f>VLOOKUP($D59,유선목표!$A:$Z,H$1,0)+VLOOKUP($D59,유선_약갱!$C:$AE,'유선_합계(수식)'!H$1,0)</f>
        <v>#N/A</v>
      </c>
      <c r="I59" s="718" t="e">
        <f>VLOOKUP($D59,유선목표!$A:$Z,I$1,0)+VLOOKUP($D59,유선_약갱!$C:$AE,'유선_합계(수식)'!I$1,0)</f>
        <v>#N/A</v>
      </c>
      <c r="J59" s="718" t="e">
        <f>VLOOKUP($D59,유선목표!$A:$Z,J$1,0)+VLOOKUP($D59,유선_약갱!$C:$AE,'유선_합계(수식)'!J$1,0)</f>
        <v>#N/A</v>
      </c>
      <c r="K59" s="718" t="e">
        <f>VLOOKUP($D59,유선목표!$A:$Z,K$1,0)+VLOOKUP($D59,유선_약갱!$C:$AE,'유선_합계(수식)'!K$1,0)</f>
        <v>#N/A</v>
      </c>
      <c r="L59" s="718" t="e">
        <f>VLOOKUP($D59,유선목표!$A:$Z,L$1,0)+VLOOKUP($D59,유선_약갱!$C:$AE,'유선_합계(수식)'!L$1,0)</f>
        <v>#N/A</v>
      </c>
      <c r="M59" s="718" t="e">
        <f>VLOOKUP($D59,유선목표!$A:$Z,M$1,0)+VLOOKUP($D59,유선_약갱!$C:$AE,'유선_합계(수식)'!M$1,0)</f>
        <v>#N/A</v>
      </c>
      <c r="N59" s="718" t="e">
        <f>VLOOKUP($D59,유선목표!$A:$Z,N$1,0)+VLOOKUP($D59,유선_약갱!$C:$AE,'유선_합계(수식)'!N$1,0)</f>
        <v>#N/A</v>
      </c>
      <c r="O59" s="718" t="e">
        <f>VLOOKUP($D59,유선목표!$A:$Z,O$1,0)+VLOOKUP($D59,유선_약갱!$C:$AE,'유선_합계(수식)'!O$1,0)</f>
        <v>#N/A</v>
      </c>
      <c r="P59" s="718" t="e">
        <f>VLOOKUP($D59,유선목표!$A:$Z,P$1,0)+VLOOKUP($D59,유선_약갱!$C:$AE,'유선_합계(수식)'!P$1,0)</f>
        <v>#N/A</v>
      </c>
      <c r="Q59" s="718" t="e">
        <f>VLOOKUP($D59,유선목표!$A:$Z,Q$1,0)+VLOOKUP($D59,유선_약갱!$C:$AE,'유선_합계(수식)'!Q$1,0)</f>
        <v>#N/A</v>
      </c>
      <c r="R59" s="718" t="e">
        <f>VLOOKUP($D59,유선목표!$A:$Z,R$1,0)+VLOOKUP($D59,유선_약갱!$C:$AE,'유선_합계(수식)'!R$1,0)</f>
        <v>#N/A</v>
      </c>
      <c r="S59" s="718" t="e">
        <f>VLOOKUP($D59,유선목표!$A:$Z,S$1,0)+VLOOKUP($D59,유선_약갱!$C:$AE,'유선_합계(수식)'!S$1,0)</f>
        <v>#N/A</v>
      </c>
      <c r="T59" s="718" t="e">
        <f>VLOOKUP($D59,유선목표!$A:$Z,T$1,0)+VLOOKUP($D59,유선_약갱!$C:$AE,'유선_합계(수식)'!T$1,0)</f>
        <v>#N/A</v>
      </c>
      <c r="U59" s="718" t="e">
        <f>VLOOKUP($D59,유선목표!$A:$Z,U$1,0)+VLOOKUP($D59,유선_약갱!$C:$AE,'유선_합계(수식)'!U$1,0)</f>
        <v>#N/A</v>
      </c>
      <c r="V59" s="718" t="e">
        <f>VLOOKUP($D59,유선목표!$A:$Z,V$1,0)+VLOOKUP($D59,유선_약갱!$C:$AE,'유선_합계(수식)'!V$1,0)</f>
        <v>#N/A</v>
      </c>
      <c r="W59" s="718" t="e">
        <f>VLOOKUP($D59,유선목표!$A:$Z,W$1,0)+VLOOKUP($D59,유선_약갱!$C:$AE,'유선_합계(수식)'!W$1,0)</f>
        <v>#N/A</v>
      </c>
      <c r="X59" s="718" t="e">
        <f>VLOOKUP($D59,유선목표!$A:$Z,X$1,0)+VLOOKUP($D59,유선_약갱!$C:$AE,'유선_합계(수식)'!X$1,0)</f>
        <v>#N/A</v>
      </c>
      <c r="Y59" s="718" t="e">
        <f>VLOOKUP($D59,유선목표!$A:$Z,Y$1,0)+VLOOKUP($D59,유선_약갱!$C:$AE,'유선_합계(수식)'!Y$1,0)</f>
        <v>#N/A</v>
      </c>
      <c r="Z59" s="718" t="e">
        <f>VLOOKUP($D59,유선목표!$A:$Z,Z$1,0)+VLOOKUP($D59,유선_약갱!$C:$AE,'유선_합계(수식)'!Z$1,0)</f>
        <v>#N/A</v>
      </c>
      <c r="AA59" s="718" t="e">
        <f>VLOOKUP($D59,유선목표!$A:$Z,AA$1,0)+VLOOKUP($D59,유선_약갱!$C:$AE,'유선_합계(수식)'!AA$1,0)</f>
        <v>#N/A</v>
      </c>
      <c r="AB59" s="718" t="e">
        <f>VLOOKUP($D59,유선목표!$A:$Z,AB$1,0)+VLOOKUP($D59,유선_약갱!$C:$AE,'유선_합계(수식)'!AB$1,0)</f>
        <v>#N/A</v>
      </c>
      <c r="AC59" s="718" t="e">
        <f>VLOOKUP($D59,유선목표!$A:$Z,AC$1,0)+VLOOKUP($D59,유선_약갱!$C:$AE,'유선_합계(수식)'!AC$1,0)</f>
        <v>#N/A</v>
      </c>
      <c r="AD59" s="718" t="e">
        <f>VLOOKUP($D59,유선목표!$A:$Z,AD$1,0)+VLOOKUP($D59,유선_약갱!$C:$AE,'유선_합계(수식)'!AD$1,0)</f>
        <v>#N/A</v>
      </c>
      <c r="AE59" s="718" t="e">
        <f>VLOOKUP($D59,유선목표!$A:$Z,AE$1,0)+VLOOKUP($D59,유선_약갱!$C:$AE,'유선_합계(수식)'!AE$1,0)</f>
        <v>#N/A</v>
      </c>
      <c r="AF59" s="718" t="e">
        <f>VLOOKUP($D59,유선목표!$A:$Z,AF$1,0)+VLOOKUP($D59,유선_약갱!$C:$AE,'유선_합계(수식)'!AF$1,0)</f>
        <v>#N/A</v>
      </c>
      <c r="AG59" s="718" t="e">
        <f>VLOOKUP($D59,유선목표!$A:$Z,AG$1,0)+VLOOKUP($D59,유선_약갱!$C:$AE,'유선_합계(수식)'!AG$1,0)</f>
        <v>#N/A</v>
      </c>
      <c r="AH59" s="718" t="e">
        <f>VLOOKUP($D59,유선목표!$A:$Z,AH$1,0)+VLOOKUP($D59,유선_약갱!$C:$AE,'유선_합계(수식)'!AH$1,0)</f>
        <v>#N/A</v>
      </c>
      <c r="AI59" s="718" t="e">
        <f>VLOOKUP($D59,유선목표!$A:$Z,AI$1,0)+VLOOKUP($D59,유선_약갱!$C:$AE,'유선_합계(수식)'!AI$1,0)</f>
        <v>#N/A</v>
      </c>
      <c r="AJ59" s="718" t="e">
        <f>VLOOKUP($D59,유선목표!$A:$Z,AJ$1,0)+VLOOKUP($D59,유선_약갱!$C:$AE,'유선_합계(수식)'!AJ$1,0)</f>
        <v>#N/A</v>
      </c>
    </row>
    <row r="60" spans="1:36">
      <c r="A60" s="714" t="e">
        <f>VLOOKUP(D60,#REF!,2,0)</f>
        <v>#REF!</v>
      </c>
      <c r="B60" s="713"/>
      <c r="C60" s="713"/>
      <c r="D60" s="713"/>
      <c r="E60" s="716"/>
      <c r="F60" s="716"/>
      <c r="G60" s="716"/>
      <c r="H60" s="716"/>
      <c r="I60" s="716"/>
      <c r="J60" s="716"/>
      <c r="K60" s="716"/>
      <c r="L60" s="716"/>
      <c r="M60" s="716"/>
      <c r="N60" s="716"/>
      <c r="O60" s="716"/>
      <c r="P60" s="716"/>
      <c r="Q60" s="716"/>
      <c r="R60" s="716"/>
      <c r="S60" s="716"/>
      <c r="T60" s="716"/>
      <c r="U60" s="716"/>
      <c r="V60" s="716"/>
      <c r="W60" s="716"/>
      <c r="X60" s="716"/>
      <c r="Y60" s="716"/>
      <c r="Z60" s="716"/>
      <c r="AA60" s="716"/>
      <c r="AB60" s="716"/>
      <c r="AC60" s="716"/>
      <c r="AD60" s="716"/>
      <c r="AE60" s="716"/>
      <c r="AF60" s="716"/>
      <c r="AG60" s="716"/>
      <c r="AH60" s="716"/>
      <c r="AI60" s="716"/>
      <c r="AJ60" s="716"/>
    </row>
  </sheetData>
  <mergeCells count="4">
    <mergeCell ref="B2:B3"/>
    <mergeCell ref="C2:C3"/>
    <mergeCell ref="D2:D3"/>
    <mergeCell ref="E2:E3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J86"/>
  <sheetViews>
    <sheetView showGridLines="0" topLeftCell="A3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500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501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28719.083333333336</v>
      </c>
      <c r="G8" s="678">
        <f>SUM(G9:G12)</f>
        <v>30454.499999999996</v>
      </c>
      <c r="H8" s="671">
        <f t="shared" ref="H8:J8" si="0">SUM(H9:H12)</f>
        <v>32962.166666666664</v>
      </c>
      <c r="I8" s="671">
        <f t="shared" si="0"/>
        <v>28609.333333333332</v>
      </c>
      <c r="J8" s="671">
        <f t="shared" si="0"/>
        <v>26246</v>
      </c>
      <c r="K8" s="671">
        <f t="shared" ref="K8:AH8" si="1">SUM(K9:K12)</f>
        <v>33719</v>
      </c>
      <c r="L8" s="671">
        <f t="shared" si="1"/>
        <v>27981</v>
      </c>
      <c r="M8" s="671">
        <f t="shared" si="1"/>
        <v>33709</v>
      </c>
      <c r="N8" s="671">
        <f t="shared" si="1"/>
        <v>29002</v>
      </c>
      <c r="O8" s="671">
        <f t="shared" si="1"/>
        <v>31026</v>
      </c>
      <c r="P8" s="671">
        <f t="shared" si="1"/>
        <v>27290</v>
      </c>
      <c r="Q8" s="671">
        <f t="shared" si="1"/>
        <v>32897</v>
      </c>
      <c r="R8" s="671">
        <f t="shared" si="1"/>
        <v>38604</v>
      </c>
      <c r="S8" s="671">
        <f t="shared" si="1"/>
        <v>28459</v>
      </c>
      <c r="T8" s="671">
        <f t="shared" si="1"/>
        <v>34494</v>
      </c>
      <c r="U8" s="671">
        <f t="shared" si="1"/>
        <v>32912</v>
      </c>
      <c r="V8" s="671">
        <f t="shared" si="1"/>
        <v>30407</v>
      </c>
      <c r="W8" s="671">
        <f t="shared" si="1"/>
        <v>29834</v>
      </c>
      <c r="X8" s="671">
        <f t="shared" si="1"/>
        <v>29166</v>
      </c>
      <c r="Y8" s="671">
        <f t="shared" si="1"/>
        <v>28963</v>
      </c>
      <c r="Z8" s="671">
        <f t="shared" si="1"/>
        <v>25127</v>
      </c>
      <c r="AA8" s="671">
        <f t="shared" si="1"/>
        <v>30984</v>
      </c>
      <c r="AB8" s="671">
        <f t="shared" si="1"/>
        <v>27582</v>
      </c>
      <c r="AC8" s="671">
        <f t="shared" si="1"/>
        <v>23177</v>
      </c>
      <c r="AD8" s="671">
        <f t="shared" si="1"/>
        <v>31271</v>
      </c>
      <c r="AE8" s="671">
        <f t="shared" si="1"/>
        <v>23085</v>
      </c>
      <c r="AF8" s="671">
        <f t="shared" si="1"/>
        <v>25884</v>
      </c>
      <c r="AG8" s="671">
        <f t="shared" si="1"/>
        <v>27813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0.2061836931889075</v>
      </c>
      <c r="F9" s="683">
        <f t="shared" ref="F9:F12" si="3">G9*10%+H9*20%+I9*30%+J9*40%</f>
        <v>5921.4066666666677</v>
      </c>
      <c r="G9" s="675">
        <f t="shared" ref="G9:G12" si="4">AVERAGE(K9:P9)</f>
        <v>5970.166666666667</v>
      </c>
      <c r="H9" s="672">
        <f t="shared" ref="H9:H12" si="5">AVERAGE(Q9:V9)</f>
        <v>6522.5</v>
      </c>
      <c r="I9" s="672">
        <f t="shared" ref="I9:I12" si="6">AVERAGE(W9:AB9)</f>
        <v>6142.833333333333</v>
      </c>
      <c r="J9" s="672">
        <f t="shared" ref="J9:J12" si="7">AVERAGE(AC9:AG9)</f>
        <v>5442.6</v>
      </c>
      <c r="K9" s="673">
        <f>SUMIF($B$18:$B$25,$C9,K$18:K$25)</f>
        <v>6425</v>
      </c>
      <c r="L9" s="673">
        <f t="shared" ref="L9:AA12" si="8">SUMIF($B$18:$B$25,$C9,L$18:L$25)</f>
        <v>5270</v>
      </c>
      <c r="M9" s="673">
        <f t="shared" si="8"/>
        <v>6880</v>
      </c>
      <c r="N9" s="673">
        <f t="shared" si="8"/>
        <v>5810</v>
      </c>
      <c r="O9" s="673">
        <f t="shared" si="8"/>
        <v>6156</v>
      </c>
      <c r="P9" s="673">
        <f t="shared" si="8"/>
        <v>5280</v>
      </c>
      <c r="Q9" s="673">
        <f t="shared" si="8"/>
        <v>6220</v>
      </c>
      <c r="R9" s="673">
        <f t="shared" si="8"/>
        <v>7630</v>
      </c>
      <c r="S9" s="673">
        <f t="shared" si="8"/>
        <v>5789</v>
      </c>
      <c r="T9" s="673">
        <f t="shared" si="8"/>
        <v>6973</v>
      </c>
      <c r="U9" s="673">
        <f t="shared" si="8"/>
        <v>6441</v>
      </c>
      <c r="V9" s="673">
        <f t="shared" si="8"/>
        <v>6082</v>
      </c>
      <c r="W9" s="673">
        <f t="shared" si="8"/>
        <v>6134</v>
      </c>
      <c r="X9" s="673">
        <f t="shared" si="8"/>
        <v>6245</v>
      </c>
      <c r="Y9" s="673">
        <f t="shared" si="8"/>
        <v>6148</v>
      </c>
      <c r="Z9" s="673">
        <f t="shared" si="8"/>
        <v>5300</v>
      </c>
      <c r="AA9" s="673">
        <f t="shared" si="8"/>
        <v>6999</v>
      </c>
      <c r="AB9" s="673">
        <f t="shared" ref="AB9:AG12" si="9">SUMIF($B$18:$B$25,$C9,AB$18:AB$25)</f>
        <v>6031</v>
      </c>
      <c r="AC9" s="673">
        <f t="shared" si="9"/>
        <v>4889</v>
      </c>
      <c r="AD9" s="673">
        <f t="shared" si="9"/>
        <v>6419</v>
      </c>
      <c r="AE9" s="673">
        <f t="shared" si="9"/>
        <v>4818</v>
      </c>
      <c r="AF9" s="673">
        <f t="shared" si="9"/>
        <v>5255</v>
      </c>
      <c r="AG9" s="673">
        <f t="shared" si="9"/>
        <v>5832</v>
      </c>
      <c r="AH9" s="673"/>
    </row>
    <row r="10" spans="1:34">
      <c r="C10" s="1002" t="s">
        <v>332</v>
      </c>
      <c r="D10" s="984"/>
      <c r="E10" s="690">
        <f t="shared" si="2"/>
        <v>0.2873696641896068</v>
      </c>
      <c r="F10" s="683">
        <f t="shared" si="3"/>
        <v>8252.9933333333338</v>
      </c>
      <c r="G10" s="675">
        <f t="shared" si="4"/>
        <v>8384.8333333333339</v>
      </c>
      <c r="H10" s="672">
        <f t="shared" si="5"/>
        <v>9259.5</v>
      </c>
      <c r="I10" s="672">
        <f t="shared" si="6"/>
        <v>8417.5</v>
      </c>
      <c r="J10" s="672">
        <f t="shared" si="7"/>
        <v>7593.4</v>
      </c>
      <c r="K10" s="673">
        <f t="shared" ref="K10:K12" si="10">SUMIF($B$18:$B$25,$C10,K$18:K$25)</f>
        <v>9294</v>
      </c>
      <c r="L10" s="673">
        <f t="shared" si="8"/>
        <v>7734</v>
      </c>
      <c r="M10" s="673">
        <f t="shared" si="8"/>
        <v>9175</v>
      </c>
      <c r="N10" s="673">
        <f t="shared" si="8"/>
        <v>7947</v>
      </c>
      <c r="O10" s="673">
        <f t="shared" si="8"/>
        <v>8459</v>
      </c>
      <c r="P10" s="673">
        <f t="shared" si="8"/>
        <v>7700</v>
      </c>
      <c r="Q10" s="673">
        <f t="shared" si="8"/>
        <v>9062</v>
      </c>
      <c r="R10" s="673">
        <f t="shared" si="8"/>
        <v>10554</v>
      </c>
      <c r="S10" s="673">
        <f t="shared" si="8"/>
        <v>7950</v>
      </c>
      <c r="T10" s="673">
        <f t="shared" si="8"/>
        <v>9740</v>
      </c>
      <c r="U10" s="673">
        <f t="shared" si="8"/>
        <v>9472</v>
      </c>
      <c r="V10" s="673">
        <f t="shared" si="8"/>
        <v>8779</v>
      </c>
      <c r="W10" s="673">
        <f t="shared" si="8"/>
        <v>8238</v>
      </c>
      <c r="X10" s="673">
        <f t="shared" si="8"/>
        <v>7937</v>
      </c>
      <c r="Y10" s="673">
        <f t="shared" si="8"/>
        <v>8925</v>
      </c>
      <c r="Z10" s="673">
        <f t="shared" si="8"/>
        <v>7659</v>
      </c>
      <c r="AA10" s="673">
        <f t="shared" si="8"/>
        <v>9238</v>
      </c>
      <c r="AB10" s="673">
        <f t="shared" si="9"/>
        <v>8508</v>
      </c>
      <c r="AC10" s="673">
        <f t="shared" si="9"/>
        <v>7036</v>
      </c>
      <c r="AD10" s="673">
        <f t="shared" si="9"/>
        <v>9264</v>
      </c>
      <c r="AE10" s="673">
        <f t="shared" si="9"/>
        <v>6785</v>
      </c>
      <c r="AF10" s="673">
        <f t="shared" si="9"/>
        <v>7095</v>
      </c>
      <c r="AG10" s="673">
        <f t="shared" si="9"/>
        <v>7787</v>
      </c>
      <c r="AH10" s="673"/>
    </row>
    <row r="11" spans="1:34">
      <c r="C11" s="1002" t="s">
        <v>333</v>
      </c>
      <c r="D11" s="984"/>
      <c r="E11" s="690">
        <f t="shared" si="2"/>
        <v>0.26298877923796316</v>
      </c>
      <c r="F11" s="683">
        <f t="shared" si="3"/>
        <v>7552.7966666666671</v>
      </c>
      <c r="G11" s="675">
        <f t="shared" si="4"/>
        <v>8270.6666666666661</v>
      </c>
      <c r="H11" s="672">
        <f t="shared" si="5"/>
        <v>8926.5</v>
      </c>
      <c r="I11" s="672">
        <f t="shared" si="6"/>
        <v>7369.166666666667</v>
      </c>
      <c r="J11" s="672">
        <f t="shared" si="7"/>
        <v>6824.2</v>
      </c>
      <c r="K11" s="673">
        <f t="shared" si="10"/>
        <v>9724</v>
      </c>
      <c r="L11" s="673">
        <f t="shared" si="8"/>
        <v>7839</v>
      </c>
      <c r="M11" s="673">
        <f t="shared" si="8"/>
        <v>9020</v>
      </c>
      <c r="N11" s="673">
        <f t="shared" si="8"/>
        <v>7636</v>
      </c>
      <c r="O11" s="673">
        <f t="shared" si="8"/>
        <v>8256</v>
      </c>
      <c r="P11" s="673">
        <f t="shared" si="8"/>
        <v>7149</v>
      </c>
      <c r="Q11" s="673">
        <f t="shared" si="8"/>
        <v>9011</v>
      </c>
      <c r="R11" s="673">
        <f t="shared" si="8"/>
        <v>10468</v>
      </c>
      <c r="S11" s="673">
        <f t="shared" si="8"/>
        <v>7604</v>
      </c>
      <c r="T11" s="673">
        <f t="shared" si="8"/>
        <v>9279</v>
      </c>
      <c r="U11" s="673">
        <f t="shared" si="8"/>
        <v>8855</v>
      </c>
      <c r="V11" s="673">
        <f t="shared" si="8"/>
        <v>8342</v>
      </c>
      <c r="W11" s="673">
        <f t="shared" si="8"/>
        <v>8457</v>
      </c>
      <c r="X11" s="673">
        <f t="shared" si="8"/>
        <v>7786</v>
      </c>
      <c r="Y11" s="673">
        <f t="shared" si="8"/>
        <v>7171</v>
      </c>
      <c r="Z11" s="673">
        <f t="shared" si="8"/>
        <v>6326</v>
      </c>
      <c r="AA11" s="673">
        <f t="shared" si="8"/>
        <v>7588</v>
      </c>
      <c r="AB11" s="673">
        <f t="shared" si="9"/>
        <v>6887</v>
      </c>
      <c r="AC11" s="673">
        <f t="shared" si="9"/>
        <v>5588</v>
      </c>
      <c r="AD11" s="673">
        <f t="shared" si="9"/>
        <v>8145</v>
      </c>
      <c r="AE11" s="673">
        <f t="shared" si="9"/>
        <v>6034</v>
      </c>
      <c r="AF11" s="673">
        <f t="shared" si="9"/>
        <v>7009</v>
      </c>
      <c r="AG11" s="673">
        <f t="shared" si="9"/>
        <v>7345</v>
      </c>
      <c r="AH11" s="673"/>
    </row>
    <row r="12" spans="1:34">
      <c r="C12" s="1002" t="s">
        <v>334</v>
      </c>
      <c r="D12" s="984"/>
      <c r="E12" s="690">
        <f t="shared" si="2"/>
        <v>0.24345786338352257</v>
      </c>
      <c r="F12" s="683">
        <f t="shared" si="3"/>
        <v>6991.8866666666672</v>
      </c>
      <c r="G12" s="675">
        <f t="shared" si="4"/>
        <v>7828.833333333333</v>
      </c>
      <c r="H12" s="672">
        <f t="shared" si="5"/>
        <v>8253.6666666666661</v>
      </c>
      <c r="I12" s="672">
        <f t="shared" si="6"/>
        <v>6679.833333333333</v>
      </c>
      <c r="J12" s="672">
        <f t="shared" si="7"/>
        <v>6385.8</v>
      </c>
      <c r="K12" s="673">
        <f t="shared" si="10"/>
        <v>8276</v>
      </c>
      <c r="L12" s="673">
        <f t="shared" si="8"/>
        <v>7138</v>
      </c>
      <c r="M12" s="673">
        <f t="shared" si="8"/>
        <v>8634</v>
      </c>
      <c r="N12" s="673">
        <f t="shared" si="8"/>
        <v>7609</v>
      </c>
      <c r="O12" s="673">
        <f t="shared" si="8"/>
        <v>8155</v>
      </c>
      <c r="P12" s="673">
        <f t="shared" si="8"/>
        <v>7161</v>
      </c>
      <c r="Q12" s="673">
        <f t="shared" si="8"/>
        <v>8604</v>
      </c>
      <c r="R12" s="673">
        <f t="shared" si="8"/>
        <v>9952</v>
      </c>
      <c r="S12" s="673">
        <f t="shared" si="8"/>
        <v>7116</v>
      </c>
      <c r="T12" s="673">
        <f t="shared" si="8"/>
        <v>8502</v>
      </c>
      <c r="U12" s="673">
        <f t="shared" si="8"/>
        <v>8144</v>
      </c>
      <c r="V12" s="673">
        <f t="shared" si="8"/>
        <v>7204</v>
      </c>
      <c r="W12" s="673">
        <f t="shared" si="8"/>
        <v>7005</v>
      </c>
      <c r="X12" s="673">
        <f t="shared" si="8"/>
        <v>7198</v>
      </c>
      <c r="Y12" s="673">
        <f t="shared" si="8"/>
        <v>6719</v>
      </c>
      <c r="Z12" s="673">
        <f t="shared" si="8"/>
        <v>5842</v>
      </c>
      <c r="AA12" s="673">
        <f t="shared" si="8"/>
        <v>7159</v>
      </c>
      <c r="AB12" s="673">
        <f t="shared" si="9"/>
        <v>6156</v>
      </c>
      <c r="AC12" s="673">
        <f t="shared" si="9"/>
        <v>5664</v>
      </c>
      <c r="AD12" s="673">
        <f t="shared" si="9"/>
        <v>7443</v>
      </c>
      <c r="AE12" s="673">
        <f t="shared" si="9"/>
        <v>5448</v>
      </c>
      <c r="AF12" s="673">
        <f t="shared" si="9"/>
        <v>6525</v>
      </c>
      <c r="AG12" s="673">
        <f t="shared" si="9"/>
        <v>6849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1.0000000000000002</v>
      </c>
      <c r="F17" s="684">
        <f>SUM(F18:F25)</f>
        <v>28719.083333333339</v>
      </c>
      <c r="G17" s="674">
        <f>SUM(G18:G25)</f>
        <v>30454.5</v>
      </c>
      <c r="H17" s="674">
        <f t="shared" ref="H17:J17" si="12">SUM(H18:H25)</f>
        <v>32962.166666666664</v>
      </c>
      <c r="I17" s="674">
        <f t="shared" si="12"/>
        <v>28609.333333333332</v>
      </c>
      <c r="J17" s="674">
        <f t="shared" si="12"/>
        <v>26246</v>
      </c>
      <c r="K17" s="671">
        <f t="shared" ref="K17:AH17" si="13">SUM(K18:K25)</f>
        <v>33719</v>
      </c>
      <c r="L17" s="671">
        <f t="shared" si="13"/>
        <v>27981</v>
      </c>
      <c r="M17" s="671">
        <f t="shared" si="13"/>
        <v>33709</v>
      </c>
      <c r="N17" s="671">
        <f t="shared" si="13"/>
        <v>29002</v>
      </c>
      <c r="O17" s="671">
        <f t="shared" si="13"/>
        <v>31026</v>
      </c>
      <c r="P17" s="671">
        <f t="shared" si="13"/>
        <v>27290</v>
      </c>
      <c r="Q17" s="671">
        <f t="shared" si="13"/>
        <v>32897</v>
      </c>
      <c r="R17" s="671">
        <f t="shared" si="13"/>
        <v>38604</v>
      </c>
      <c r="S17" s="671">
        <f t="shared" si="13"/>
        <v>28459</v>
      </c>
      <c r="T17" s="671">
        <f t="shared" si="13"/>
        <v>34494</v>
      </c>
      <c r="U17" s="671">
        <f t="shared" si="13"/>
        <v>32912</v>
      </c>
      <c r="V17" s="671">
        <f t="shared" si="13"/>
        <v>30407</v>
      </c>
      <c r="W17" s="671">
        <f t="shared" si="13"/>
        <v>29834</v>
      </c>
      <c r="X17" s="671">
        <f t="shared" si="13"/>
        <v>29166</v>
      </c>
      <c r="Y17" s="671">
        <f t="shared" si="13"/>
        <v>28963</v>
      </c>
      <c r="Z17" s="671">
        <f t="shared" si="13"/>
        <v>25127</v>
      </c>
      <c r="AA17" s="671">
        <f t="shared" si="13"/>
        <v>30984</v>
      </c>
      <c r="AB17" s="671">
        <f t="shared" si="13"/>
        <v>27582</v>
      </c>
      <c r="AC17" s="671">
        <f t="shared" si="13"/>
        <v>23177</v>
      </c>
      <c r="AD17" s="671">
        <f t="shared" si="13"/>
        <v>31271</v>
      </c>
      <c r="AE17" s="671">
        <f t="shared" si="13"/>
        <v>23085</v>
      </c>
      <c r="AF17" s="671">
        <f t="shared" si="13"/>
        <v>25884</v>
      </c>
      <c r="AG17" s="671">
        <f t="shared" si="13"/>
        <v>27813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0.15187752626737738</v>
      </c>
      <c r="F18" s="683">
        <f t="shared" ref="F18:F25" si="14">G18*10%+H18*20%+I18*30%+J18*40%</f>
        <v>4361.7833333333338</v>
      </c>
      <c r="G18" s="675">
        <f t="shared" ref="G18:G25" si="15">AVERAGE(K18:P18)</f>
        <v>4659.166666666667</v>
      </c>
      <c r="H18" s="675">
        <f t="shared" ref="H18:H25" si="16">AVERAGE(Q18:V18)</f>
        <v>5134.333333333333</v>
      </c>
      <c r="I18" s="675">
        <f t="shared" ref="I18:I25" si="17">AVERAGE(W18:AB18)</f>
        <v>4524.666666666667</v>
      </c>
      <c r="J18" s="675">
        <f t="shared" ref="J18:J25" si="18">AVERAGE(AC18:AG18)</f>
        <v>3779</v>
      </c>
      <c r="K18" s="673">
        <f>SUMIF($B$31:$B$86,$C18,K$31:K$86)</f>
        <v>4923</v>
      </c>
      <c r="L18" s="673">
        <f t="shared" ref="L18:AA25" si="19">SUMIF($B$31:$B$86,$C18,L$31:L$86)</f>
        <v>4011</v>
      </c>
      <c r="M18" s="673">
        <f t="shared" si="19"/>
        <v>5357</v>
      </c>
      <c r="N18" s="673">
        <f t="shared" si="19"/>
        <v>4584</v>
      </c>
      <c r="O18" s="673">
        <f t="shared" si="19"/>
        <v>4903</v>
      </c>
      <c r="P18" s="673">
        <f t="shared" si="19"/>
        <v>4177</v>
      </c>
      <c r="Q18" s="673">
        <f t="shared" si="19"/>
        <v>4940</v>
      </c>
      <c r="R18" s="673">
        <f t="shared" si="19"/>
        <v>6168</v>
      </c>
      <c r="S18" s="673">
        <f t="shared" si="19"/>
        <v>4475</v>
      </c>
      <c r="T18" s="673">
        <f t="shared" si="19"/>
        <v>5405</v>
      </c>
      <c r="U18" s="673">
        <f t="shared" si="19"/>
        <v>5022</v>
      </c>
      <c r="V18" s="673">
        <f t="shared" si="19"/>
        <v>4796</v>
      </c>
      <c r="W18" s="673">
        <f t="shared" si="19"/>
        <v>4533</v>
      </c>
      <c r="X18" s="673">
        <f t="shared" si="19"/>
        <v>4620</v>
      </c>
      <c r="Y18" s="673">
        <f t="shared" si="19"/>
        <v>4560</v>
      </c>
      <c r="Z18" s="673">
        <f t="shared" si="19"/>
        <v>3930</v>
      </c>
      <c r="AA18" s="673">
        <f t="shared" si="19"/>
        <v>5196</v>
      </c>
      <c r="AB18" s="673">
        <f t="shared" ref="AB18:AG25" si="20">SUMIF($B$31:$B$86,$C18,AB$31:AB$86)</f>
        <v>4309</v>
      </c>
      <c r="AC18" s="673">
        <f t="shared" si="20"/>
        <v>3426</v>
      </c>
      <c r="AD18" s="673">
        <f t="shared" si="20"/>
        <v>4424</v>
      </c>
      <c r="AE18" s="673">
        <f t="shared" si="20"/>
        <v>3368</v>
      </c>
      <c r="AF18" s="673">
        <f t="shared" si="20"/>
        <v>3629</v>
      </c>
      <c r="AG18" s="673">
        <f t="shared" si="20"/>
        <v>4048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5.4306166921530105E-2</v>
      </c>
      <c r="F19" s="683">
        <f t="shared" si="14"/>
        <v>1559.6233333333334</v>
      </c>
      <c r="G19" s="675">
        <f t="shared" si="15"/>
        <v>1311</v>
      </c>
      <c r="H19" s="675">
        <f t="shared" si="16"/>
        <v>1388.1666666666667</v>
      </c>
      <c r="I19" s="675">
        <f t="shared" si="17"/>
        <v>1618.1666666666667</v>
      </c>
      <c r="J19" s="675">
        <f t="shared" si="18"/>
        <v>1663.6</v>
      </c>
      <c r="K19" s="673">
        <f t="shared" ref="K19:K25" si="21">SUMIF($B$31:$B$86,$C19,K$31:K$86)</f>
        <v>1502</v>
      </c>
      <c r="L19" s="673">
        <f t="shared" si="19"/>
        <v>1259</v>
      </c>
      <c r="M19" s="673">
        <f t="shared" si="19"/>
        <v>1523</v>
      </c>
      <c r="N19" s="673">
        <f t="shared" si="19"/>
        <v>1226</v>
      </c>
      <c r="O19" s="673">
        <f t="shared" si="19"/>
        <v>1253</v>
      </c>
      <c r="P19" s="673">
        <f t="shared" si="19"/>
        <v>1103</v>
      </c>
      <c r="Q19" s="673">
        <f t="shared" si="19"/>
        <v>1280</v>
      </c>
      <c r="R19" s="673">
        <f t="shared" si="19"/>
        <v>1462</v>
      </c>
      <c r="S19" s="673">
        <f t="shared" si="19"/>
        <v>1314</v>
      </c>
      <c r="T19" s="673">
        <f t="shared" si="19"/>
        <v>1568</v>
      </c>
      <c r="U19" s="673">
        <f t="shared" si="19"/>
        <v>1419</v>
      </c>
      <c r="V19" s="673">
        <f t="shared" si="19"/>
        <v>1286</v>
      </c>
      <c r="W19" s="673">
        <f t="shared" si="19"/>
        <v>1601</v>
      </c>
      <c r="X19" s="673">
        <f t="shared" si="19"/>
        <v>1625</v>
      </c>
      <c r="Y19" s="673">
        <f t="shared" si="19"/>
        <v>1588</v>
      </c>
      <c r="Z19" s="673">
        <f t="shared" si="19"/>
        <v>1370</v>
      </c>
      <c r="AA19" s="673">
        <f t="shared" si="19"/>
        <v>1803</v>
      </c>
      <c r="AB19" s="673">
        <f t="shared" si="20"/>
        <v>1722</v>
      </c>
      <c r="AC19" s="673">
        <f t="shared" si="20"/>
        <v>1463</v>
      </c>
      <c r="AD19" s="673">
        <f t="shared" si="20"/>
        <v>1995</v>
      </c>
      <c r="AE19" s="673">
        <f t="shared" si="20"/>
        <v>1450</v>
      </c>
      <c r="AF19" s="673">
        <f t="shared" si="20"/>
        <v>1626</v>
      </c>
      <c r="AG19" s="673">
        <f t="shared" si="20"/>
        <v>1784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0.15239332731720195</v>
      </c>
      <c r="F20" s="683">
        <f t="shared" si="14"/>
        <v>4376.5966666666664</v>
      </c>
      <c r="G20" s="675">
        <f t="shared" si="15"/>
        <v>4664.5</v>
      </c>
      <c r="H20" s="675">
        <f t="shared" si="16"/>
        <v>5012.833333333333</v>
      </c>
      <c r="I20" s="675">
        <f t="shared" si="17"/>
        <v>4518.333333333333</v>
      </c>
      <c r="J20" s="675">
        <f t="shared" si="18"/>
        <v>3880.2</v>
      </c>
      <c r="K20" s="673">
        <f t="shared" si="21"/>
        <v>4870</v>
      </c>
      <c r="L20" s="673">
        <f t="shared" si="19"/>
        <v>4349</v>
      </c>
      <c r="M20" s="673">
        <f t="shared" si="19"/>
        <v>4993</v>
      </c>
      <c r="N20" s="673">
        <f t="shared" si="19"/>
        <v>4345</v>
      </c>
      <c r="O20" s="673">
        <f t="shared" si="19"/>
        <v>4997</v>
      </c>
      <c r="P20" s="673">
        <f t="shared" si="19"/>
        <v>4433</v>
      </c>
      <c r="Q20" s="673">
        <f t="shared" si="19"/>
        <v>4985</v>
      </c>
      <c r="R20" s="673">
        <f t="shared" si="19"/>
        <v>5976</v>
      </c>
      <c r="S20" s="673">
        <f t="shared" si="19"/>
        <v>4380</v>
      </c>
      <c r="T20" s="673">
        <f t="shared" si="19"/>
        <v>5076</v>
      </c>
      <c r="U20" s="673">
        <f t="shared" si="19"/>
        <v>4916</v>
      </c>
      <c r="V20" s="673">
        <f t="shared" si="19"/>
        <v>4744</v>
      </c>
      <c r="W20" s="673">
        <f t="shared" si="19"/>
        <v>4473</v>
      </c>
      <c r="X20" s="673">
        <f t="shared" si="19"/>
        <v>4324</v>
      </c>
      <c r="Y20" s="673">
        <f t="shared" si="19"/>
        <v>4886</v>
      </c>
      <c r="Z20" s="673">
        <f t="shared" si="19"/>
        <v>4150</v>
      </c>
      <c r="AA20" s="673">
        <f t="shared" si="19"/>
        <v>4729</v>
      </c>
      <c r="AB20" s="673">
        <f t="shared" si="20"/>
        <v>4548</v>
      </c>
      <c r="AC20" s="673">
        <f t="shared" si="20"/>
        <v>3538</v>
      </c>
      <c r="AD20" s="673">
        <f t="shared" si="20"/>
        <v>4789</v>
      </c>
      <c r="AE20" s="673">
        <f t="shared" si="20"/>
        <v>3438</v>
      </c>
      <c r="AF20" s="673">
        <f t="shared" si="20"/>
        <v>3645</v>
      </c>
      <c r="AG20" s="673">
        <f t="shared" si="20"/>
        <v>3991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0.13497633687240479</v>
      </c>
      <c r="F21" s="683">
        <f t="shared" si="14"/>
        <v>3876.3966666666665</v>
      </c>
      <c r="G21" s="675">
        <f t="shared" si="15"/>
        <v>3720.3333333333335</v>
      </c>
      <c r="H21" s="675">
        <f t="shared" si="16"/>
        <v>4246.666666666667</v>
      </c>
      <c r="I21" s="675">
        <f t="shared" si="17"/>
        <v>3899.1666666666665</v>
      </c>
      <c r="J21" s="675">
        <f t="shared" si="18"/>
        <v>3713.2</v>
      </c>
      <c r="K21" s="673">
        <f t="shared" si="21"/>
        <v>4424</v>
      </c>
      <c r="L21" s="673">
        <f t="shared" si="19"/>
        <v>3385</v>
      </c>
      <c r="M21" s="673">
        <f t="shared" si="19"/>
        <v>4182</v>
      </c>
      <c r="N21" s="673">
        <f t="shared" si="19"/>
        <v>3602</v>
      </c>
      <c r="O21" s="673">
        <f t="shared" si="19"/>
        <v>3462</v>
      </c>
      <c r="P21" s="673">
        <f t="shared" si="19"/>
        <v>3267</v>
      </c>
      <c r="Q21" s="673">
        <f t="shared" si="19"/>
        <v>4077</v>
      </c>
      <c r="R21" s="673">
        <f t="shared" si="19"/>
        <v>4578</v>
      </c>
      <c r="S21" s="673">
        <f t="shared" si="19"/>
        <v>3570</v>
      </c>
      <c r="T21" s="673">
        <f t="shared" si="19"/>
        <v>4664</v>
      </c>
      <c r="U21" s="673">
        <f t="shared" si="19"/>
        <v>4556</v>
      </c>
      <c r="V21" s="673">
        <f t="shared" si="19"/>
        <v>4035</v>
      </c>
      <c r="W21" s="673">
        <f t="shared" si="19"/>
        <v>3765</v>
      </c>
      <c r="X21" s="673">
        <f t="shared" si="19"/>
        <v>3613</v>
      </c>
      <c r="Y21" s="673">
        <f t="shared" si="19"/>
        <v>4039</v>
      </c>
      <c r="Z21" s="673">
        <f t="shared" si="19"/>
        <v>3509</v>
      </c>
      <c r="AA21" s="673">
        <f t="shared" si="19"/>
        <v>4509</v>
      </c>
      <c r="AB21" s="673">
        <f t="shared" si="20"/>
        <v>3960</v>
      </c>
      <c r="AC21" s="673">
        <f t="shared" si="20"/>
        <v>3498</v>
      </c>
      <c r="AD21" s="673">
        <f t="shared" si="20"/>
        <v>4475</v>
      </c>
      <c r="AE21" s="673">
        <f t="shared" si="20"/>
        <v>3347</v>
      </c>
      <c r="AF21" s="673">
        <f t="shared" si="20"/>
        <v>3450</v>
      </c>
      <c r="AG21" s="673">
        <f t="shared" si="20"/>
        <v>3796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0.14632755804067563</v>
      </c>
      <c r="F22" s="683">
        <f t="shared" si="14"/>
        <v>4202.3933333333334</v>
      </c>
      <c r="G22" s="675">
        <f t="shared" si="15"/>
        <v>4552.666666666667</v>
      </c>
      <c r="H22" s="675">
        <f t="shared" si="16"/>
        <v>5089.833333333333</v>
      </c>
      <c r="I22" s="675">
        <f t="shared" si="17"/>
        <v>4011.3333333333335</v>
      </c>
      <c r="J22" s="675">
        <f t="shared" si="18"/>
        <v>3814.4</v>
      </c>
      <c r="K22" s="673">
        <f t="shared" si="21"/>
        <v>5235</v>
      </c>
      <c r="L22" s="673">
        <f t="shared" si="19"/>
        <v>4061</v>
      </c>
      <c r="M22" s="673">
        <f t="shared" si="19"/>
        <v>4665</v>
      </c>
      <c r="N22" s="673">
        <f t="shared" si="19"/>
        <v>4246</v>
      </c>
      <c r="O22" s="673">
        <f t="shared" si="19"/>
        <v>4905</v>
      </c>
      <c r="P22" s="673">
        <f t="shared" si="19"/>
        <v>4204</v>
      </c>
      <c r="Q22" s="673">
        <f t="shared" si="19"/>
        <v>5074</v>
      </c>
      <c r="R22" s="673">
        <f t="shared" si="19"/>
        <v>5858</v>
      </c>
      <c r="S22" s="673">
        <f t="shared" si="19"/>
        <v>4189</v>
      </c>
      <c r="T22" s="673">
        <f t="shared" si="19"/>
        <v>5547</v>
      </c>
      <c r="U22" s="673">
        <f t="shared" si="19"/>
        <v>5143</v>
      </c>
      <c r="V22" s="673">
        <f t="shared" si="19"/>
        <v>4728</v>
      </c>
      <c r="W22" s="673">
        <f t="shared" si="19"/>
        <v>4741</v>
      </c>
      <c r="X22" s="673">
        <f t="shared" si="19"/>
        <v>4559</v>
      </c>
      <c r="Y22" s="673">
        <f t="shared" si="19"/>
        <v>3929</v>
      </c>
      <c r="Z22" s="673">
        <f t="shared" si="19"/>
        <v>3199</v>
      </c>
      <c r="AA22" s="673">
        <f t="shared" si="19"/>
        <v>3865</v>
      </c>
      <c r="AB22" s="673">
        <f t="shared" si="20"/>
        <v>3775</v>
      </c>
      <c r="AC22" s="673">
        <f t="shared" si="20"/>
        <v>3292</v>
      </c>
      <c r="AD22" s="673">
        <f t="shared" si="20"/>
        <v>4364</v>
      </c>
      <c r="AE22" s="673">
        <f t="shared" si="20"/>
        <v>3445</v>
      </c>
      <c r="AF22" s="673">
        <f t="shared" si="20"/>
        <v>3884</v>
      </c>
      <c r="AG22" s="673">
        <f t="shared" si="20"/>
        <v>4087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0.11666122119728752</v>
      </c>
      <c r="F23" s="683">
        <f t="shared" si="14"/>
        <v>3350.4033333333336</v>
      </c>
      <c r="G23" s="675">
        <f t="shared" si="15"/>
        <v>3718</v>
      </c>
      <c r="H23" s="675">
        <f t="shared" si="16"/>
        <v>3836.6666666666665</v>
      </c>
      <c r="I23" s="675">
        <f t="shared" si="17"/>
        <v>3357.8333333333335</v>
      </c>
      <c r="J23" s="675">
        <f t="shared" si="18"/>
        <v>3009.8</v>
      </c>
      <c r="K23" s="673">
        <f t="shared" si="21"/>
        <v>4489</v>
      </c>
      <c r="L23" s="673">
        <f t="shared" si="19"/>
        <v>3778</v>
      </c>
      <c r="M23" s="673">
        <f t="shared" si="19"/>
        <v>4355</v>
      </c>
      <c r="N23" s="673">
        <f t="shared" si="19"/>
        <v>3390</v>
      </c>
      <c r="O23" s="673">
        <f t="shared" si="19"/>
        <v>3351</v>
      </c>
      <c r="P23" s="673">
        <f t="shared" si="19"/>
        <v>2945</v>
      </c>
      <c r="Q23" s="673">
        <f t="shared" si="19"/>
        <v>3937</v>
      </c>
      <c r="R23" s="673">
        <f t="shared" si="19"/>
        <v>4610</v>
      </c>
      <c r="S23" s="673">
        <f t="shared" si="19"/>
        <v>3415</v>
      </c>
      <c r="T23" s="673">
        <f t="shared" si="19"/>
        <v>3732</v>
      </c>
      <c r="U23" s="673">
        <f t="shared" si="19"/>
        <v>3712</v>
      </c>
      <c r="V23" s="673">
        <f t="shared" si="19"/>
        <v>3614</v>
      </c>
      <c r="W23" s="673">
        <f t="shared" si="19"/>
        <v>3716</v>
      </c>
      <c r="X23" s="673">
        <f t="shared" si="19"/>
        <v>3227</v>
      </c>
      <c r="Y23" s="673">
        <f t="shared" si="19"/>
        <v>3242</v>
      </c>
      <c r="Z23" s="673">
        <f t="shared" si="19"/>
        <v>3127</v>
      </c>
      <c r="AA23" s="673">
        <f t="shared" si="19"/>
        <v>3723</v>
      </c>
      <c r="AB23" s="673">
        <f t="shared" si="20"/>
        <v>3112</v>
      </c>
      <c r="AC23" s="673">
        <f t="shared" si="20"/>
        <v>2296</v>
      </c>
      <c r="AD23" s="673">
        <f t="shared" si="20"/>
        <v>3781</v>
      </c>
      <c r="AE23" s="673">
        <f t="shared" si="20"/>
        <v>2589</v>
      </c>
      <c r="AF23" s="673">
        <f t="shared" si="20"/>
        <v>3125</v>
      </c>
      <c r="AG23" s="673">
        <f t="shared" si="20"/>
        <v>3258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0.13576675207251857</v>
      </c>
      <c r="F24" s="683">
        <f t="shared" si="14"/>
        <v>3899.0966666666668</v>
      </c>
      <c r="G24" s="675">
        <f t="shared" si="15"/>
        <v>4571</v>
      </c>
      <c r="H24" s="675">
        <f t="shared" si="16"/>
        <v>4707.333333333333</v>
      </c>
      <c r="I24" s="675">
        <f t="shared" si="17"/>
        <v>3713.5</v>
      </c>
      <c r="J24" s="675">
        <f t="shared" si="18"/>
        <v>3466.2</v>
      </c>
      <c r="K24" s="673">
        <f t="shared" si="21"/>
        <v>4794</v>
      </c>
      <c r="L24" s="673">
        <f t="shared" si="19"/>
        <v>4204</v>
      </c>
      <c r="M24" s="673">
        <f t="shared" si="19"/>
        <v>5027</v>
      </c>
      <c r="N24" s="673">
        <f t="shared" si="19"/>
        <v>4465</v>
      </c>
      <c r="O24" s="673">
        <f t="shared" si="19"/>
        <v>4823</v>
      </c>
      <c r="P24" s="673">
        <f t="shared" si="19"/>
        <v>4113</v>
      </c>
      <c r="Q24" s="673">
        <f t="shared" si="19"/>
        <v>4922</v>
      </c>
      <c r="R24" s="673">
        <f t="shared" si="19"/>
        <v>5719</v>
      </c>
      <c r="S24" s="673">
        <f t="shared" si="19"/>
        <v>4147</v>
      </c>
      <c r="T24" s="673">
        <f t="shared" si="19"/>
        <v>4652</v>
      </c>
      <c r="U24" s="673">
        <f t="shared" si="19"/>
        <v>4587</v>
      </c>
      <c r="V24" s="673">
        <f t="shared" si="19"/>
        <v>4217</v>
      </c>
      <c r="W24" s="673">
        <f t="shared" si="19"/>
        <v>4015</v>
      </c>
      <c r="X24" s="673">
        <f t="shared" si="19"/>
        <v>4080</v>
      </c>
      <c r="Y24" s="673">
        <f t="shared" si="19"/>
        <v>3776</v>
      </c>
      <c r="Z24" s="673">
        <f t="shared" si="19"/>
        <v>3243</v>
      </c>
      <c r="AA24" s="673">
        <f t="shared" si="19"/>
        <v>4041</v>
      </c>
      <c r="AB24" s="673">
        <f t="shared" si="20"/>
        <v>3126</v>
      </c>
      <c r="AC24" s="673">
        <f t="shared" si="20"/>
        <v>2948</v>
      </c>
      <c r="AD24" s="673">
        <f t="shared" si="20"/>
        <v>4009</v>
      </c>
      <c r="AE24" s="673">
        <f t="shared" si="20"/>
        <v>2757</v>
      </c>
      <c r="AF24" s="673">
        <f t="shared" si="20"/>
        <v>3688</v>
      </c>
      <c r="AG24" s="673">
        <f t="shared" si="20"/>
        <v>3929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0.10769111131100399</v>
      </c>
      <c r="F25" s="683">
        <f t="shared" si="14"/>
        <v>3092.79</v>
      </c>
      <c r="G25" s="675">
        <f t="shared" si="15"/>
        <v>3257.8333333333335</v>
      </c>
      <c r="H25" s="675">
        <f t="shared" si="16"/>
        <v>3546.3333333333335</v>
      </c>
      <c r="I25" s="675">
        <f t="shared" si="17"/>
        <v>2966.3333333333335</v>
      </c>
      <c r="J25" s="675">
        <f t="shared" si="18"/>
        <v>2919.6</v>
      </c>
      <c r="K25" s="676">
        <f t="shared" si="21"/>
        <v>3482</v>
      </c>
      <c r="L25" s="676">
        <f t="shared" si="19"/>
        <v>2934</v>
      </c>
      <c r="M25" s="676">
        <f t="shared" si="19"/>
        <v>3607</v>
      </c>
      <c r="N25" s="676">
        <f t="shared" si="19"/>
        <v>3144</v>
      </c>
      <c r="O25" s="676">
        <f t="shared" si="19"/>
        <v>3332</v>
      </c>
      <c r="P25" s="676">
        <f t="shared" si="19"/>
        <v>3048</v>
      </c>
      <c r="Q25" s="676">
        <f t="shared" si="19"/>
        <v>3682</v>
      </c>
      <c r="R25" s="676">
        <f t="shared" si="19"/>
        <v>4233</v>
      </c>
      <c r="S25" s="676">
        <f t="shared" si="19"/>
        <v>2969</v>
      </c>
      <c r="T25" s="676">
        <f t="shared" si="19"/>
        <v>3850</v>
      </c>
      <c r="U25" s="676">
        <f t="shared" si="19"/>
        <v>3557</v>
      </c>
      <c r="V25" s="676">
        <f t="shared" si="19"/>
        <v>2987</v>
      </c>
      <c r="W25" s="676">
        <f t="shared" si="19"/>
        <v>2990</v>
      </c>
      <c r="X25" s="676">
        <f t="shared" si="19"/>
        <v>3118</v>
      </c>
      <c r="Y25" s="676">
        <f t="shared" si="19"/>
        <v>2943</v>
      </c>
      <c r="Z25" s="676">
        <f t="shared" si="19"/>
        <v>2599</v>
      </c>
      <c r="AA25" s="676">
        <f t="shared" si="19"/>
        <v>3118</v>
      </c>
      <c r="AB25" s="676">
        <f t="shared" si="20"/>
        <v>3030</v>
      </c>
      <c r="AC25" s="676">
        <f t="shared" si="20"/>
        <v>2716</v>
      </c>
      <c r="AD25" s="676">
        <f t="shared" si="20"/>
        <v>3434</v>
      </c>
      <c r="AE25" s="676">
        <f t="shared" si="20"/>
        <v>2691</v>
      </c>
      <c r="AF25" s="676">
        <f t="shared" si="20"/>
        <v>2837</v>
      </c>
      <c r="AG25" s="676">
        <f t="shared" si="20"/>
        <v>2920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28719.083333333343</v>
      </c>
      <c r="G30" s="678">
        <f>SUM(G31:G86)</f>
        <v>30454.499999999996</v>
      </c>
      <c r="H30" s="678">
        <f t="shared" ref="H30:J30" si="22">SUM(H31:H86)</f>
        <v>32962.166666666672</v>
      </c>
      <c r="I30" s="678">
        <f t="shared" si="22"/>
        <v>28609.333333333339</v>
      </c>
      <c r="J30" s="678">
        <f t="shared" si="22"/>
        <v>26245.999999999989</v>
      </c>
      <c r="K30" s="671">
        <f>SUM(K31:K86)</f>
        <v>33719</v>
      </c>
      <c r="L30" s="671">
        <f t="shared" ref="L30:AH30" si="23">SUM(L31:L86)</f>
        <v>27981</v>
      </c>
      <c r="M30" s="671">
        <f t="shared" si="23"/>
        <v>33709</v>
      </c>
      <c r="N30" s="671">
        <f t="shared" si="23"/>
        <v>29002</v>
      </c>
      <c r="O30" s="671">
        <f t="shared" si="23"/>
        <v>31026</v>
      </c>
      <c r="P30" s="671">
        <f t="shared" si="23"/>
        <v>27290</v>
      </c>
      <c r="Q30" s="671">
        <f t="shared" si="23"/>
        <v>32897</v>
      </c>
      <c r="R30" s="671">
        <f t="shared" si="23"/>
        <v>38604</v>
      </c>
      <c r="S30" s="671">
        <f t="shared" si="23"/>
        <v>28459</v>
      </c>
      <c r="T30" s="671">
        <f t="shared" si="23"/>
        <v>34494</v>
      </c>
      <c r="U30" s="671">
        <f t="shared" si="23"/>
        <v>32912</v>
      </c>
      <c r="V30" s="671">
        <f t="shared" si="23"/>
        <v>30407</v>
      </c>
      <c r="W30" s="671">
        <f t="shared" si="23"/>
        <v>29834</v>
      </c>
      <c r="X30" s="671">
        <f t="shared" si="23"/>
        <v>29166</v>
      </c>
      <c r="Y30" s="671">
        <f t="shared" si="23"/>
        <v>28963</v>
      </c>
      <c r="Z30" s="671">
        <f t="shared" si="23"/>
        <v>25127</v>
      </c>
      <c r="AA30" s="671">
        <f t="shared" si="23"/>
        <v>30984</v>
      </c>
      <c r="AB30" s="671">
        <f t="shared" si="23"/>
        <v>27582</v>
      </c>
      <c r="AC30" s="671">
        <f t="shared" si="23"/>
        <v>23177</v>
      </c>
      <c r="AD30" s="671">
        <f t="shared" si="23"/>
        <v>31271</v>
      </c>
      <c r="AE30" s="671">
        <f t="shared" si="23"/>
        <v>23085</v>
      </c>
      <c r="AF30" s="671">
        <f t="shared" si="23"/>
        <v>25884</v>
      </c>
      <c r="AG30" s="671">
        <f t="shared" si="23"/>
        <v>27813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9.942569361920009E-2</v>
      </c>
      <c r="F31" s="680">
        <f>G31*10%+H31*20%+I31*30%+J31*40%</f>
        <v>433.67333333333335</v>
      </c>
      <c r="G31" s="680">
        <f>AVERAGE(K31:P31)</f>
        <v>508.33333333333331</v>
      </c>
      <c r="H31" s="679">
        <f>AVERAGE(Q31:V31)</f>
        <v>541.5</v>
      </c>
      <c r="I31" s="679">
        <f>AVERAGE(W31:AB31)</f>
        <v>474.33333333333331</v>
      </c>
      <c r="J31" s="679">
        <f>AVERAGE(AC31:AG31)</f>
        <v>330.6</v>
      </c>
      <c r="K31" s="673">
        <v>547</v>
      </c>
      <c r="L31" s="673">
        <v>392</v>
      </c>
      <c r="M31" s="673">
        <v>590</v>
      </c>
      <c r="N31" s="673">
        <v>521</v>
      </c>
      <c r="O31" s="673">
        <v>570</v>
      </c>
      <c r="P31" s="673">
        <v>430</v>
      </c>
      <c r="Q31" s="673">
        <v>495</v>
      </c>
      <c r="R31" s="673">
        <v>634</v>
      </c>
      <c r="S31" s="673">
        <v>468</v>
      </c>
      <c r="T31" s="673">
        <v>557</v>
      </c>
      <c r="U31" s="673">
        <v>581</v>
      </c>
      <c r="V31" s="665">
        <v>514</v>
      </c>
      <c r="W31" s="665">
        <v>538</v>
      </c>
      <c r="X31" s="665">
        <v>538</v>
      </c>
      <c r="Y31" s="665">
        <v>479</v>
      </c>
      <c r="Z31" s="665">
        <v>397</v>
      </c>
      <c r="AA31" s="665">
        <v>510</v>
      </c>
      <c r="AB31" s="665">
        <v>384</v>
      </c>
      <c r="AC31" s="665">
        <v>300</v>
      </c>
      <c r="AD31" s="665">
        <v>353</v>
      </c>
      <c r="AE31" s="665">
        <v>293</v>
      </c>
      <c r="AF31" s="665">
        <v>308</v>
      </c>
      <c r="AG31" s="665">
        <v>399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5.6525045184118113E-2</v>
      </c>
      <c r="F32" s="680">
        <f t="shared" ref="F32:F86" si="25">G32*10%+H32*20%+I32*30%+J32*40%</f>
        <v>246.55</v>
      </c>
      <c r="G32" s="680">
        <f t="shared" ref="G32:G86" si="26">AVERAGE(K32:P32)</f>
        <v>282.16666666666669</v>
      </c>
      <c r="H32" s="679">
        <f t="shared" ref="H32:H86" si="27">AVERAGE(Q32:V32)</f>
        <v>277.16666666666669</v>
      </c>
      <c r="I32" s="679">
        <f t="shared" ref="I32:I86" si="28">AVERAGE(W32:AB32)</f>
        <v>259</v>
      </c>
      <c r="J32" s="679">
        <f t="shared" ref="J32:J86" si="29">AVERAGE(AC32:AG32)</f>
        <v>213</v>
      </c>
      <c r="K32" s="673">
        <v>270</v>
      </c>
      <c r="L32" s="673">
        <v>275</v>
      </c>
      <c r="M32" s="673">
        <v>394</v>
      </c>
      <c r="N32" s="673">
        <v>274</v>
      </c>
      <c r="O32" s="673">
        <v>265</v>
      </c>
      <c r="P32" s="673">
        <v>215</v>
      </c>
      <c r="Q32" s="673">
        <v>268</v>
      </c>
      <c r="R32" s="673">
        <v>349</v>
      </c>
      <c r="S32" s="673">
        <v>212</v>
      </c>
      <c r="T32" s="673">
        <v>302</v>
      </c>
      <c r="U32" s="673">
        <v>248</v>
      </c>
      <c r="V32" s="665">
        <v>284</v>
      </c>
      <c r="W32" s="665">
        <v>249</v>
      </c>
      <c r="X32" s="665">
        <v>313</v>
      </c>
      <c r="Y32" s="665">
        <v>251</v>
      </c>
      <c r="Z32" s="665">
        <v>220</v>
      </c>
      <c r="AA32" s="665">
        <v>281</v>
      </c>
      <c r="AB32" s="665">
        <v>240</v>
      </c>
      <c r="AC32" s="665">
        <v>208</v>
      </c>
      <c r="AD32" s="665">
        <v>264</v>
      </c>
      <c r="AE32" s="665">
        <v>192</v>
      </c>
      <c r="AF32" s="665">
        <v>192</v>
      </c>
      <c r="AG32" s="665">
        <v>209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0.13262006748004448</v>
      </c>
      <c r="F33" s="680">
        <f t="shared" si="25"/>
        <v>578.46</v>
      </c>
      <c r="G33" s="680">
        <f t="shared" si="26"/>
        <v>711.33333333333337</v>
      </c>
      <c r="H33" s="679">
        <f t="shared" si="27"/>
        <v>680.33333333333337</v>
      </c>
      <c r="I33" s="679">
        <f t="shared" si="28"/>
        <v>601</v>
      </c>
      <c r="J33" s="679">
        <f t="shared" si="29"/>
        <v>477.4</v>
      </c>
      <c r="K33" s="673">
        <v>713</v>
      </c>
      <c r="L33" s="673">
        <v>585</v>
      </c>
      <c r="M33" s="673">
        <v>897</v>
      </c>
      <c r="N33" s="673">
        <v>755</v>
      </c>
      <c r="O33" s="673">
        <v>730</v>
      </c>
      <c r="P33" s="673">
        <v>588</v>
      </c>
      <c r="Q33" s="673">
        <v>721</v>
      </c>
      <c r="R33" s="673">
        <v>854</v>
      </c>
      <c r="S33" s="673">
        <v>687</v>
      </c>
      <c r="T33" s="673">
        <v>619</v>
      </c>
      <c r="U33" s="673">
        <v>607</v>
      </c>
      <c r="V33" s="665">
        <v>594</v>
      </c>
      <c r="W33" s="665">
        <v>578</v>
      </c>
      <c r="X33" s="665">
        <v>606</v>
      </c>
      <c r="Y33" s="665">
        <v>610</v>
      </c>
      <c r="Z33" s="665">
        <v>551</v>
      </c>
      <c r="AA33" s="665">
        <v>751</v>
      </c>
      <c r="AB33" s="665">
        <v>510</v>
      </c>
      <c r="AC33" s="665">
        <v>359</v>
      </c>
      <c r="AD33" s="665">
        <v>469</v>
      </c>
      <c r="AE33" s="665">
        <v>406</v>
      </c>
      <c r="AF33" s="665">
        <v>556</v>
      </c>
      <c r="AG33" s="665">
        <v>597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0.10427921301302602</v>
      </c>
      <c r="F34" s="680">
        <f t="shared" si="25"/>
        <v>454.84333333333336</v>
      </c>
      <c r="G34" s="680">
        <f t="shared" si="26"/>
        <v>545.33333333333337</v>
      </c>
      <c r="H34" s="679">
        <f t="shared" si="27"/>
        <v>554.5</v>
      </c>
      <c r="I34" s="679">
        <f t="shared" si="28"/>
        <v>505.5</v>
      </c>
      <c r="J34" s="679">
        <f t="shared" si="29"/>
        <v>344.4</v>
      </c>
      <c r="K34" s="673">
        <v>569</v>
      </c>
      <c r="L34" s="673">
        <v>452</v>
      </c>
      <c r="M34" s="673">
        <v>585</v>
      </c>
      <c r="N34" s="673">
        <v>585</v>
      </c>
      <c r="O34" s="673">
        <v>632</v>
      </c>
      <c r="P34" s="673">
        <v>449</v>
      </c>
      <c r="Q34" s="673">
        <v>555</v>
      </c>
      <c r="R34" s="673">
        <v>538</v>
      </c>
      <c r="S34" s="673">
        <v>522</v>
      </c>
      <c r="T34" s="673">
        <v>581</v>
      </c>
      <c r="U34" s="673">
        <v>610</v>
      </c>
      <c r="V34" s="665">
        <v>521</v>
      </c>
      <c r="W34" s="665">
        <v>478</v>
      </c>
      <c r="X34" s="665">
        <v>420</v>
      </c>
      <c r="Y34" s="665">
        <v>605</v>
      </c>
      <c r="Z34" s="665">
        <v>467</v>
      </c>
      <c r="AA34" s="665">
        <v>521</v>
      </c>
      <c r="AB34" s="665">
        <v>542</v>
      </c>
      <c r="AC34" s="665">
        <v>404</v>
      </c>
      <c r="AD34" s="665">
        <v>385</v>
      </c>
      <c r="AE34" s="665">
        <v>327</v>
      </c>
      <c r="AF34" s="665">
        <v>257</v>
      </c>
      <c r="AG34" s="665">
        <v>349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0.18935374292624957</v>
      </c>
      <c r="F35" s="680">
        <f t="shared" si="25"/>
        <v>825.92</v>
      </c>
      <c r="G35" s="680">
        <f t="shared" si="26"/>
        <v>840.33333333333337</v>
      </c>
      <c r="H35" s="679">
        <f t="shared" si="27"/>
        <v>967.83333333333337</v>
      </c>
      <c r="I35" s="679">
        <f t="shared" si="28"/>
        <v>796</v>
      </c>
      <c r="J35" s="679">
        <f t="shared" si="29"/>
        <v>773.8</v>
      </c>
      <c r="K35" s="673">
        <v>948</v>
      </c>
      <c r="L35" s="673">
        <v>744</v>
      </c>
      <c r="M35" s="673">
        <v>924</v>
      </c>
      <c r="N35" s="673">
        <v>767</v>
      </c>
      <c r="O35" s="673">
        <v>852</v>
      </c>
      <c r="P35" s="673">
        <v>807</v>
      </c>
      <c r="Q35" s="673">
        <v>930</v>
      </c>
      <c r="R35" s="673">
        <v>1209</v>
      </c>
      <c r="S35" s="673">
        <v>674</v>
      </c>
      <c r="T35" s="673">
        <v>1177</v>
      </c>
      <c r="U35" s="673">
        <v>943</v>
      </c>
      <c r="V35" s="665">
        <v>874</v>
      </c>
      <c r="W35" s="665">
        <v>795</v>
      </c>
      <c r="X35" s="665">
        <v>908</v>
      </c>
      <c r="Y35" s="665">
        <v>830</v>
      </c>
      <c r="Z35" s="665">
        <v>594</v>
      </c>
      <c r="AA35" s="665">
        <v>929</v>
      </c>
      <c r="AB35" s="665">
        <v>720</v>
      </c>
      <c r="AC35" s="665">
        <v>620</v>
      </c>
      <c r="AD35" s="665">
        <v>1068</v>
      </c>
      <c r="AE35" s="665">
        <v>728</v>
      </c>
      <c r="AF35" s="665">
        <v>722</v>
      </c>
      <c r="AG35" s="665">
        <v>731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0.12316445490567696</v>
      </c>
      <c r="F36" s="680">
        <f t="shared" si="25"/>
        <v>537.2166666666667</v>
      </c>
      <c r="G36" s="680">
        <f t="shared" si="26"/>
        <v>448.16666666666669</v>
      </c>
      <c r="H36" s="679">
        <f t="shared" si="27"/>
        <v>574</v>
      </c>
      <c r="I36" s="679">
        <f t="shared" si="28"/>
        <v>577.33333333333337</v>
      </c>
      <c r="J36" s="679">
        <f t="shared" si="29"/>
        <v>511</v>
      </c>
      <c r="K36" s="673">
        <v>522</v>
      </c>
      <c r="L36" s="673">
        <v>374</v>
      </c>
      <c r="M36" s="673">
        <v>488</v>
      </c>
      <c r="N36" s="673">
        <v>436</v>
      </c>
      <c r="O36" s="673">
        <v>456</v>
      </c>
      <c r="P36" s="673">
        <v>413</v>
      </c>
      <c r="Q36" s="673">
        <v>498</v>
      </c>
      <c r="R36" s="673">
        <v>704</v>
      </c>
      <c r="S36" s="673">
        <v>613</v>
      </c>
      <c r="T36" s="673">
        <v>547</v>
      </c>
      <c r="U36" s="673">
        <v>548</v>
      </c>
      <c r="V36" s="665">
        <v>534</v>
      </c>
      <c r="W36" s="665">
        <v>528</v>
      </c>
      <c r="X36" s="665">
        <v>569</v>
      </c>
      <c r="Y36" s="665">
        <v>540</v>
      </c>
      <c r="Z36" s="665">
        <v>550</v>
      </c>
      <c r="AA36" s="665">
        <v>665</v>
      </c>
      <c r="AB36" s="665">
        <v>612</v>
      </c>
      <c r="AC36" s="665">
        <v>523</v>
      </c>
      <c r="AD36" s="665">
        <v>567</v>
      </c>
      <c r="AE36" s="665">
        <v>487</v>
      </c>
      <c r="AF36" s="665">
        <v>483</v>
      </c>
      <c r="AG36" s="665">
        <v>495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0.12243539530849383</v>
      </c>
      <c r="F37" s="680">
        <f t="shared" si="25"/>
        <v>534.03666666666663</v>
      </c>
      <c r="G37" s="680">
        <f t="shared" si="26"/>
        <v>529</v>
      </c>
      <c r="H37" s="679">
        <f t="shared" si="27"/>
        <v>635.83333333333337</v>
      </c>
      <c r="I37" s="679">
        <f t="shared" si="28"/>
        <v>589.5</v>
      </c>
      <c r="J37" s="679">
        <f t="shared" si="29"/>
        <v>442.8</v>
      </c>
      <c r="K37" s="673">
        <v>544</v>
      </c>
      <c r="L37" s="673">
        <v>496</v>
      </c>
      <c r="M37" s="673">
        <v>587</v>
      </c>
      <c r="N37" s="673">
        <v>477</v>
      </c>
      <c r="O37" s="673">
        <v>582</v>
      </c>
      <c r="P37" s="673">
        <v>488</v>
      </c>
      <c r="Q37" s="673">
        <v>565</v>
      </c>
      <c r="R37" s="673">
        <v>787</v>
      </c>
      <c r="S37" s="673">
        <v>546</v>
      </c>
      <c r="T37" s="673">
        <v>674</v>
      </c>
      <c r="U37" s="673">
        <v>637</v>
      </c>
      <c r="V37" s="665">
        <v>606</v>
      </c>
      <c r="W37" s="665">
        <v>631</v>
      </c>
      <c r="X37" s="665">
        <v>561</v>
      </c>
      <c r="Y37" s="665">
        <v>568</v>
      </c>
      <c r="Z37" s="665">
        <v>539</v>
      </c>
      <c r="AA37" s="665">
        <v>719</v>
      </c>
      <c r="AB37" s="665">
        <v>519</v>
      </c>
      <c r="AC37" s="665">
        <v>342</v>
      </c>
      <c r="AD37" s="665">
        <v>489</v>
      </c>
      <c r="AE37" s="665">
        <v>384</v>
      </c>
      <c r="AF37" s="665">
        <v>471</v>
      </c>
      <c r="AG37" s="665">
        <v>528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0.17219638756319086</v>
      </c>
      <c r="F38" s="680">
        <f t="shared" si="25"/>
        <v>751.08333333333326</v>
      </c>
      <c r="G38" s="680">
        <f t="shared" si="26"/>
        <v>794.5</v>
      </c>
      <c r="H38" s="679">
        <f t="shared" si="27"/>
        <v>903.16666666666663</v>
      </c>
      <c r="I38" s="679">
        <f t="shared" si="28"/>
        <v>722</v>
      </c>
      <c r="J38" s="679">
        <f t="shared" si="29"/>
        <v>686</v>
      </c>
      <c r="K38" s="673">
        <v>810</v>
      </c>
      <c r="L38" s="673">
        <v>693</v>
      </c>
      <c r="M38" s="673">
        <v>892</v>
      </c>
      <c r="N38" s="673">
        <v>769</v>
      </c>
      <c r="O38" s="673">
        <v>816</v>
      </c>
      <c r="P38" s="673">
        <v>787</v>
      </c>
      <c r="Q38" s="673">
        <v>908</v>
      </c>
      <c r="R38" s="673">
        <v>1093</v>
      </c>
      <c r="S38" s="673">
        <v>753</v>
      </c>
      <c r="T38" s="673">
        <v>948</v>
      </c>
      <c r="U38" s="673">
        <v>848</v>
      </c>
      <c r="V38" s="665">
        <v>869</v>
      </c>
      <c r="W38" s="665">
        <v>736</v>
      </c>
      <c r="X38" s="665">
        <v>705</v>
      </c>
      <c r="Y38" s="665">
        <v>677</v>
      </c>
      <c r="Z38" s="665">
        <v>612</v>
      </c>
      <c r="AA38" s="665">
        <v>820</v>
      </c>
      <c r="AB38" s="665">
        <v>782</v>
      </c>
      <c r="AC38" s="665">
        <v>670</v>
      </c>
      <c r="AD38" s="665">
        <v>829</v>
      </c>
      <c r="AE38" s="665">
        <v>551</v>
      </c>
      <c r="AF38" s="665">
        <v>640</v>
      </c>
      <c r="AG38" s="665">
        <v>740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0.37788825079559807</v>
      </c>
      <c r="F39" s="680">
        <f t="shared" si="25"/>
        <v>589.36333333333334</v>
      </c>
      <c r="G39" s="680">
        <f t="shared" si="26"/>
        <v>478.33333333333331</v>
      </c>
      <c r="H39" s="679">
        <f t="shared" si="27"/>
        <v>490</v>
      </c>
      <c r="I39" s="679">
        <f t="shared" si="28"/>
        <v>606.16666666666663</v>
      </c>
      <c r="J39" s="679">
        <f t="shared" si="29"/>
        <v>654.20000000000005</v>
      </c>
      <c r="K39" s="673">
        <v>458</v>
      </c>
      <c r="L39" s="673">
        <v>365</v>
      </c>
      <c r="M39" s="673">
        <v>615</v>
      </c>
      <c r="N39" s="673">
        <v>484</v>
      </c>
      <c r="O39" s="673">
        <v>509</v>
      </c>
      <c r="P39" s="673">
        <v>439</v>
      </c>
      <c r="Q39" s="673">
        <v>521</v>
      </c>
      <c r="R39" s="673">
        <v>609</v>
      </c>
      <c r="S39" s="673">
        <v>463</v>
      </c>
      <c r="T39" s="673">
        <v>464</v>
      </c>
      <c r="U39" s="673">
        <v>438</v>
      </c>
      <c r="V39" s="665">
        <v>445</v>
      </c>
      <c r="W39" s="665">
        <v>565</v>
      </c>
      <c r="X39" s="665">
        <v>575</v>
      </c>
      <c r="Y39" s="665">
        <v>628</v>
      </c>
      <c r="Z39" s="665">
        <v>514</v>
      </c>
      <c r="AA39" s="665">
        <v>726</v>
      </c>
      <c r="AB39" s="665">
        <v>629</v>
      </c>
      <c r="AC39" s="665">
        <v>548</v>
      </c>
      <c r="AD39" s="665">
        <v>815</v>
      </c>
      <c r="AE39" s="665">
        <v>612</v>
      </c>
      <c r="AF39" s="665">
        <v>643</v>
      </c>
      <c r="AG39" s="665">
        <v>653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0.2865499575752265</v>
      </c>
      <c r="F40" s="680">
        <f t="shared" si="25"/>
        <v>446.91</v>
      </c>
      <c r="G40" s="680">
        <f t="shared" si="26"/>
        <v>408.5</v>
      </c>
      <c r="H40" s="679">
        <f t="shared" si="27"/>
        <v>393.5</v>
      </c>
      <c r="I40" s="679">
        <f t="shared" si="28"/>
        <v>469.33333333333331</v>
      </c>
      <c r="J40" s="679">
        <f t="shared" si="29"/>
        <v>466.4</v>
      </c>
      <c r="K40" s="673">
        <v>514</v>
      </c>
      <c r="L40" s="673">
        <v>413</v>
      </c>
      <c r="M40" s="673">
        <v>442</v>
      </c>
      <c r="N40" s="673">
        <v>382</v>
      </c>
      <c r="O40" s="673">
        <v>370</v>
      </c>
      <c r="P40" s="673">
        <v>330</v>
      </c>
      <c r="Q40" s="673">
        <v>346</v>
      </c>
      <c r="R40" s="673">
        <v>402</v>
      </c>
      <c r="S40" s="673">
        <v>350</v>
      </c>
      <c r="T40" s="673">
        <v>432</v>
      </c>
      <c r="U40" s="673">
        <v>430</v>
      </c>
      <c r="V40" s="665">
        <v>401</v>
      </c>
      <c r="W40" s="665">
        <v>455</v>
      </c>
      <c r="X40" s="665">
        <v>460</v>
      </c>
      <c r="Y40" s="665">
        <v>417</v>
      </c>
      <c r="Z40" s="665">
        <v>444</v>
      </c>
      <c r="AA40" s="665">
        <v>521</v>
      </c>
      <c r="AB40" s="665">
        <v>519</v>
      </c>
      <c r="AC40" s="665">
        <v>427</v>
      </c>
      <c r="AD40" s="665">
        <v>555</v>
      </c>
      <c r="AE40" s="665">
        <v>399</v>
      </c>
      <c r="AF40" s="665">
        <v>429</v>
      </c>
      <c r="AG40" s="665">
        <v>522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0.33556179162917543</v>
      </c>
      <c r="F41" s="680">
        <f t="shared" si="25"/>
        <v>523.35</v>
      </c>
      <c r="G41" s="680">
        <f t="shared" si="26"/>
        <v>424.16666666666669</v>
      </c>
      <c r="H41" s="679">
        <f t="shared" si="27"/>
        <v>504.66666666666669</v>
      </c>
      <c r="I41" s="679">
        <f t="shared" si="28"/>
        <v>542.66666666666663</v>
      </c>
      <c r="J41" s="679">
        <f t="shared" si="29"/>
        <v>543</v>
      </c>
      <c r="K41" s="673">
        <v>530</v>
      </c>
      <c r="L41" s="673">
        <v>481</v>
      </c>
      <c r="M41" s="673">
        <v>466</v>
      </c>
      <c r="N41" s="673">
        <v>360</v>
      </c>
      <c r="O41" s="673">
        <v>374</v>
      </c>
      <c r="P41" s="673">
        <v>334</v>
      </c>
      <c r="Q41" s="673">
        <v>413</v>
      </c>
      <c r="R41" s="673">
        <v>451</v>
      </c>
      <c r="S41" s="673">
        <v>501</v>
      </c>
      <c r="T41" s="673">
        <v>672</v>
      </c>
      <c r="U41" s="673">
        <v>551</v>
      </c>
      <c r="V41" s="665">
        <v>440</v>
      </c>
      <c r="W41" s="665">
        <v>581</v>
      </c>
      <c r="X41" s="665">
        <v>590</v>
      </c>
      <c r="Y41" s="665">
        <v>543</v>
      </c>
      <c r="Z41" s="665">
        <v>412</v>
      </c>
      <c r="AA41" s="665">
        <v>556</v>
      </c>
      <c r="AB41" s="665">
        <v>574</v>
      </c>
      <c r="AC41" s="665">
        <v>488</v>
      </c>
      <c r="AD41" s="665">
        <v>625</v>
      </c>
      <c r="AE41" s="665">
        <v>439</v>
      </c>
      <c r="AF41" s="665">
        <v>554</v>
      </c>
      <c r="AG41" s="665">
        <v>609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0.18448200618593294</v>
      </c>
      <c r="F42" s="680">
        <f t="shared" si="25"/>
        <v>807.40333333333342</v>
      </c>
      <c r="G42" s="680">
        <f t="shared" si="26"/>
        <v>882.5</v>
      </c>
      <c r="H42" s="679">
        <f t="shared" si="27"/>
        <v>963.66666666666663</v>
      </c>
      <c r="I42" s="679">
        <f t="shared" si="28"/>
        <v>799</v>
      </c>
      <c r="J42" s="679">
        <f t="shared" si="29"/>
        <v>716.8</v>
      </c>
      <c r="K42" s="673">
        <v>929</v>
      </c>
      <c r="L42" s="673">
        <v>842</v>
      </c>
      <c r="M42" s="673">
        <v>829</v>
      </c>
      <c r="N42" s="673">
        <v>816</v>
      </c>
      <c r="O42" s="673">
        <v>984</v>
      </c>
      <c r="P42" s="673">
        <v>895</v>
      </c>
      <c r="Q42" s="673">
        <v>1013</v>
      </c>
      <c r="R42" s="673">
        <v>1062</v>
      </c>
      <c r="S42" s="673">
        <v>867</v>
      </c>
      <c r="T42" s="673">
        <v>937</v>
      </c>
      <c r="U42" s="673">
        <v>990</v>
      </c>
      <c r="V42" s="665">
        <v>913</v>
      </c>
      <c r="W42" s="665">
        <v>843</v>
      </c>
      <c r="X42" s="665">
        <v>812</v>
      </c>
      <c r="Y42" s="665">
        <v>853</v>
      </c>
      <c r="Z42" s="665">
        <v>705</v>
      </c>
      <c r="AA42" s="665">
        <v>745</v>
      </c>
      <c r="AB42" s="665">
        <v>836</v>
      </c>
      <c r="AC42" s="665">
        <v>633</v>
      </c>
      <c r="AD42" s="665">
        <v>882</v>
      </c>
      <c r="AE42" s="665">
        <v>611</v>
      </c>
      <c r="AF42" s="665">
        <v>745</v>
      </c>
      <c r="AG42" s="665">
        <v>713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0.12064625557606025</v>
      </c>
      <c r="F43" s="680">
        <f t="shared" si="25"/>
        <v>528.02</v>
      </c>
      <c r="G43" s="680">
        <f t="shared" si="26"/>
        <v>546.83333333333337</v>
      </c>
      <c r="H43" s="679">
        <f t="shared" si="27"/>
        <v>700.33333333333337</v>
      </c>
      <c r="I43" s="679">
        <f t="shared" si="28"/>
        <v>524.5</v>
      </c>
      <c r="J43" s="679">
        <f t="shared" si="29"/>
        <v>439.8</v>
      </c>
      <c r="K43" s="673">
        <v>585</v>
      </c>
      <c r="L43" s="673">
        <v>495</v>
      </c>
      <c r="M43" s="673">
        <v>593</v>
      </c>
      <c r="N43" s="673">
        <v>499</v>
      </c>
      <c r="O43" s="673">
        <v>570</v>
      </c>
      <c r="P43" s="673">
        <v>539</v>
      </c>
      <c r="Q43" s="673">
        <v>622</v>
      </c>
      <c r="R43" s="673">
        <v>870</v>
      </c>
      <c r="S43" s="673">
        <v>572</v>
      </c>
      <c r="T43" s="673">
        <v>756</v>
      </c>
      <c r="U43" s="673">
        <v>674</v>
      </c>
      <c r="V43" s="665">
        <v>708</v>
      </c>
      <c r="W43" s="665">
        <v>583</v>
      </c>
      <c r="X43" s="665">
        <v>625</v>
      </c>
      <c r="Y43" s="665">
        <v>581</v>
      </c>
      <c r="Z43" s="665">
        <v>446</v>
      </c>
      <c r="AA43" s="665">
        <v>461</v>
      </c>
      <c r="AB43" s="665">
        <v>451</v>
      </c>
      <c r="AC43" s="665">
        <v>414</v>
      </c>
      <c r="AD43" s="665">
        <v>511</v>
      </c>
      <c r="AE43" s="665">
        <v>367</v>
      </c>
      <c r="AF43" s="665">
        <v>446</v>
      </c>
      <c r="AG43" s="665">
        <v>461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0.15517689163345341</v>
      </c>
      <c r="F44" s="680">
        <f t="shared" si="25"/>
        <v>679.14666666666676</v>
      </c>
      <c r="G44" s="680">
        <f t="shared" si="26"/>
        <v>739.83333333333337</v>
      </c>
      <c r="H44" s="679">
        <f t="shared" si="27"/>
        <v>786.66666666666663</v>
      </c>
      <c r="I44" s="679">
        <f t="shared" si="28"/>
        <v>675.16666666666663</v>
      </c>
      <c r="J44" s="679">
        <f t="shared" si="29"/>
        <v>613.20000000000005</v>
      </c>
      <c r="K44" s="673">
        <v>692</v>
      </c>
      <c r="L44" s="673">
        <v>804</v>
      </c>
      <c r="M44" s="673">
        <v>753</v>
      </c>
      <c r="N44" s="673">
        <v>666</v>
      </c>
      <c r="O44" s="673">
        <v>809</v>
      </c>
      <c r="P44" s="673">
        <v>715</v>
      </c>
      <c r="Q44" s="673">
        <v>814</v>
      </c>
      <c r="R44" s="673">
        <v>861</v>
      </c>
      <c r="S44" s="673">
        <v>755</v>
      </c>
      <c r="T44" s="673">
        <v>716</v>
      </c>
      <c r="U44" s="673">
        <v>786</v>
      </c>
      <c r="V44" s="665">
        <v>788</v>
      </c>
      <c r="W44" s="665">
        <v>588</v>
      </c>
      <c r="X44" s="665">
        <v>574</v>
      </c>
      <c r="Y44" s="665">
        <v>798</v>
      </c>
      <c r="Z44" s="665">
        <v>557</v>
      </c>
      <c r="AA44" s="665">
        <v>753</v>
      </c>
      <c r="AB44" s="665">
        <v>781</v>
      </c>
      <c r="AC44" s="665">
        <v>693</v>
      </c>
      <c r="AD44" s="665">
        <v>679</v>
      </c>
      <c r="AE44" s="665">
        <v>633</v>
      </c>
      <c r="AF44" s="665">
        <v>459</v>
      </c>
      <c r="AG44" s="665">
        <v>602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0.10984867237023593</v>
      </c>
      <c r="F45" s="680">
        <f t="shared" si="25"/>
        <v>480.76333333333332</v>
      </c>
      <c r="G45" s="680">
        <f t="shared" si="26"/>
        <v>436.5</v>
      </c>
      <c r="H45" s="679">
        <f t="shared" si="27"/>
        <v>500.16666666666669</v>
      </c>
      <c r="I45" s="679">
        <f t="shared" si="28"/>
        <v>547.33333333333337</v>
      </c>
      <c r="J45" s="679">
        <f t="shared" si="29"/>
        <v>432.2</v>
      </c>
      <c r="K45" s="673">
        <v>457</v>
      </c>
      <c r="L45" s="673">
        <v>373</v>
      </c>
      <c r="M45" s="673">
        <v>533</v>
      </c>
      <c r="N45" s="673">
        <v>398</v>
      </c>
      <c r="O45" s="673">
        <v>458</v>
      </c>
      <c r="P45" s="673">
        <v>400</v>
      </c>
      <c r="Q45" s="673">
        <v>528</v>
      </c>
      <c r="R45" s="673">
        <v>583</v>
      </c>
      <c r="S45" s="673">
        <v>384</v>
      </c>
      <c r="T45" s="673">
        <v>513</v>
      </c>
      <c r="U45" s="673">
        <v>506</v>
      </c>
      <c r="V45" s="665">
        <v>487</v>
      </c>
      <c r="W45" s="665">
        <v>480</v>
      </c>
      <c r="X45" s="665">
        <v>567</v>
      </c>
      <c r="Y45" s="665">
        <v>607</v>
      </c>
      <c r="Z45" s="665">
        <v>502</v>
      </c>
      <c r="AA45" s="665">
        <v>631</v>
      </c>
      <c r="AB45" s="665">
        <v>497</v>
      </c>
      <c r="AC45" s="665">
        <v>382</v>
      </c>
      <c r="AD45" s="665">
        <v>613</v>
      </c>
      <c r="AE45" s="665">
        <v>371</v>
      </c>
      <c r="AF45" s="665">
        <v>357</v>
      </c>
      <c r="AG45" s="665">
        <v>438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0.11241992446185355</v>
      </c>
      <c r="F46" s="680">
        <f t="shared" si="25"/>
        <v>492.01666666666665</v>
      </c>
      <c r="G46" s="680">
        <f t="shared" si="26"/>
        <v>518.33333333333337</v>
      </c>
      <c r="H46" s="679">
        <f t="shared" si="27"/>
        <v>583.66666666666663</v>
      </c>
      <c r="I46" s="679">
        <f t="shared" si="28"/>
        <v>518.16666666666663</v>
      </c>
      <c r="J46" s="679">
        <f t="shared" si="29"/>
        <v>420</v>
      </c>
      <c r="K46" s="673">
        <v>511</v>
      </c>
      <c r="L46" s="673">
        <v>458</v>
      </c>
      <c r="M46" s="673">
        <v>567</v>
      </c>
      <c r="N46" s="673">
        <v>444</v>
      </c>
      <c r="O46" s="673">
        <v>602</v>
      </c>
      <c r="P46" s="673">
        <v>528</v>
      </c>
      <c r="Q46" s="673">
        <v>546</v>
      </c>
      <c r="R46" s="673">
        <v>681</v>
      </c>
      <c r="S46" s="673">
        <v>577</v>
      </c>
      <c r="T46" s="673">
        <v>623</v>
      </c>
      <c r="U46" s="673">
        <v>558</v>
      </c>
      <c r="V46" s="665">
        <v>517</v>
      </c>
      <c r="W46" s="665">
        <v>505</v>
      </c>
      <c r="X46" s="665">
        <v>463</v>
      </c>
      <c r="Y46" s="665">
        <v>603</v>
      </c>
      <c r="Z46" s="665">
        <v>512</v>
      </c>
      <c r="AA46" s="665">
        <v>535</v>
      </c>
      <c r="AB46" s="665">
        <v>491</v>
      </c>
      <c r="AC46" s="665">
        <v>396</v>
      </c>
      <c r="AD46" s="665">
        <v>446</v>
      </c>
      <c r="AE46" s="665">
        <v>384</v>
      </c>
      <c r="AF46" s="665">
        <v>414</v>
      </c>
      <c r="AG46" s="665">
        <v>460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0.13961533276617527</v>
      </c>
      <c r="F47" s="680">
        <f t="shared" si="25"/>
        <v>611.04000000000008</v>
      </c>
      <c r="G47" s="680">
        <f t="shared" si="26"/>
        <v>712.16666666666663</v>
      </c>
      <c r="H47" s="679">
        <f t="shared" si="27"/>
        <v>674.16666666666663</v>
      </c>
      <c r="I47" s="679">
        <f t="shared" si="28"/>
        <v>618.5</v>
      </c>
      <c r="J47" s="679">
        <f t="shared" si="29"/>
        <v>548.6</v>
      </c>
      <c r="K47" s="673">
        <v>810</v>
      </c>
      <c r="L47" s="673">
        <v>601</v>
      </c>
      <c r="M47" s="673">
        <v>751</v>
      </c>
      <c r="N47" s="673">
        <v>743</v>
      </c>
      <c r="O47" s="673">
        <v>734</v>
      </c>
      <c r="P47" s="673">
        <v>634</v>
      </c>
      <c r="Q47" s="673">
        <v>679</v>
      </c>
      <c r="R47" s="673">
        <v>922</v>
      </c>
      <c r="S47" s="673">
        <v>562</v>
      </c>
      <c r="T47" s="673">
        <v>673</v>
      </c>
      <c r="U47" s="673">
        <v>622</v>
      </c>
      <c r="V47" s="665">
        <v>587</v>
      </c>
      <c r="W47" s="665">
        <v>620</v>
      </c>
      <c r="X47" s="665">
        <v>512</v>
      </c>
      <c r="Y47" s="665">
        <v>617</v>
      </c>
      <c r="Z47" s="665">
        <v>702</v>
      </c>
      <c r="AA47" s="665">
        <v>658</v>
      </c>
      <c r="AB47" s="665">
        <v>602</v>
      </c>
      <c r="AC47" s="665">
        <v>427</v>
      </c>
      <c r="AD47" s="665">
        <v>699</v>
      </c>
      <c r="AE47" s="665">
        <v>444</v>
      </c>
      <c r="AF47" s="665">
        <v>550</v>
      </c>
      <c r="AG47" s="665">
        <v>623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0.10684405462692093</v>
      </c>
      <c r="F48" s="680">
        <f t="shared" si="25"/>
        <v>467.61333333333334</v>
      </c>
      <c r="G48" s="680">
        <f t="shared" si="26"/>
        <v>503</v>
      </c>
      <c r="H48" s="679">
        <f t="shared" si="27"/>
        <v>478.16666666666669</v>
      </c>
      <c r="I48" s="679">
        <f t="shared" si="28"/>
        <v>505.33333333333331</v>
      </c>
      <c r="J48" s="679">
        <f t="shared" si="29"/>
        <v>425.2</v>
      </c>
      <c r="K48" s="673">
        <v>520</v>
      </c>
      <c r="L48" s="673">
        <v>469</v>
      </c>
      <c r="M48" s="673">
        <v>619</v>
      </c>
      <c r="N48" s="673">
        <v>449</v>
      </c>
      <c r="O48" s="673">
        <v>531</v>
      </c>
      <c r="P48" s="673">
        <v>430</v>
      </c>
      <c r="Q48" s="673">
        <v>466</v>
      </c>
      <c r="R48" s="673">
        <v>533</v>
      </c>
      <c r="S48" s="673">
        <v>404</v>
      </c>
      <c r="T48" s="673">
        <v>511</v>
      </c>
      <c r="U48" s="673">
        <v>462</v>
      </c>
      <c r="V48" s="665">
        <v>493</v>
      </c>
      <c r="W48" s="665">
        <v>506</v>
      </c>
      <c r="X48" s="665">
        <v>468</v>
      </c>
      <c r="Y48" s="665">
        <v>511</v>
      </c>
      <c r="Z48" s="665">
        <v>468</v>
      </c>
      <c r="AA48" s="665">
        <v>546</v>
      </c>
      <c r="AB48" s="665">
        <v>533</v>
      </c>
      <c r="AC48" s="665">
        <v>383</v>
      </c>
      <c r="AD48" s="665">
        <v>566</v>
      </c>
      <c r="AE48" s="665">
        <v>369</v>
      </c>
      <c r="AF48" s="665">
        <v>407</v>
      </c>
      <c r="AG48" s="665">
        <v>401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7.0966862379367834E-2</v>
      </c>
      <c r="F49" s="680">
        <f t="shared" si="25"/>
        <v>310.59333333333331</v>
      </c>
      <c r="G49" s="680">
        <f t="shared" si="26"/>
        <v>325.33333333333331</v>
      </c>
      <c r="H49" s="679">
        <f t="shared" si="27"/>
        <v>326</v>
      </c>
      <c r="I49" s="679">
        <f t="shared" si="28"/>
        <v>330.33333333333331</v>
      </c>
      <c r="J49" s="679">
        <f t="shared" si="29"/>
        <v>284.39999999999998</v>
      </c>
      <c r="K49" s="673">
        <v>366</v>
      </c>
      <c r="L49" s="673">
        <v>307</v>
      </c>
      <c r="M49" s="673">
        <v>348</v>
      </c>
      <c r="N49" s="673">
        <v>330</v>
      </c>
      <c r="O49" s="673">
        <v>309</v>
      </c>
      <c r="P49" s="673">
        <v>292</v>
      </c>
      <c r="Q49" s="673">
        <v>317</v>
      </c>
      <c r="R49" s="673">
        <v>464</v>
      </c>
      <c r="S49" s="673">
        <v>259</v>
      </c>
      <c r="T49" s="673">
        <v>347</v>
      </c>
      <c r="U49" s="673">
        <v>318</v>
      </c>
      <c r="V49" s="665">
        <v>251</v>
      </c>
      <c r="W49" s="665">
        <v>348</v>
      </c>
      <c r="X49" s="665">
        <v>303</v>
      </c>
      <c r="Y49" s="665">
        <v>316</v>
      </c>
      <c r="Z49" s="665">
        <v>258</v>
      </c>
      <c r="AA49" s="665">
        <v>400</v>
      </c>
      <c r="AB49" s="665">
        <v>357</v>
      </c>
      <c r="AC49" s="665">
        <v>210</v>
      </c>
      <c r="AD49" s="665">
        <v>393</v>
      </c>
      <c r="AE49" s="665">
        <v>259</v>
      </c>
      <c r="AF49" s="665">
        <v>267</v>
      </c>
      <c r="AG49" s="665">
        <v>293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9.1751016192873278E-2</v>
      </c>
      <c r="F50" s="680">
        <f t="shared" si="25"/>
        <v>355.6633333333333</v>
      </c>
      <c r="G50" s="680">
        <f t="shared" si="26"/>
        <v>339.66666666666669</v>
      </c>
      <c r="H50" s="679">
        <f t="shared" si="27"/>
        <v>396.83333333333331</v>
      </c>
      <c r="I50" s="679">
        <f t="shared" si="28"/>
        <v>332.83333333333331</v>
      </c>
      <c r="J50" s="679">
        <f t="shared" si="29"/>
        <v>356.2</v>
      </c>
      <c r="K50" s="673">
        <v>435</v>
      </c>
      <c r="L50" s="673">
        <v>305</v>
      </c>
      <c r="M50" s="673">
        <v>344</v>
      </c>
      <c r="N50" s="673">
        <v>342</v>
      </c>
      <c r="O50" s="673">
        <v>310</v>
      </c>
      <c r="P50" s="673">
        <v>302</v>
      </c>
      <c r="Q50" s="673">
        <v>373</v>
      </c>
      <c r="R50" s="673">
        <v>435</v>
      </c>
      <c r="S50" s="673">
        <v>364</v>
      </c>
      <c r="T50" s="673">
        <v>434</v>
      </c>
      <c r="U50" s="673">
        <v>437</v>
      </c>
      <c r="V50" s="665">
        <v>338</v>
      </c>
      <c r="W50" s="665">
        <v>302</v>
      </c>
      <c r="X50" s="665">
        <v>299</v>
      </c>
      <c r="Y50" s="665">
        <v>320</v>
      </c>
      <c r="Z50" s="665">
        <v>284</v>
      </c>
      <c r="AA50" s="665">
        <v>407</v>
      </c>
      <c r="AB50" s="665">
        <v>385</v>
      </c>
      <c r="AC50" s="665">
        <v>300</v>
      </c>
      <c r="AD50" s="665">
        <v>428</v>
      </c>
      <c r="AE50" s="665">
        <v>314</v>
      </c>
      <c r="AF50" s="665">
        <v>346</v>
      </c>
      <c r="AG50" s="665">
        <v>393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0.11207487365844054</v>
      </c>
      <c r="F51" s="680">
        <f t="shared" si="25"/>
        <v>434.44666666666672</v>
      </c>
      <c r="G51" s="680">
        <f t="shared" si="26"/>
        <v>341.5</v>
      </c>
      <c r="H51" s="679">
        <f t="shared" si="27"/>
        <v>393.83333333333331</v>
      </c>
      <c r="I51" s="679">
        <f t="shared" si="28"/>
        <v>491.5</v>
      </c>
      <c r="J51" s="679">
        <f t="shared" si="29"/>
        <v>435.2</v>
      </c>
      <c r="K51" s="673">
        <v>408</v>
      </c>
      <c r="L51" s="673">
        <v>330</v>
      </c>
      <c r="M51" s="673">
        <v>347</v>
      </c>
      <c r="N51" s="673">
        <v>379</v>
      </c>
      <c r="O51" s="673">
        <v>302</v>
      </c>
      <c r="P51" s="673">
        <v>283</v>
      </c>
      <c r="Q51" s="673">
        <v>381</v>
      </c>
      <c r="R51" s="673">
        <v>452</v>
      </c>
      <c r="S51" s="673">
        <v>333</v>
      </c>
      <c r="T51" s="673">
        <v>415</v>
      </c>
      <c r="U51" s="673">
        <v>451</v>
      </c>
      <c r="V51" s="665">
        <v>331</v>
      </c>
      <c r="W51" s="665">
        <v>416</v>
      </c>
      <c r="X51" s="665">
        <v>435</v>
      </c>
      <c r="Y51" s="665">
        <v>584</v>
      </c>
      <c r="Z51" s="665">
        <v>468</v>
      </c>
      <c r="AA51" s="665">
        <v>561</v>
      </c>
      <c r="AB51" s="665">
        <v>485</v>
      </c>
      <c r="AC51" s="665">
        <v>376</v>
      </c>
      <c r="AD51" s="665">
        <v>451</v>
      </c>
      <c r="AE51" s="665">
        <v>355</v>
      </c>
      <c r="AF51" s="665">
        <v>442</v>
      </c>
      <c r="AG51" s="665">
        <v>552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0.10984255997193269</v>
      </c>
      <c r="F52" s="680">
        <f t="shared" si="25"/>
        <v>425.79333333333329</v>
      </c>
      <c r="G52" s="680">
        <f t="shared" si="26"/>
        <v>375</v>
      </c>
      <c r="H52" s="679">
        <f t="shared" si="27"/>
        <v>445.16666666666669</v>
      </c>
      <c r="I52" s="679">
        <f t="shared" si="28"/>
        <v>397</v>
      </c>
      <c r="J52" s="679">
        <f t="shared" si="29"/>
        <v>450.4</v>
      </c>
      <c r="K52" s="673">
        <v>414</v>
      </c>
      <c r="L52" s="673">
        <v>323</v>
      </c>
      <c r="M52" s="673">
        <v>419</v>
      </c>
      <c r="N52" s="673">
        <v>336</v>
      </c>
      <c r="O52" s="673">
        <v>374</v>
      </c>
      <c r="P52" s="673">
        <v>384</v>
      </c>
      <c r="Q52" s="673">
        <v>524</v>
      </c>
      <c r="R52" s="673">
        <v>573</v>
      </c>
      <c r="S52" s="673">
        <v>408</v>
      </c>
      <c r="T52" s="673">
        <v>393</v>
      </c>
      <c r="U52" s="673">
        <v>400</v>
      </c>
      <c r="V52" s="665">
        <v>373</v>
      </c>
      <c r="W52" s="665">
        <v>286</v>
      </c>
      <c r="X52" s="665">
        <v>308</v>
      </c>
      <c r="Y52" s="665">
        <v>405</v>
      </c>
      <c r="Z52" s="665">
        <v>400</v>
      </c>
      <c r="AA52" s="665">
        <v>534</v>
      </c>
      <c r="AB52" s="665">
        <v>449</v>
      </c>
      <c r="AC52" s="665">
        <v>434</v>
      </c>
      <c r="AD52" s="665">
        <v>516</v>
      </c>
      <c r="AE52" s="665">
        <v>403</v>
      </c>
      <c r="AF52" s="665">
        <v>437</v>
      </c>
      <c r="AG52" s="665">
        <v>462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8.5717921884499268E-2</v>
      </c>
      <c r="F53" s="680">
        <f t="shared" si="25"/>
        <v>332.27666666666664</v>
      </c>
      <c r="G53" s="680">
        <f t="shared" si="26"/>
        <v>471.66666666666669</v>
      </c>
      <c r="H53" s="679">
        <f t="shared" si="27"/>
        <v>364.5</v>
      </c>
      <c r="I53" s="679">
        <f t="shared" si="28"/>
        <v>297.5</v>
      </c>
      <c r="J53" s="679">
        <f t="shared" si="29"/>
        <v>307.39999999999998</v>
      </c>
      <c r="K53" s="673">
        <v>619</v>
      </c>
      <c r="L53" s="673">
        <v>461</v>
      </c>
      <c r="M53" s="673">
        <v>603</v>
      </c>
      <c r="N53" s="673">
        <v>505</v>
      </c>
      <c r="O53" s="673">
        <v>349</v>
      </c>
      <c r="P53" s="673">
        <v>293</v>
      </c>
      <c r="Q53" s="673">
        <v>369</v>
      </c>
      <c r="R53" s="673">
        <v>438</v>
      </c>
      <c r="S53" s="673">
        <v>313</v>
      </c>
      <c r="T53" s="673">
        <v>288</v>
      </c>
      <c r="U53" s="673">
        <v>451</v>
      </c>
      <c r="V53" s="665">
        <v>328</v>
      </c>
      <c r="W53" s="665">
        <v>260</v>
      </c>
      <c r="X53" s="665">
        <v>270</v>
      </c>
      <c r="Y53" s="665">
        <v>271</v>
      </c>
      <c r="Z53" s="665">
        <v>276</v>
      </c>
      <c r="AA53" s="665">
        <v>306</v>
      </c>
      <c r="AB53" s="665">
        <v>402</v>
      </c>
      <c r="AC53" s="665">
        <v>302</v>
      </c>
      <c r="AD53" s="665">
        <v>401</v>
      </c>
      <c r="AE53" s="665">
        <v>251</v>
      </c>
      <c r="AF53" s="665">
        <v>275</v>
      </c>
      <c r="AG53" s="665">
        <v>308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0.12519702576017763</v>
      </c>
      <c r="F54" s="680">
        <f t="shared" si="25"/>
        <v>485.31333333333339</v>
      </c>
      <c r="G54" s="680">
        <f t="shared" si="26"/>
        <v>607.5</v>
      </c>
      <c r="H54" s="679">
        <f t="shared" si="27"/>
        <v>612.66666666666663</v>
      </c>
      <c r="I54" s="679">
        <f t="shared" si="28"/>
        <v>413.16666666666669</v>
      </c>
      <c r="J54" s="679">
        <f t="shared" si="29"/>
        <v>445.2</v>
      </c>
      <c r="K54" s="673">
        <v>583</v>
      </c>
      <c r="L54" s="673">
        <v>582</v>
      </c>
      <c r="M54" s="673">
        <v>673</v>
      </c>
      <c r="N54" s="673">
        <v>603</v>
      </c>
      <c r="O54" s="673">
        <v>672</v>
      </c>
      <c r="P54" s="673">
        <v>532</v>
      </c>
      <c r="Q54" s="673">
        <v>645</v>
      </c>
      <c r="R54" s="673">
        <v>697</v>
      </c>
      <c r="S54" s="673">
        <v>432</v>
      </c>
      <c r="T54" s="673">
        <v>627</v>
      </c>
      <c r="U54" s="673">
        <v>631</v>
      </c>
      <c r="V54" s="665">
        <v>644</v>
      </c>
      <c r="W54" s="665">
        <v>568</v>
      </c>
      <c r="X54" s="665">
        <v>409</v>
      </c>
      <c r="Y54" s="665">
        <v>341</v>
      </c>
      <c r="Z54" s="665">
        <v>382</v>
      </c>
      <c r="AA54" s="665">
        <v>461</v>
      </c>
      <c r="AB54" s="665">
        <v>318</v>
      </c>
      <c r="AC54" s="665">
        <v>404</v>
      </c>
      <c r="AD54" s="665">
        <v>551</v>
      </c>
      <c r="AE54" s="665">
        <v>421</v>
      </c>
      <c r="AF54" s="665">
        <v>374</v>
      </c>
      <c r="AG54" s="665">
        <v>476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0.12860482974308615</v>
      </c>
      <c r="F55" s="680">
        <f t="shared" si="25"/>
        <v>498.52333333333337</v>
      </c>
      <c r="G55" s="680">
        <f t="shared" si="26"/>
        <v>561</v>
      </c>
      <c r="H55" s="679">
        <f t="shared" si="27"/>
        <v>577.16666666666663</v>
      </c>
      <c r="I55" s="679">
        <f t="shared" si="28"/>
        <v>459.83333333333331</v>
      </c>
      <c r="J55" s="679">
        <f t="shared" si="29"/>
        <v>472.6</v>
      </c>
      <c r="K55" s="673">
        <v>678</v>
      </c>
      <c r="L55" s="673">
        <v>536</v>
      </c>
      <c r="M55" s="673">
        <v>644</v>
      </c>
      <c r="N55" s="673">
        <v>514</v>
      </c>
      <c r="O55" s="673">
        <v>513</v>
      </c>
      <c r="P55" s="673">
        <v>481</v>
      </c>
      <c r="Q55" s="673">
        <v>681</v>
      </c>
      <c r="R55" s="673">
        <v>698</v>
      </c>
      <c r="S55" s="673">
        <v>426</v>
      </c>
      <c r="T55" s="673">
        <v>599</v>
      </c>
      <c r="U55" s="673">
        <v>572</v>
      </c>
      <c r="V55" s="665">
        <v>487</v>
      </c>
      <c r="W55" s="665">
        <v>476</v>
      </c>
      <c r="X55" s="665">
        <v>466</v>
      </c>
      <c r="Y55" s="665">
        <v>432</v>
      </c>
      <c r="Z55" s="665">
        <v>442</v>
      </c>
      <c r="AA55" s="665">
        <v>523</v>
      </c>
      <c r="AB55" s="665">
        <v>420</v>
      </c>
      <c r="AC55" s="665">
        <v>371</v>
      </c>
      <c r="AD55" s="665">
        <v>590</v>
      </c>
      <c r="AE55" s="665">
        <v>480</v>
      </c>
      <c r="AF55" s="665">
        <v>460</v>
      </c>
      <c r="AG55" s="665">
        <v>462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0.2008961931140518</v>
      </c>
      <c r="F56" s="680">
        <f t="shared" si="25"/>
        <v>778.75333333333333</v>
      </c>
      <c r="G56" s="680">
        <f t="shared" si="26"/>
        <v>579.16666666666663</v>
      </c>
      <c r="H56" s="679">
        <f t="shared" si="27"/>
        <v>897.83333333333337</v>
      </c>
      <c r="I56" s="679">
        <f t="shared" si="28"/>
        <v>939.16666666666663</v>
      </c>
      <c r="J56" s="679">
        <f t="shared" si="29"/>
        <v>648.79999999999995</v>
      </c>
      <c r="K56" s="673">
        <v>641</v>
      </c>
      <c r="L56" s="673">
        <v>483</v>
      </c>
      <c r="M56" s="673">
        <v>663</v>
      </c>
      <c r="N56" s="673">
        <v>527</v>
      </c>
      <c r="O56" s="673">
        <v>529</v>
      </c>
      <c r="P56" s="673">
        <v>632</v>
      </c>
      <c r="Q56" s="673">
        <v>650</v>
      </c>
      <c r="R56" s="673">
        <v>640</v>
      </c>
      <c r="S56" s="673">
        <v>837</v>
      </c>
      <c r="T56" s="673">
        <v>1239</v>
      </c>
      <c r="U56" s="673">
        <v>1066</v>
      </c>
      <c r="V56" s="665">
        <v>955</v>
      </c>
      <c r="W56" s="665">
        <v>969</v>
      </c>
      <c r="X56" s="665">
        <v>906</v>
      </c>
      <c r="Y56" s="665">
        <v>1082</v>
      </c>
      <c r="Z56" s="665">
        <v>736</v>
      </c>
      <c r="AA56" s="665">
        <v>1081</v>
      </c>
      <c r="AB56" s="665">
        <v>861</v>
      </c>
      <c r="AC56" s="665">
        <v>834</v>
      </c>
      <c r="AD56" s="665">
        <v>819</v>
      </c>
      <c r="AE56" s="665">
        <v>575</v>
      </c>
      <c r="AF56" s="665">
        <v>478</v>
      </c>
      <c r="AG56" s="665">
        <v>538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0.14591557967493868</v>
      </c>
      <c r="F57" s="680">
        <f t="shared" si="25"/>
        <v>565.62666666666667</v>
      </c>
      <c r="G57" s="680">
        <f t="shared" si="26"/>
        <v>444.83333333333331</v>
      </c>
      <c r="H57" s="679">
        <f t="shared" si="27"/>
        <v>558.66666666666663</v>
      </c>
      <c r="I57" s="679">
        <f t="shared" si="28"/>
        <v>568.16666666666663</v>
      </c>
      <c r="J57" s="679">
        <f t="shared" si="29"/>
        <v>597.4</v>
      </c>
      <c r="K57" s="673">
        <v>646</v>
      </c>
      <c r="L57" s="673">
        <v>365</v>
      </c>
      <c r="M57" s="673">
        <v>489</v>
      </c>
      <c r="N57" s="673">
        <v>396</v>
      </c>
      <c r="O57" s="673">
        <v>413</v>
      </c>
      <c r="P57" s="673">
        <v>360</v>
      </c>
      <c r="Q57" s="673">
        <v>454</v>
      </c>
      <c r="R57" s="673">
        <v>645</v>
      </c>
      <c r="S57" s="673">
        <v>457</v>
      </c>
      <c r="T57" s="673">
        <v>669</v>
      </c>
      <c r="U57" s="673">
        <v>548</v>
      </c>
      <c r="V57" s="665">
        <v>579</v>
      </c>
      <c r="W57" s="665">
        <v>488</v>
      </c>
      <c r="X57" s="665">
        <v>520</v>
      </c>
      <c r="Y57" s="665">
        <v>604</v>
      </c>
      <c r="Z57" s="665">
        <v>521</v>
      </c>
      <c r="AA57" s="665">
        <v>636</v>
      </c>
      <c r="AB57" s="665">
        <v>640</v>
      </c>
      <c r="AC57" s="665">
        <v>477</v>
      </c>
      <c r="AD57" s="665">
        <v>719</v>
      </c>
      <c r="AE57" s="665">
        <v>548</v>
      </c>
      <c r="AF57" s="665">
        <v>638</v>
      </c>
      <c r="AG57" s="665">
        <v>605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0.12635101584969835</v>
      </c>
      <c r="F58" s="680">
        <f t="shared" si="25"/>
        <v>530.97666666666669</v>
      </c>
      <c r="G58" s="680">
        <f t="shared" si="26"/>
        <v>531.66666666666663</v>
      </c>
      <c r="H58" s="679">
        <f t="shared" si="27"/>
        <v>640.5</v>
      </c>
      <c r="I58" s="679">
        <f t="shared" si="28"/>
        <v>507.83333333333331</v>
      </c>
      <c r="J58" s="679">
        <f t="shared" si="29"/>
        <v>493.4</v>
      </c>
      <c r="K58" s="673">
        <v>519</v>
      </c>
      <c r="L58" s="673">
        <v>498</v>
      </c>
      <c r="M58" s="673">
        <v>560</v>
      </c>
      <c r="N58" s="673">
        <v>485</v>
      </c>
      <c r="O58" s="673">
        <v>621</v>
      </c>
      <c r="P58" s="673">
        <v>507</v>
      </c>
      <c r="Q58" s="673">
        <v>564</v>
      </c>
      <c r="R58" s="673">
        <v>670</v>
      </c>
      <c r="S58" s="673">
        <v>576</v>
      </c>
      <c r="T58" s="673">
        <v>760</v>
      </c>
      <c r="U58" s="673">
        <v>654</v>
      </c>
      <c r="V58" s="665">
        <v>619</v>
      </c>
      <c r="W58" s="665">
        <v>602</v>
      </c>
      <c r="X58" s="665">
        <v>635</v>
      </c>
      <c r="Y58" s="665">
        <v>462</v>
      </c>
      <c r="Z58" s="665">
        <v>353</v>
      </c>
      <c r="AA58" s="665">
        <v>507</v>
      </c>
      <c r="AB58" s="665">
        <v>488</v>
      </c>
      <c r="AC58" s="665">
        <v>431</v>
      </c>
      <c r="AD58" s="665">
        <v>598</v>
      </c>
      <c r="AE58" s="665">
        <v>450</v>
      </c>
      <c r="AF58" s="665">
        <v>472</v>
      </c>
      <c r="AG58" s="665">
        <v>516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0.12089301493276056</v>
      </c>
      <c r="F59" s="680">
        <f t="shared" si="25"/>
        <v>508.04000000000008</v>
      </c>
      <c r="G59" s="680">
        <f t="shared" si="26"/>
        <v>439</v>
      </c>
      <c r="H59" s="679">
        <f t="shared" si="27"/>
        <v>616</v>
      </c>
      <c r="I59" s="679">
        <f t="shared" si="28"/>
        <v>505</v>
      </c>
      <c r="J59" s="679">
        <f t="shared" si="29"/>
        <v>473.6</v>
      </c>
      <c r="K59" s="673">
        <v>505</v>
      </c>
      <c r="L59" s="673">
        <v>395</v>
      </c>
      <c r="M59" s="673">
        <v>402</v>
      </c>
      <c r="N59" s="673">
        <v>382</v>
      </c>
      <c r="O59" s="673">
        <v>476</v>
      </c>
      <c r="P59" s="673">
        <v>474</v>
      </c>
      <c r="Q59" s="673">
        <v>557</v>
      </c>
      <c r="R59" s="673">
        <v>670</v>
      </c>
      <c r="S59" s="673">
        <v>516</v>
      </c>
      <c r="T59" s="673">
        <v>663</v>
      </c>
      <c r="U59" s="673">
        <v>681</v>
      </c>
      <c r="V59" s="665">
        <v>609</v>
      </c>
      <c r="W59" s="665">
        <v>490</v>
      </c>
      <c r="X59" s="665">
        <v>541</v>
      </c>
      <c r="Y59" s="665">
        <v>484</v>
      </c>
      <c r="Z59" s="665">
        <v>472</v>
      </c>
      <c r="AA59" s="665">
        <v>538</v>
      </c>
      <c r="AB59" s="665">
        <v>505</v>
      </c>
      <c r="AC59" s="665">
        <v>362</v>
      </c>
      <c r="AD59" s="665">
        <v>558</v>
      </c>
      <c r="AE59" s="665">
        <v>442</v>
      </c>
      <c r="AF59" s="665">
        <v>543</v>
      </c>
      <c r="AG59" s="665">
        <v>463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9.7569004329279035E-2</v>
      </c>
      <c r="F60" s="680">
        <f t="shared" si="25"/>
        <v>410.02333333333337</v>
      </c>
      <c r="G60" s="680">
        <f t="shared" si="26"/>
        <v>413.33333333333331</v>
      </c>
      <c r="H60" s="679">
        <f t="shared" si="27"/>
        <v>469</v>
      </c>
      <c r="I60" s="679">
        <f t="shared" si="28"/>
        <v>379.5</v>
      </c>
      <c r="J60" s="679">
        <f t="shared" si="29"/>
        <v>402.6</v>
      </c>
      <c r="K60" s="673">
        <v>394</v>
      </c>
      <c r="L60" s="673">
        <v>288</v>
      </c>
      <c r="M60" s="673">
        <v>411</v>
      </c>
      <c r="N60" s="673">
        <v>423</v>
      </c>
      <c r="O60" s="673">
        <v>495</v>
      </c>
      <c r="P60" s="673">
        <v>469</v>
      </c>
      <c r="Q60" s="673">
        <v>525</v>
      </c>
      <c r="R60" s="673">
        <v>613</v>
      </c>
      <c r="S60" s="673">
        <v>381</v>
      </c>
      <c r="T60" s="673">
        <v>462</v>
      </c>
      <c r="U60" s="673">
        <v>403</v>
      </c>
      <c r="V60" s="665">
        <v>430</v>
      </c>
      <c r="W60" s="665">
        <v>466</v>
      </c>
      <c r="X60" s="665">
        <v>470</v>
      </c>
      <c r="Y60" s="665">
        <v>354</v>
      </c>
      <c r="Z60" s="665">
        <v>286</v>
      </c>
      <c r="AA60" s="665">
        <v>319</v>
      </c>
      <c r="AB60" s="665">
        <v>382</v>
      </c>
      <c r="AC60" s="665">
        <v>326</v>
      </c>
      <c r="AD60" s="665">
        <v>365</v>
      </c>
      <c r="AE60" s="665">
        <v>375</v>
      </c>
      <c r="AF60" s="665">
        <v>469</v>
      </c>
      <c r="AG60" s="665">
        <v>478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0.14548773000782095</v>
      </c>
      <c r="F61" s="680">
        <f t="shared" si="25"/>
        <v>611.39666666666676</v>
      </c>
      <c r="G61" s="680">
        <f t="shared" si="26"/>
        <v>638.33333333333337</v>
      </c>
      <c r="H61" s="679">
        <f t="shared" si="27"/>
        <v>741.66666666666663</v>
      </c>
      <c r="I61" s="679">
        <f t="shared" si="28"/>
        <v>606.5</v>
      </c>
      <c r="J61" s="679">
        <f t="shared" si="29"/>
        <v>543.20000000000005</v>
      </c>
      <c r="K61" s="673">
        <v>895</v>
      </c>
      <c r="L61" s="673">
        <v>577</v>
      </c>
      <c r="M61" s="673">
        <v>692</v>
      </c>
      <c r="N61" s="673">
        <v>501</v>
      </c>
      <c r="O61" s="673">
        <v>602</v>
      </c>
      <c r="P61" s="673">
        <v>563</v>
      </c>
      <c r="Q61" s="673">
        <v>704</v>
      </c>
      <c r="R61" s="673">
        <v>931</v>
      </c>
      <c r="S61" s="673">
        <v>622</v>
      </c>
      <c r="T61" s="673">
        <v>839</v>
      </c>
      <c r="U61" s="673">
        <v>669</v>
      </c>
      <c r="V61" s="665">
        <v>685</v>
      </c>
      <c r="W61" s="665">
        <v>718</v>
      </c>
      <c r="X61" s="665">
        <v>691</v>
      </c>
      <c r="Y61" s="665">
        <v>702</v>
      </c>
      <c r="Z61" s="665">
        <v>494</v>
      </c>
      <c r="AA61" s="665">
        <v>558</v>
      </c>
      <c r="AB61" s="665">
        <v>476</v>
      </c>
      <c r="AC61" s="665">
        <v>517</v>
      </c>
      <c r="AD61" s="665">
        <v>639</v>
      </c>
      <c r="AE61" s="665">
        <v>435</v>
      </c>
      <c r="AF61" s="665">
        <v>551</v>
      </c>
      <c r="AG61" s="665">
        <v>574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0.14718676182937024</v>
      </c>
      <c r="F62" s="680">
        <f t="shared" si="25"/>
        <v>618.53666666666663</v>
      </c>
      <c r="G62" s="680">
        <f t="shared" si="26"/>
        <v>727.33333333333337</v>
      </c>
      <c r="H62" s="679">
        <f t="shared" si="27"/>
        <v>831.66666666666663</v>
      </c>
      <c r="I62" s="679">
        <f t="shared" si="28"/>
        <v>585.16666666666663</v>
      </c>
      <c r="J62" s="679">
        <f t="shared" si="29"/>
        <v>509.8</v>
      </c>
      <c r="K62" s="673">
        <v>813</v>
      </c>
      <c r="L62" s="673">
        <v>622</v>
      </c>
      <c r="M62" s="673">
        <v>744</v>
      </c>
      <c r="N62" s="673">
        <v>654</v>
      </c>
      <c r="O62" s="673">
        <v>843</v>
      </c>
      <c r="P62" s="673">
        <v>688</v>
      </c>
      <c r="Q62" s="673">
        <v>882</v>
      </c>
      <c r="R62" s="673">
        <v>933</v>
      </c>
      <c r="S62" s="673">
        <v>683</v>
      </c>
      <c r="T62" s="673">
        <v>918</v>
      </c>
      <c r="U62" s="673">
        <v>800</v>
      </c>
      <c r="V62" s="665">
        <v>774</v>
      </c>
      <c r="W62" s="665">
        <v>756</v>
      </c>
      <c r="X62" s="665">
        <v>636</v>
      </c>
      <c r="Y62" s="665">
        <v>535</v>
      </c>
      <c r="Z62" s="665">
        <v>475</v>
      </c>
      <c r="AA62" s="665">
        <v>573</v>
      </c>
      <c r="AB62" s="665">
        <v>536</v>
      </c>
      <c r="AC62" s="665">
        <v>442</v>
      </c>
      <c r="AD62" s="665">
        <v>592</v>
      </c>
      <c r="AE62" s="665">
        <v>456</v>
      </c>
      <c r="AF62" s="665">
        <v>507</v>
      </c>
      <c r="AG62" s="665">
        <v>552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8.9410161511138897E-2</v>
      </c>
      <c r="F63" s="680">
        <f t="shared" si="25"/>
        <v>375.73666666666668</v>
      </c>
      <c r="G63" s="680">
        <f t="shared" si="26"/>
        <v>491</v>
      </c>
      <c r="H63" s="679">
        <f t="shared" si="27"/>
        <v>445.83333333333331</v>
      </c>
      <c r="I63" s="679">
        <f t="shared" si="28"/>
        <v>350.5</v>
      </c>
      <c r="J63" s="679">
        <f t="shared" si="29"/>
        <v>330.8</v>
      </c>
      <c r="K63" s="673">
        <v>606</v>
      </c>
      <c r="L63" s="673">
        <v>434</v>
      </c>
      <c r="M63" s="673">
        <v>536</v>
      </c>
      <c r="N63" s="673">
        <v>505</v>
      </c>
      <c r="O63" s="673">
        <v>485</v>
      </c>
      <c r="P63" s="673">
        <v>380</v>
      </c>
      <c r="Q63" s="673">
        <v>477</v>
      </c>
      <c r="R63" s="673">
        <v>559</v>
      </c>
      <c r="S63" s="673">
        <v>342</v>
      </c>
      <c r="T63" s="673">
        <v>433</v>
      </c>
      <c r="U63" s="673">
        <v>495</v>
      </c>
      <c r="V63" s="665">
        <v>369</v>
      </c>
      <c r="W63" s="665">
        <v>458</v>
      </c>
      <c r="X63" s="665">
        <v>420</v>
      </c>
      <c r="Y63" s="665">
        <v>348</v>
      </c>
      <c r="Z63" s="665">
        <v>263</v>
      </c>
      <c r="AA63" s="665">
        <v>298</v>
      </c>
      <c r="AB63" s="665">
        <v>316</v>
      </c>
      <c r="AC63" s="665">
        <v>257</v>
      </c>
      <c r="AD63" s="665">
        <v>410</v>
      </c>
      <c r="AE63" s="665">
        <v>323</v>
      </c>
      <c r="AF63" s="665">
        <v>321</v>
      </c>
      <c r="AG63" s="665">
        <v>343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8.7943536936888347E-2</v>
      </c>
      <c r="F64" s="680">
        <f t="shared" si="25"/>
        <v>369.57333333333338</v>
      </c>
      <c r="G64" s="680">
        <f t="shared" si="26"/>
        <v>337.5</v>
      </c>
      <c r="H64" s="679">
        <f t="shared" si="27"/>
        <v>456.66666666666669</v>
      </c>
      <c r="I64" s="679">
        <f t="shared" si="28"/>
        <v>368.83333333333331</v>
      </c>
      <c r="J64" s="679">
        <f t="shared" si="29"/>
        <v>334.6</v>
      </c>
      <c r="K64" s="673">
        <v>357</v>
      </c>
      <c r="L64" s="673">
        <v>303</v>
      </c>
      <c r="M64" s="673">
        <v>303</v>
      </c>
      <c r="N64" s="673">
        <v>351</v>
      </c>
      <c r="O64" s="673">
        <v>393</v>
      </c>
      <c r="P64" s="673">
        <v>318</v>
      </c>
      <c r="Q64" s="673">
        <v>344</v>
      </c>
      <c r="R64" s="673">
        <v>457</v>
      </c>
      <c r="S64" s="673">
        <v>335</v>
      </c>
      <c r="T64" s="673">
        <v>561</v>
      </c>
      <c r="U64" s="673">
        <v>554</v>
      </c>
      <c r="V64" s="665">
        <v>489</v>
      </c>
      <c r="W64" s="665">
        <v>421</v>
      </c>
      <c r="X64" s="665">
        <v>359</v>
      </c>
      <c r="Y64" s="665">
        <v>297</v>
      </c>
      <c r="Z64" s="665">
        <v>337</v>
      </c>
      <c r="AA64" s="665">
        <v>399</v>
      </c>
      <c r="AB64" s="665">
        <v>400</v>
      </c>
      <c r="AC64" s="665">
        <v>335</v>
      </c>
      <c r="AD64" s="665">
        <v>379</v>
      </c>
      <c r="AE64" s="665">
        <v>316</v>
      </c>
      <c r="AF64" s="665">
        <v>290</v>
      </c>
      <c r="AG64" s="665">
        <v>353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9.3519724474466145E-2</v>
      </c>
      <c r="F65" s="680">
        <f t="shared" si="25"/>
        <v>393.00666666666672</v>
      </c>
      <c r="G65" s="680">
        <f t="shared" si="26"/>
        <v>491.83333333333331</v>
      </c>
      <c r="H65" s="679">
        <f t="shared" si="27"/>
        <v>460.16666666666669</v>
      </c>
      <c r="I65" s="679">
        <f t="shared" si="28"/>
        <v>382.5</v>
      </c>
      <c r="J65" s="679">
        <f t="shared" si="29"/>
        <v>342.6</v>
      </c>
      <c r="K65" s="673">
        <v>584</v>
      </c>
      <c r="L65" s="673">
        <v>507</v>
      </c>
      <c r="M65" s="673">
        <v>442</v>
      </c>
      <c r="N65" s="673">
        <v>489</v>
      </c>
      <c r="O65" s="673">
        <v>537</v>
      </c>
      <c r="P65" s="673">
        <v>392</v>
      </c>
      <c r="Q65" s="673">
        <v>533</v>
      </c>
      <c r="R65" s="673">
        <v>524</v>
      </c>
      <c r="S65" s="673">
        <v>401</v>
      </c>
      <c r="T65" s="673">
        <v>457</v>
      </c>
      <c r="U65" s="673">
        <v>435</v>
      </c>
      <c r="V65" s="665">
        <v>411</v>
      </c>
      <c r="W65" s="665">
        <v>480</v>
      </c>
      <c r="X65" s="665">
        <v>441</v>
      </c>
      <c r="Y65" s="665">
        <v>388</v>
      </c>
      <c r="Z65" s="665">
        <v>258</v>
      </c>
      <c r="AA65" s="665">
        <v>372</v>
      </c>
      <c r="AB65" s="665">
        <v>356</v>
      </c>
      <c r="AC65" s="665">
        <v>314</v>
      </c>
      <c r="AD65" s="665">
        <v>393</v>
      </c>
      <c r="AE65" s="665">
        <v>265</v>
      </c>
      <c r="AF65" s="665">
        <v>354</v>
      </c>
      <c r="AG65" s="665">
        <v>387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9.1639050128577523E-2</v>
      </c>
      <c r="F66" s="680">
        <f t="shared" si="25"/>
        <v>385.10333333333335</v>
      </c>
      <c r="G66" s="680">
        <f t="shared" si="26"/>
        <v>482.66666666666669</v>
      </c>
      <c r="H66" s="679">
        <f t="shared" si="27"/>
        <v>428.33333333333331</v>
      </c>
      <c r="I66" s="679">
        <f t="shared" si="28"/>
        <v>325.5</v>
      </c>
      <c r="J66" s="679">
        <f t="shared" si="29"/>
        <v>383.8</v>
      </c>
      <c r="K66" s="673">
        <v>562</v>
      </c>
      <c r="L66" s="673">
        <v>437</v>
      </c>
      <c r="M66" s="673">
        <v>575</v>
      </c>
      <c r="N66" s="673">
        <v>456</v>
      </c>
      <c r="O66" s="673">
        <v>453</v>
      </c>
      <c r="P66" s="673">
        <v>413</v>
      </c>
      <c r="Q66" s="673">
        <v>488</v>
      </c>
      <c r="R66" s="673">
        <v>501</v>
      </c>
      <c r="S66" s="673">
        <v>333</v>
      </c>
      <c r="T66" s="673">
        <v>454</v>
      </c>
      <c r="U66" s="673">
        <v>452</v>
      </c>
      <c r="V66" s="665">
        <v>342</v>
      </c>
      <c r="W66" s="665">
        <v>350</v>
      </c>
      <c r="X66" s="665">
        <v>366</v>
      </c>
      <c r="Y66" s="665">
        <v>359</v>
      </c>
      <c r="Z66" s="665">
        <v>261</v>
      </c>
      <c r="AA66" s="665">
        <v>301</v>
      </c>
      <c r="AB66" s="665">
        <v>316</v>
      </c>
      <c r="AC66" s="665">
        <v>308</v>
      </c>
      <c r="AD66" s="665">
        <v>430</v>
      </c>
      <c r="AE66" s="665">
        <v>383</v>
      </c>
      <c r="AF66" s="665">
        <v>377</v>
      </c>
      <c r="AG66" s="665">
        <v>421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0.17628922288958243</v>
      </c>
      <c r="F67" s="680">
        <f t="shared" si="25"/>
        <v>590.64</v>
      </c>
      <c r="G67" s="680">
        <f t="shared" si="26"/>
        <v>632.83333333333337</v>
      </c>
      <c r="H67" s="679">
        <f t="shared" si="27"/>
        <v>647.83333333333337</v>
      </c>
      <c r="I67" s="679">
        <f t="shared" si="28"/>
        <v>605.16666666666663</v>
      </c>
      <c r="J67" s="679">
        <f t="shared" si="29"/>
        <v>540.6</v>
      </c>
      <c r="K67" s="673">
        <v>721</v>
      </c>
      <c r="L67" s="673">
        <v>659</v>
      </c>
      <c r="M67" s="673">
        <v>764</v>
      </c>
      <c r="N67" s="673">
        <v>571</v>
      </c>
      <c r="O67" s="673">
        <v>570</v>
      </c>
      <c r="P67" s="673">
        <v>512</v>
      </c>
      <c r="Q67" s="673">
        <v>813</v>
      </c>
      <c r="R67" s="673">
        <v>715</v>
      </c>
      <c r="S67" s="673">
        <v>504</v>
      </c>
      <c r="T67" s="673">
        <v>611</v>
      </c>
      <c r="U67" s="673">
        <v>641</v>
      </c>
      <c r="V67" s="665">
        <v>603</v>
      </c>
      <c r="W67" s="665">
        <v>621</v>
      </c>
      <c r="X67" s="665">
        <v>606</v>
      </c>
      <c r="Y67" s="665">
        <v>608</v>
      </c>
      <c r="Z67" s="665">
        <v>570</v>
      </c>
      <c r="AA67" s="665">
        <v>673</v>
      </c>
      <c r="AB67" s="665">
        <v>553</v>
      </c>
      <c r="AC67" s="665">
        <v>408</v>
      </c>
      <c r="AD67" s="665">
        <v>760</v>
      </c>
      <c r="AE67" s="665">
        <v>469</v>
      </c>
      <c r="AF67" s="665">
        <v>542</v>
      </c>
      <c r="AG67" s="665">
        <v>524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0.19027559865926588</v>
      </c>
      <c r="F68" s="680">
        <f t="shared" si="25"/>
        <v>637.5</v>
      </c>
      <c r="G68" s="680">
        <f t="shared" si="26"/>
        <v>829.83333333333337</v>
      </c>
      <c r="H68" s="679">
        <f t="shared" si="27"/>
        <v>787.83333333333337</v>
      </c>
      <c r="I68" s="679">
        <f t="shared" si="28"/>
        <v>560.5</v>
      </c>
      <c r="J68" s="679">
        <f t="shared" si="29"/>
        <v>572</v>
      </c>
      <c r="K68" s="673">
        <v>1037</v>
      </c>
      <c r="L68" s="673">
        <v>821</v>
      </c>
      <c r="M68" s="673">
        <v>940</v>
      </c>
      <c r="N68" s="673">
        <v>782</v>
      </c>
      <c r="O68" s="673">
        <v>752</v>
      </c>
      <c r="P68" s="673">
        <v>647</v>
      </c>
      <c r="Q68" s="673">
        <v>854</v>
      </c>
      <c r="R68" s="673">
        <v>998</v>
      </c>
      <c r="S68" s="673">
        <v>686</v>
      </c>
      <c r="T68" s="673">
        <v>714</v>
      </c>
      <c r="U68" s="673">
        <v>664</v>
      </c>
      <c r="V68" s="665">
        <v>811</v>
      </c>
      <c r="W68" s="665">
        <v>807</v>
      </c>
      <c r="X68" s="665">
        <v>587</v>
      </c>
      <c r="Y68" s="665">
        <v>462</v>
      </c>
      <c r="Z68" s="665">
        <v>513</v>
      </c>
      <c r="AA68" s="665">
        <v>539</v>
      </c>
      <c r="AB68" s="665">
        <v>455</v>
      </c>
      <c r="AC68" s="665">
        <v>378</v>
      </c>
      <c r="AD68" s="665">
        <v>700</v>
      </c>
      <c r="AE68" s="665">
        <v>386</v>
      </c>
      <c r="AF68" s="665">
        <v>703</v>
      </c>
      <c r="AG68" s="665">
        <v>693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0.14201175778836578</v>
      </c>
      <c r="F69" s="680">
        <f t="shared" si="25"/>
        <v>475.79666666666674</v>
      </c>
      <c r="G69" s="680">
        <f t="shared" si="26"/>
        <v>466.5</v>
      </c>
      <c r="H69" s="679">
        <f t="shared" si="27"/>
        <v>496.33333333333331</v>
      </c>
      <c r="I69" s="679">
        <f t="shared" si="28"/>
        <v>506</v>
      </c>
      <c r="J69" s="679">
        <f t="shared" si="29"/>
        <v>445.2</v>
      </c>
      <c r="K69" s="673">
        <v>635</v>
      </c>
      <c r="L69" s="673">
        <v>525</v>
      </c>
      <c r="M69" s="673">
        <v>538</v>
      </c>
      <c r="N69" s="673">
        <v>389</v>
      </c>
      <c r="O69" s="673">
        <v>354</v>
      </c>
      <c r="P69" s="673">
        <v>358</v>
      </c>
      <c r="Q69" s="673">
        <v>477</v>
      </c>
      <c r="R69" s="673">
        <v>606</v>
      </c>
      <c r="S69" s="673">
        <v>425</v>
      </c>
      <c r="T69" s="673">
        <v>467</v>
      </c>
      <c r="U69" s="673">
        <v>516</v>
      </c>
      <c r="V69" s="665">
        <v>487</v>
      </c>
      <c r="W69" s="665">
        <v>549</v>
      </c>
      <c r="X69" s="665">
        <v>404</v>
      </c>
      <c r="Y69" s="665">
        <v>520</v>
      </c>
      <c r="Z69" s="665">
        <v>405</v>
      </c>
      <c r="AA69" s="665">
        <v>592</v>
      </c>
      <c r="AB69" s="665">
        <v>566</v>
      </c>
      <c r="AC69" s="665">
        <v>330</v>
      </c>
      <c r="AD69" s="665">
        <v>497</v>
      </c>
      <c r="AE69" s="665">
        <v>468</v>
      </c>
      <c r="AF69" s="665">
        <v>490</v>
      </c>
      <c r="AG69" s="665">
        <v>441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0.14248234789642242</v>
      </c>
      <c r="F70" s="680">
        <f t="shared" si="25"/>
        <v>477.37333333333333</v>
      </c>
      <c r="G70" s="680">
        <f t="shared" si="26"/>
        <v>619.33333333333337</v>
      </c>
      <c r="H70" s="679">
        <f t="shared" si="27"/>
        <v>517</v>
      </c>
      <c r="I70" s="679">
        <f t="shared" si="28"/>
        <v>492.66666666666669</v>
      </c>
      <c r="J70" s="679">
        <f t="shared" si="29"/>
        <v>410.6</v>
      </c>
      <c r="K70" s="673">
        <v>804</v>
      </c>
      <c r="L70" s="673">
        <v>652</v>
      </c>
      <c r="M70" s="673">
        <v>712</v>
      </c>
      <c r="N70" s="673">
        <v>556</v>
      </c>
      <c r="O70" s="673">
        <v>534</v>
      </c>
      <c r="P70" s="673">
        <v>458</v>
      </c>
      <c r="Q70" s="673">
        <v>504</v>
      </c>
      <c r="R70" s="673">
        <v>668</v>
      </c>
      <c r="S70" s="673">
        <v>469</v>
      </c>
      <c r="T70" s="673">
        <v>538</v>
      </c>
      <c r="U70" s="673">
        <v>433</v>
      </c>
      <c r="V70" s="665">
        <v>490</v>
      </c>
      <c r="W70" s="665">
        <v>520</v>
      </c>
      <c r="X70" s="665">
        <v>452</v>
      </c>
      <c r="Y70" s="665">
        <v>439</v>
      </c>
      <c r="Z70" s="665">
        <v>506</v>
      </c>
      <c r="AA70" s="665">
        <v>571</v>
      </c>
      <c r="AB70" s="665">
        <v>468</v>
      </c>
      <c r="AC70" s="665">
        <v>352</v>
      </c>
      <c r="AD70" s="665">
        <v>502</v>
      </c>
      <c r="AE70" s="665">
        <v>348</v>
      </c>
      <c r="AF70" s="665">
        <v>403</v>
      </c>
      <c r="AG70" s="665">
        <v>448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0.17349751920415549</v>
      </c>
      <c r="F71" s="680">
        <f t="shared" si="25"/>
        <v>581.28666666666663</v>
      </c>
      <c r="G71" s="680">
        <f t="shared" si="26"/>
        <v>546.66666666666663</v>
      </c>
      <c r="H71" s="679">
        <f t="shared" si="27"/>
        <v>703.5</v>
      </c>
      <c r="I71" s="679">
        <f t="shared" si="28"/>
        <v>604</v>
      </c>
      <c r="J71" s="679">
        <f t="shared" si="29"/>
        <v>511.8</v>
      </c>
      <c r="K71" s="673">
        <v>553</v>
      </c>
      <c r="L71" s="673">
        <v>515</v>
      </c>
      <c r="M71" s="673">
        <v>649</v>
      </c>
      <c r="N71" s="673">
        <v>532</v>
      </c>
      <c r="O71" s="673">
        <v>547</v>
      </c>
      <c r="P71" s="673">
        <v>484</v>
      </c>
      <c r="Q71" s="673">
        <v>654</v>
      </c>
      <c r="R71" s="673">
        <v>778</v>
      </c>
      <c r="S71" s="673">
        <v>665</v>
      </c>
      <c r="T71" s="673">
        <v>762</v>
      </c>
      <c r="U71" s="673">
        <v>784</v>
      </c>
      <c r="V71" s="665">
        <v>578</v>
      </c>
      <c r="W71" s="665">
        <v>593</v>
      </c>
      <c r="X71" s="665">
        <v>568</v>
      </c>
      <c r="Y71" s="665">
        <v>613</v>
      </c>
      <c r="Z71" s="665">
        <v>595</v>
      </c>
      <c r="AA71" s="665">
        <v>694</v>
      </c>
      <c r="AB71" s="665">
        <v>561</v>
      </c>
      <c r="AC71" s="665">
        <v>378</v>
      </c>
      <c r="AD71" s="665">
        <v>629</v>
      </c>
      <c r="AE71" s="665">
        <v>482</v>
      </c>
      <c r="AF71" s="665">
        <v>487</v>
      </c>
      <c r="AG71" s="665">
        <v>583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0.17544355356220795</v>
      </c>
      <c r="F72" s="680">
        <f t="shared" si="25"/>
        <v>587.80666666666673</v>
      </c>
      <c r="G72" s="680">
        <f t="shared" si="26"/>
        <v>622.83333333333337</v>
      </c>
      <c r="H72" s="679">
        <f t="shared" si="27"/>
        <v>684.16666666666663</v>
      </c>
      <c r="I72" s="679">
        <f t="shared" si="28"/>
        <v>589.5</v>
      </c>
      <c r="J72" s="679">
        <f t="shared" si="29"/>
        <v>529.6</v>
      </c>
      <c r="K72" s="673">
        <v>739</v>
      </c>
      <c r="L72" s="673">
        <v>606</v>
      </c>
      <c r="M72" s="673">
        <v>752</v>
      </c>
      <c r="N72" s="673">
        <v>560</v>
      </c>
      <c r="O72" s="673">
        <v>594</v>
      </c>
      <c r="P72" s="673">
        <v>486</v>
      </c>
      <c r="Q72" s="673">
        <v>635</v>
      </c>
      <c r="R72" s="673">
        <v>845</v>
      </c>
      <c r="S72" s="673">
        <v>666</v>
      </c>
      <c r="T72" s="673">
        <v>640</v>
      </c>
      <c r="U72" s="673">
        <v>674</v>
      </c>
      <c r="V72" s="665">
        <v>645</v>
      </c>
      <c r="W72" s="665">
        <v>626</v>
      </c>
      <c r="X72" s="665">
        <v>610</v>
      </c>
      <c r="Y72" s="665">
        <v>600</v>
      </c>
      <c r="Z72" s="665">
        <v>538</v>
      </c>
      <c r="AA72" s="665">
        <v>654</v>
      </c>
      <c r="AB72" s="665">
        <v>509</v>
      </c>
      <c r="AC72" s="665">
        <v>450</v>
      </c>
      <c r="AD72" s="665">
        <v>693</v>
      </c>
      <c r="AE72" s="665">
        <v>436</v>
      </c>
      <c r="AF72" s="665">
        <v>500</v>
      </c>
      <c r="AG72" s="665">
        <v>569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6.6537633930594184E-2</v>
      </c>
      <c r="F73" s="680">
        <f t="shared" si="25"/>
        <v>259.43666666666667</v>
      </c>
      <c r="G73" s="680">
        <f t="shared" si="26"/>
        <v>300.16666666666669</v>
      </c>
      <c r="H73" s="679">
        <f t="shared" si="27"/>
        <v>341</v>
      </c>
      <c r="I73" s="679">
        <f t="shared" si="28"/>
        <v>248.33333333333334</v>
      </c>
      <c r="J73" s="679">
        <f t="shared" si="29"/>
        <v>216.8</v>
      </c>
      <c r="K73" s="673">
        <v>290</v>
      </c>
      <c r="L73" s="673">
        <v>260</v>
      </c>
      <c r="M73" s="673">
        <v>281</v>
      </c>
      <c r="N73" s="673">
        <v>256</v>
      </c>
      <c r="O73" s="673">
        <v>369</v>
      </c>
      <c r="P73" s="673">
        <v>345</v>
      </c>
      <c r="Q73" s="673">
        <v>422</v>
      </c>
      <c r="R73" s="673">
        <v>385</v>
      </c>
      <c r="S73" s="673">
        <v>286</v>
      </c>
      <c r="T73" s="673">
        <v>340</v>
      </c>
      <c r="U73" s="673">
        <v>343</v>
      </c>
      <c r="V73" s="665">
        <v>270</v>
      </c>
      <c r="W73" s="665">
        <v>277</v>
      </c>
      <c r="X73" s="665">
        <v>251</v>
      </c>
      <c r="Y73" s="665">
        <v>266</v>
      </c>
      <c r="Z73" s="665">
        <v>247</v>
      </c>
      <c r="AA73" s="665">
        <v>250</v>
      </c>
      <c r="AB73" s="665">
        <v>199</v>
      </c>
      <c r="AC73" s="665">
        <v>188</v>
      </c>
      <c r="AD73" s="665">
        <v>245</v>
      </c>
      <c r="AE73" s="665">
        <v>220</v>
      </c>
      <c r="AF73" s="665">
        <v>205</v>
      </c>
      <c r="AG73" s="665">
        <v>226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0.15668928444109706</v>
      </c>
      <c r="F74" s="680">
        <f t="shared" si="25"/>
        <v>610.94666666666672</v>
      </c>
      <c r="G74" s="680">
        <f t="shared" si="26"/>
        <v>714.66666666666663</v>
      </c>
      <c r="H74" s="679">
        <f t="shared" si="27"/>
        <v>738</v>
      </c>
      <c r="I74" s="679">
        <f t="shared" si="28"/>
        <v>590</v>
      </c>
      <c r="J74" s="679">
        <f t="shared" si="29"/>
        <v>537.20000000000005</v>
      </c>
      <c r="K74" s="673">
        <v>695</v>
      </c>
      <c r="L74" s="673">
        <v>687</v>
      </c>
      <c r="M74" s="673">
        <v>847</v>
      </c>
      <c r="N74" s="673">
        <v>702</v>
      </c>
      <c r="O74" s="673">
        <v>738</v>
      </c>
      <c r="P74" s="673">
        <v>619</v>
      </c>
      <c r="Q74" s="673">
        <v>772</v>
      </c>
      <c r="R74" s="673">
        <v>815</v>
      </c>
      <c r="S74" s="673">
        <v>645</v>
      </c>
      <c r="T74" s="673">
        <v>789</v>
      </c>
      <c r="U74" s="673">
        <v>729</v>
      </c>
      <c r="V74" s="665">
        <v>678</v>
      </c>
      <c r="W74" s="665">
        <v>645</v>
      </c>
      <c r="X74" s="665">
        <v>643</v>
      </c>
      <c r="Y74" s="665">
        <v>603</v>
      </c>
      <c r="Z74" s="665">
        <v>534</v>
      </c>
      <c r="AA74" s="665">
        <v>645</v>
      </c>
      <c r="AB74" s="665">
        <v>470</v>
      </c>
      <c r="AC74" s="665">
        <v>414</v>
      </c>
      <c r="AD74" s="665">
        <v>684</v>
      </c>
      <c r="AE74" s="665">
        <v>407</v>
      </c>
      <c r="AF74" s="665">
        <v>567</v>
      </c>
      <c r="AG74" s="665">
        <v>614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0.13006174934536119</v>
      </c>
      <c r="F75" s="680">
        <f t="shared" si="25"/>
        <v>507.12333333333333</v>
      </c>
      <c r="G75" s="680">
        <f t="shared" si="26"/>
        <v>640.66666666666663</v>
      </c>
      <c r="H75" s="679">
        <f t="shared" si="27"/>
        <v>611.83333333333337</v>
      </c>
      <c r="I75" s="679">
        <f t="shared" si="28"/>
        <v>421.5</v>
      </c>
      <c r="J75" s="679">
        <f t="shared" si="29"/>
        <v>485.6</v>
      </c>
      <c r="K75" s="673">
        <v>608</v>
      </c>
      <c r="L75" s="673">
        <v>654</v>
      </c>
      <c r="M75" s="673">
        <v>659</v>
      </c>
      <c r="N75" s="673">
        <v>599</v>
      </c>
      <c r="O75" s="673">
        <v>674</v>
      </c>
      <c r="P75" s="673">
        <v>650</v>
      </c>
      <c r="Q75" s="673">
        <v>722</v>
      </c>
      <c r="R75" s="673">
        <v>775</v>
      </c>
      <c r="S75" s="673">
        <v>611</v>
      </c>
      <c r="T75" s="673">
        <v>529</v>
      </c>
      <c r="U75" s="673">
        <v>522</v>
      </c>
      <c r="V75" s="665">
        <v>512</v>
      </c>
      <c r="W75" s="665">
        <v>446</v>
      </c>
      <c r="X75" s="665">
        <v>479</v>
      </c>
      <c r="Y75" s="665">
        <v>415</v>
      </c>
      <c r="Z75" s="665">
        <v>391</v>
      </c>
      <c r="AA75" s="665">
        <v>422</v>
      </c>
      <c r="AB75" s="665">
        <v>376</v>
      </c>
      <c r="AC75" s="665">
        <v>439</v>
      </c>
      <c r="AD75" s="665">
        <v>531</v>
      </c>
      <c r="AE75" s="665">
        <v>344</v>
      </c>
      <c r="AF75" s="665">
        <v>524</v>
      </c>
      <c r="AG75" s="665">
        <v>590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0.14732643201972423</v>
      </c>
      <c r="F76" s="680">
        <f t="shared" si="25"/>
        <v>574.44000000000005</v>
      </c>
      <c r="G76" s="680">
        <f t="shared" si="26"/>
        <v>630</v>
      </c>
      <c r="H76" s="679">
        <f t="shared" si="27"/>
        <v>644</v>
      </c>
      <c r="I76" s="679">
        <f t="shared" si="28"/>
        <v>541.33333333333337</v>
      </c>
      <c r="J76" s="679">
        <f t="shared" si="29"/>
        <v>550.6</v>
      </c>
      <c r="K76" s="673">
        <v>647</v>
      </c>
      <c r="L76" s="673">
        <v>523</v>
      </c>
      <c r="M76" s="673">
        <v>703</v>
      </c>
      <c r="N76" s="673">
        <v>649</v>
      </c>
      <c r="O76" s="673">
        <v>694</v>
      </c>
      <c r="P76" s="673">
        <v>564</v>
      </c>
      <c r="Q76" s="673">
        <v>676</v>
      </c>
      <c r="R76" s="673">
        <v>817</v>
      </c>
      <c r="S76" s="673">
        <v>524</v>
      </c>
      <c r="T76" s="673">
        <v>677</v>
      </c>
      <c r="U76" s="673">
        <v>633</v>
      </c>
      <c r="V76" s="665">
        <v>537</v>
      </c>
      <c r="W76" s="665">
        <v>564</v>
      </c>
      <c r="X76" s="665">
        <v>616</v>
      </c>
      <c r="Y76" s="665">
        <v>546</v>
      </c>
      <c r="Z76" s="665">
        <v>422</v>
      </c>
      <c r="AA76" s="665">
        <v>543</v>
      </c>
      <c r="AB76" s="665">
        <v>557</v>
      </c>
      <c r="AC76" s="665">
        <v>557</v>
      </c>
      <c r="AD76" s="665">
        <v>644</v>
      </c>
      <c r="AE76" s="665">
        <v>395</v>
      </c>
      <c r="AF76" s="665">
        <v>516</v>
      </c>
      <c r="AG76" s="665">
        <v>641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0.20774726453734155</v>
      </c>
      <c r="F77" s="680">
        <f t="shared" si="25"/>
        <v>810.02666666666664</v>
      </c>
      <c r="G77" s="680">
        <f t="shared" si="26"/>
        <v>850.83333333333337</v>
      </c>
      <c r="H77" s="679">
        <f t="shared" si="27"/>
        <v>937.66666666666663</v>
      </c>
      <c r="I77" s="679">
        <f t="shared" si="28"/>
        <v>800.16666666666663</v>
      </c>
      <c r="J77" s="679">
        <f t="shared" si="29"/>
        <v>743.4</v>
      </c>
      <c r="K77" s="673">
        <v>1032</v>
      </c>
      <c r="L77" s="673">
        <v>768</v>
      </c>
      <c r="M77" s="673">
        <v>1009</v>
      </c>
      <c r="N77" s="673">
        <v>772</v>
      </c>
      <c r="O77" s="673">
        <v>807</v>
      </c>
      <c r="P77" s="673">
        <v>717</v>
      </c>
      <c r="Q77" s="673">
        <v>861</v>
      </c>
      <c r="R77" s="673">
        <v>1144</v>
      </c>
      <c r="S77" s="673">
        <v>772</v>
      </c>
      <c r="T77" s="673">
        <v>914</v>
      </c>
      <c r="U77" s="673">
        <v>951</v>
      </c>
      <c r="V77" s="665">
        <v>984</v>
      </c>
      <c r="W77" s="665">
        <v>860</v>
      </c>
      <c r="X77" s="665">
        <v>864</v>
      </c>
      <c r="Y77" s="665">
        <v>794</v>
      </c>
      <c r="Z77" s="665">
        <v>679</v>
      </c>
      <c r="AA77" s="665">
        <v>951</v>
      </c>
      <c r="AB77" s="665">
        <v>653</v>
      </c>
      <c r="AC77" s="665">
        <v>572</v>
      </c>
      <c r="AD77" s="665">
        <v>874</v>
      </c>
      <c r="AE77" s="665">
        <v>570</v>
      </c>
      <c r="AF77" s="665">
        <v>853</v>
      </c>
      <c r="AG77" s="665">
        <v>848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0.17793437625296113</v>
      </c>
      <c r="F78" s="680">
        <f t="shared" si="25"/>
        <v>693.7833333333333</v>
      </c>
      <c r="G78" s="680">
        <f t="shared" si="26"/>
        <v>880.66666666666663</v>
      </c>
      <c r="H78" s="679">
        <f t="shared" si="27"/>
        <v>866.83333333333337</v>
      </c>
      <c r="I78" s="679">
        <f t="shared" si="28"/>
        <v>661.16666666666663</v>
      </c>
      <c r="J78" s="679">
        <f t="shared" si="29"/>
        <v>585</v>
      </c>
      <c r="K78" s="673">
        <v>969</v>
      </c>
      <c r="L78" s="673">
        <v>828</v>
      </c>
      <c r="M78" s="673">
        <v>969</v>
      </c>
      <c r="N78" s="673">
        <v>880</v>
      </c>
      <c r="O78" s="673">
        <v>944</v>
      </c>
      <c r="P78" s="673">
        <v>694</v>
      </c>
      <c r="Q78" s="673">
        <v>868</v>
      </c>
      <c r="R78" s="673">
        <v>1038</v>
      </c>
      <c r="S78" s="673">
        <v>869</v>
      </c>
      <c r="T78" s="673">
        <v>835</v>
      </c>
      <c r="U78" s="673">
        <v>850</v>
      </c>
      <c r="V78" s="665">
        <v>741</v>
      </c>
      <c r="W78" s="665">
        <v>785</v>
      </c>
      <c r="X78" s="665">
        <v>735</v>
      </c>
      <c r="Y78" s="665">
        <v>680</v>
      </c>
      <c r="Z78" s="665">
        <v>553</v>
      </c>
      <c r="AA78" s="665">
        <v>727</v>
      </c>
      <c r="AB78" s="665">
        <v>487</v>
      </c>
      <c r="AC78" s="665">
        <v>459</v>
      </c>
      <c r="AD78" s="665">
        <v>682</v>
      </c>
      <c r="AE78" s="665">
        <v>479</v>
      </c>
      <c r="AF78" s="665">
        <v>659</v>
      </c>
      <c r="AG78" s="665">
        <v>646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0.11370325947292063</v>
      </c>
      <c r="F79" s="680">
        <f t="shared" si="25"/>
        <v>443.34</v>
      </c>
      <c r="G79" s="680">
        <f t="shared" si="26"/>
        <v>554</v>
      </c>
      <c r="H79" s="679">
        <f t="shared" si="27"/>
        <v>568</v>
      </c>
      <c r="I79" s="679">
        <f t="shared" si="28"/>
        <v>451</v>
      </c>
      <c r="J79" s="679">
        <f t="shared" si="29"/>
        <v>347.6</v>
      </c>
      <c r="K79" s="673">
        <v>553</v>
      </c>
      <c r="L79" s="673">
        <v>484</v>
      </c>
      <c r="M79" s="673">
        <v>559</v>
      </c>
      <c r="N79" s="673">
        <v>607</v>
      </c>
      <c r="O79" s="673">
        <v>597</v>
      </c>
      <c r="P79" s="673">
        <v>524</v>
      </c>
      <c r="Q79" s="673">
        <v>601</v>
      </c>
      <c r="R79" s="673">
        <v>745</v>
      </c>
      <c r="S79" s="673">
        <v>440</v>
      </c>
      <c r="T79" s="673">
        <v>568</v>
      </c>
      <c r="U79" s="673">
        <v>559</v>
      </c>
      <c r="V79" s="665">
        <v>495</v>
      </c>
      <c r="W79" s="665">
        <v>438</v>
      </c>
      <c r="X79" s="665">
        <v>492</v>
      </c>
      <c r="Y79" s="665">
        <v>472</v>
      </c>
      <c r="Z79" s="665">
        <v>417</v>
      </c>
      <c r="AA79" s="665">
        <v>503</v>
      </c>
      <c r="AB79" s="665">
        <v>384</v>
      </c>
      <c r="AC79" s="665">
        <v>319</v>
      </c>
      <c r="AD79" s="665">
        <v>349</v>
      </c>
      <c r="AE79" s="665">
        <v>342</v>
      </c>
      <c r="AF79" s="665">
        <v>364</v>
      </c>
      <c r="AG79" s="665">
        <v>364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0.10580737780450661</v>
      </c>
      <c r="F80" s="680">
        <f t="shared" si="25"/>
        <v>327.24</v>
      </c>
      <c r="G80" s="680">
        <f t="shared" si="26"/>
        <v>390.66666666666669</v>
      </c>
      <c r="H80" s="679">
        <f t="shared" si="27"/>
        <v>426.16666666666669</v>
      </c>
      <c r="I80" s="679">
        <f t="shared" si="28"/>
        <v>311.66666666666669</v>
      </c>
      <c r="J80" s="679">
        <f t="shared" si="29"/>
        <v>273.60000000000002</v>
      </c>
      <c r="K80" s="673">
        <v>429</v>
      </c>
      <c r="L80" s="673">
        <v>372</v>
      </c>
      <c r="M80" s="673">
        <v>442</v>
      </c>
      <c r="N80" s="673">
        <v>349</v>
      </c>
      <c r="O80" s="673">
        <v>386</v>
      </c>
      <c r="P80" s="673">
        <v>366</v>
      </c>
      <c r="Q80" s="673">
        <v>528</v>
      </c>
      <c r="R80" s="673">
        <v>485</v>
      </c>
      <c r="S80" s="673">
        <v>349</v>
      </c>
      <c r="T80" s="673">
        <v>450</v>
      </c>
      <c r="U80" s="673">
        <v>389</v>
      </c>
      <c r="V80" s="665">
        <v>356</v>
      </c>
      <c r="W80" s="665">
        <v>336</v>
      </c>
      <c r="X80" s="665">
        <v>292</v>
      </c>
      <c r="Y80" s="665">
        <v>290</v>
      </c>
      <c r="Z80" s="665">
        <v>299</v>
      </c>
      <c r="AA80" s="665">
        <v>315</v>
      </c>
      <c r="AB80" s="665">
        <v>338</v>
      </c>
      <c r="AC80" s="665">
        <v>286</v>
      </c>
      <c r="AD80" s="665">
        <v>323</v>
      </c>
      <c r="AE80" s="665">
        <v>248</v>
      </c>
      <c r="AF80" s="665">
        <v>253</v>
      </c>
      <c r="AG80" s="665">
        <v>258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0.13447189538679746</v>
      </c>
      <c r="F81" s="680">
        <f t="shared" si="25"/>
        <v>415.89333333333332</v>
      </c>
      <c r="G81" s="680">
        <f t="shared" si="26"/>
        <v>439.5</v>
      </c>
      <c r="H81" s="679">
        <f t="shared" si="27"/>
        <v>466.16666666666669</v>
      </c>
      <c r="I81" s="679">
        <f t="shared" si="28"/>
        <v>388.5</v>
      </c>
      <c r="J81" s="679">
        <f t="shared" si="29"/>
        <v>405.4</v>
      </c>
      <c r="K81" s="673">
        <v>509</v>
      </c>
      <c r="L81" s="673">
        <v>384</v>
      </c>
      <c r="M81" s="673">
        <v>514</v>
      </c>
      <c r="N81" s="673">
        <v>452</v>
      </c>
      <c r="O81" s="673">
        <v>430</v>
      </c>
      <c r="P81" s="673">
        <v>348</v>
      </c>
      <c r="Q81" s="673">
        <v>433</v>
      </c>
      <c r="R81" s="673">
        <v>588</v>
      </c>
      <c r="S81" s="673">
        <v>373</v>
      </c>
      <c r="T81" s="673">
        <v>548</v>
      </c>
      <c r="U81" s="673">
        <v>487</v>
      </c>
      <c r="V81" s="665">
        <v>368</v>
      </c>
      <c r="W81" s="665">
        <v>387</v>
      </c>
      <c r="X81" s="665">
        <v>415</v>
      </c>
      <c r="Y81" s="665">
        <v>423</v>
      </c>
      <c r="Z81" s="665">
        <v>342</v>
      </c>
      <c r="AA81" s="665">
        <v>396</v>
      </c>
      <c r="AB81" s="665">
        <v>368</v>
      </c>
      <c r="AC81" s="665">
        <v>288</v>
      </c>
      <c r="AD81" s="665">
        <v>466</v>
      </c>
      <c r="AE81" s="665">
        <v>354</v>
      </c>
      <c r="AF81" s="665">
        <v>400</v>
      </c>
      <c r="AG81" s="665">
        <v>519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0.13676109057948757</v>
      </c>
      <c r="F82" s="680">
        <f t="shared" si="25"/>
        <v>422.97333333333336</v>
      </c>
      <c r="G82" s="680">
        <f t="shared" si="26"/>
        <v>295.33333333333331</v>
      </c>
      <c r="H82" s="679">
        <f t="shared" si="27"/>
        <v>462.5</v>
      </c>
      <c r="I82" s="679">
        <f t="shared" si="28"/>
        <v>427.66666666666669</v>
      </c>
      <c r="J82" s="679">
        <f t="shared" si="29"/>
        <v>431.6</v>
      </c>
      <c r="K82" s="673">
        <v>260</v>
      </c>
      <c r="L82" s="673">
        <v>262</v>
      </c>
      <c r="M82" s="673">
        <v>312</v>
      </c>
      <c r="N82" s="673">
        <v>336</v>
      </c>
      <c r="O82" s="673">
        <v>301</v>
      </c>
      <c r="P82" s="673">
        <v>301</v>
      </c>
      <c r="Q82" s="673">
        <v>420</v>
      </c>
      <c r="R82" s="673">
        <v>562</v>
      </c>
      <c r="S82" s="673">
        <v>359</v>
      </c>
      <c r="T82" s="673">
        <v>503</v>
      </c>
      <c r="U82" s="673">
        <v>523</v>
      </c>
      <c r="V82" s="665">
        <v>408</v>
      </c>
      <c r="W82" s="665">
        <v>410</v>
      </c>
      <c r="X82" s="665">
        <v>496</v>
      </c>
      <c r="Y82" s="665">
        <v>459</v>
      </c>
      <c r="Z82" s="665">
        <v>330</v>
      </c>
      <c r="AA82" s="665">
        <v>422</v>
      </c>
      <c r="AB82" s="665">
        <v>449</v>
      </c>
      <c r="AC82" s="665">
        <v>367</v>
      </c>
      <c r="AD82" s="665">
        <v>529</v>
      </c>
      <c r="AE82" s="665">
        <v>392</v>
      </c>
      <c r="AF82" s="665">
        <v>420</v>
      </c>
      <c r="AG82" s="665">
        <v>450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9.9130558492493845E-2</v>
      </c>
      <c r="F83" s="680">
        <f t="shared" si="25"/>
        <v>306.59000000000003</v>
      </c>
      <c r="G83" s="680">
        <f t="shared" si="26"/>
        <v>300.83333333333331</v>
      </c>
      <c r="H83" s="679">
        <f t="shared" si="27"/>
        <v>292.33333333333331</v>
      </c>
      <c r="I83" s="679">
        <f t="shared" si="28"/>
        <v>291.33333333333331</v>
      </c>
      <c r="J83" s="679">
        <f t="shared" si="29"/>
        <v>326.60000000000002</v>
      </c>
      <c r="K83" s="673">
        <v>359</v>
      </c>
      <c r="L83" s="673">
        <v>329</v>
      </c>
      <c r="M83" s="673">
        <v>375</v>
      </c>
      <c r="N83" s="673">
        <v>269</v>
      </c>
      <c r="O83" s="673">
        <v>256</v>
      </c>
      <c r="P83" s="673">
        <v>217</v>
      </c>
      <c r="Q83" s="673">
        <v>269</v>
      </c>
      <c r="R83" s="673">
        <v>362</v>
      </c>
      <c r="S83" s="673">
        <v>207</v>
      </c>
      <c r="T83" s="673">
        <v>335</v>
      </c>
      <c r="U83" s="673">
        <v>320</v>
      </c>
      <c r="V83" s="665">
        <v>261</v>
      </c>
      <c r="W83" s="665">
        <v>299</v>
      </c>
      <c r="X83" s="665">
        <v>323</v>
      </c>
      <c r="Y83" s="665">
        <v>278</v>
      </c>
      <c r="Z83" s="665">
        <v>247</v>
      </c>
      <c r="AA83" s="665">
        <v>308</v>
      </c>
      <c r="AB83" s="665">
        <v>293</v>
      </c>
      <c r="AC83" s="665">
        <v>274</v>
      </c>
      <c r="AD83" s="665">
        <v>327</v>
      </c>
      <c r="AE83" s="665">
        <v>366</v>
      </c>
      <c r="AF83" s="665">
        <v>358</v>
      </c>
      <c r="AG83" s="665">
        <v>308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0.15639708267723751</v>
      </c>
      <c r="F84" s="680">
        <f t="shared" si="25"/>
        <v>483.70333333333338</v>
      </c>
      <c r="G84" s="680">
        <f t="shared" si="26"/>
        <v>617.83333333333337</v>
      </c>
      <c r="H84" s="679">
        <f t="shared" si="27"/>
        <v>636</v>
      </c>
      <c r="I84" s="679">
        <f t="shared" si="28"/>
        <v>478.66666666666669</v>
      </c>
      <c r="J84" s="679">
        <f t="shared" si="29"/>
        <v>377.8</v>
      </c>
      <c r="K84" s="673">
        <v>665</v>
      </c>
      <c r="L84" s="673">
        <v>515</v>
      </c>
      <c r="M84" s="673">
        <v>672</v>
      </c>
      <c r="N84" s="673">
        <v>600</v>
      </c>
      <c r="O84" s="673">
        <v>640</v>
      </c>
      <c r="P84" s="673">
        <v>615</v>
      </c>
      <c r="Q84" s="673">
        <v>702</v>
      </c>
      <c r="R84" s="673">
        <v>747</v>
      </c>
      <c r="S84" s="673">
        <v>561</v>
      </c>
      <c r="T84" s="673">
        <v>668</v>
      </c>
      <c r="U84" s="673">
        <v>618</v>
      </c>
      <c r="V84" s="665">
        <v>520</v>
      </c>
      <c r="W84" s="665">
        <v>538</v>
      </c>
      <c r="X84" s="665">
        <v>547</v>
      </c>
      <c r="Y84" s="665">
        <v>413</v>
      </c>
      <c r="Z84" s="665">
        <v>395</v>
      </c>
      <c r="AA84" s="665">
        <v>526</v>
      </c>
      <c r="AB84" s="665">
        <v>453</v>
      </c>
      <c r="AC84" s="665">
        <v>342</v>
      </c>
      <c r="AD84" s="665">
        <v>466</v>
      </c>
      <c r="AE84" s="665">
        <v>357</v>
      </c>
      <c r="AF84" s="665">
        <v>336</v>
      </c>
      <c r="AG84" s="665">
        <v>388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0.16668229441162621</v>
      </c>
      <c r="F85" s="680">
        <f t="shared" si="25"/>
        <v>515.51333333333343</v>
      </c>
      <c r="G85" s="680">
        <f t="shared" si="26"/>
        <v>581.5</v>
      </c>
      <c r="H85" s="679">
        <f t="shared" si="27"/>
        <v>575.16666666666663</v>
      </c>
      <c r="I85" s="679">
        <f t="shared" si="28"/>
        <v>455.5</v>
      </c>
      <c r="J85" s="679">
        <f t="shared" si="29"/>
        <v>514.20000000000005</v>
      </c>
      <c r="K85" s="673">
        <v>596</v>
      </c>
      <c r="L85" s="673">
        <v>482</v>
      </c>
      <c r="M85" s="673">
        <v>601</v>
      </c>
      <c r="N85" s="673">
        <v>573</v>
      </c>
      <c r="O85" s="673">
        <v>631</v>
      </c>
      <c r="P85" s="673">
        <v>606</v>
      </c>
      <c r="Q85" s="673">
        <v>615</v>
      </c>
      <c r="R85" s="673">
        <v>664</v>
      </c>
      <c r="S85" s="673">
        <v>496</v>
      </c>
      <c r="T85" s="673">
        <v>621</v>
      </c>
      <c r="U85" s="673">
        <v>571</v>
      </c>
      <c r="V85" s="665">
        <v>484</v>
      </c>
      <c r="W85" s="665">
        <v>445</v>
      </c>
      <c r="X85" s="665">
        <v>468</v>
      </c>
      <c r="Y85" s="665">
        <v>398</v>
      </c>
      <c r="Z85" s="665">
        <v>432</v>
      </c>
      <c r="AA85" s="665">
        <v>493</v>
      </c>
      <c r="AB85" s="665">
        <v>497</v>
      </c>
      <c r="AC85" s="665">
        <v>570</v>
      </c>
      <c r="AD85" s="665">
        <v>596</v>
      </c>
      <c r="AE85" s="665">
        <v>428</v>
      </c>
      <c r="AF85" s="665">
        <v>517</v>
      </c>
      <c r="AG85" s="665">
        <v>460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0.20074970064785086</v>
      </c>
      <c r="F86" s="680">
        <f t="shared" si="25"/>
        <v>620.87666666666667</v>
      </c>
      <c r="G86" s="680">
        <f t="shared" si="26"/>
        <v>632.16666666666663</v>
      </c>
      <c r="H86" s="679">
        <f t="shared" si="27"/>
        <v>688</v>
      </c>
      <c r="I86" s="679">
        <f t="shared" si="28"/>
        <v>613</v>
      </c>
      <c r="J86" s="679">
        <f t="shared" si="29"/>
        <v>590.4</v>
      </c>
      <c r="K86" s="673">
        <v>664</v>
      </c>
      <c r="L86" s="673">
        <v>590</v>
      </c>
      <c r="M86" s="673">
        <v>691</v>
      </c>
      <c r="N86" s="673">
        <v>565</v>
      </c>
      <c r="O86" s="673">
        <v>688</v>
      </c>
      <c r="P86" s="673">
        <v>595</v>
      </c>
      <c r="Q86" s="673">
        <v>715</v>
      </c>
      <c r="R86" s="673">
        <v>825</v>
      </c>
      <c r="S86" s="673">
        <v>624</v>
      </c>
      <c r="T86" s="673">
        <v>725</v>
      </c>
      <c r="U86" s="673">
        <v>649</v>
      </c>
      <c r="V86" s="665">
        <v>590</v>
      </c>
      <c r="W86" s="665">
        <v>575</v>
      </c>
      <c r="X86" s="665">
        <v>577</v>
      </c>
      <c r="Y86" s="665">
        <v>682</v>
      </c>
      <c r="Z86" s="665">
        <v>554</v>
      </c>
      <c r="AA86" s="665">
        <v>658</v>
      </c>
      <c r="AB86" s="665">
        <v>632</v>
      </c>
      <c r="AC86" s="665">
        <v>589</v>
      </c>
      <c r="AD86" s="665">
        <v>727</v>
      </c>
      <c r="AE86" s="665">
        <v>546</v>
      </c>
      <c r="AF86" s="665">
        <v>553</v>
      </c>
      <c r="AG86" s="665">
        <v>537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116" priority="10" operator="equal">
      <formula>0</formula>
    </cfRule>
  </conditionalFormatting>
  <conditionalFormatting sqref="K31:V86">
    <cfRule type="cellIs" dxfId="115" priority="9" operator="equal">
      <formula>0</formula>
    </cfRule>
  </conditionalFormatting>
  <conditionalFormatting sqref="G16:J16 G15 I15">
    <cfRule type="cellIs" dxfId="114" priority="8" operator="equal">
      <formula>0</formula>
    </cfRule>
  </conditionalFormatting>
  <conditionalFormatting sqref="G7:J7 G6 I6">
    <cfRule type="cellIs" dxfId="113" priority="7" operator="equal">
      <formula>0</formula>
    </cfRule>
  </conditionalFormatting>
  <conditionalFormatting sqref="F15">
    <cfRule type="cellIs" dxfId="112" priority="6" operator="equal">
      <formula>0</formula>
    </cfRule>
  </conditionalFormatting>
  <conditionalFormatting sqref="F28">
    <cfRule type="cellIs" dxfId="111" priority="5" operator="equal">
      <formula>0</formula>
    </cfRule>
  </conditionalFormatting>
  <conditionalFormatting sqref="E8:E14 E1:E6 E30:E1048576">
    <cfRule type="cellIs" dxfId="110" priority="4" operator="equal">
      <formula>0</formula>
    </cfRule>
  </conditionalFormatting>
  <conditionalFormatting sqref="E15">
    <cfRule type="cellIs" dxfId="109" priority="3" operator="equal">
      <formula>0</formula>
    </cfRule>
  </conditionalFormatting>
  <conditionalFormatting sqref="E28">
    <cfRule type="cellIs" dxfId="108" priority="2" operator="equal">
      <formula>0</formula>
    </cfRule>
  </conditionalFormatting>
  <conditionalFormatting sqref="C2:C3">
    <cfRule type="cellIs" dxfId="107" priority="1" operator="equal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5" tint="0.79998168889431442"/>
  </sheetPr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494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495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28393.596666666668</v>
      </c>
      <c r="G8" s="678">
        <f>SUM(G9:G12)</f>
        <v>30404.5</v>
      </c>
      <c r="H8" s="671">
        <f t="shared" ref="H8:J8" si="0">SUM(H9:H12)</f>
        <v>32789.333333333336</v>
      </c>
      <c r="I8" s="671">
        <f t="shared" si="0"/>
        <v>28180</v>
      </c>
      <c r="J8" s="671">
        <f t="shared" si="0"/>
        <v>25853.200000000001</v>
      </c>
      <c r="K8" s="671">
        <f t="shared" ref="K8:AH8" si="1">SUM(K9:K12)</f>
        <v>33718</v>
      </c>
      <c r="L8" s="671">
        <f t="shared" si="1"/>
        <v>27923</v>
      </c>
      <c r="M8" s="671">
        <f t="shared" si="1"/>
        <v>33693</v>
      </c>
      <c r="N8" s="671">
        <f t="shared" si="1"/>
        <v>28993</v>
      </c>
      <c r="O8" s="671">
        <f t="shared" si="1"/>
        <v>30927</v>
      </c>
      <c r="P8" s="671">
        <f t="shared" si="1"/>
        <v>27173</v>
      </c>
      <c r="Q8" s="671">
        <f t="shared" si="1"/>
        <v>32753</v>
      </c>
      <c r="R8" s="671">
        <f t="shared" si="1"/>
        <v>38457</v>
      </c>
      <c r="S8" s="671">
        <f t="shared" si="1"/>
        <v>28335</v>
      </c>
      <c r="T8" s="671">
        <f t="shared" si="1"/>
        <v>34329</v>
      </c>
      <c r="U8" s="671">
        <f t="shared" si="1"/>
        <v>32699</v>
      </c>
      <c r="V8" s="671">
        <f t="shared" si="1"/>
        <v>30163</v>
      </c>
      <c r="W8" s="671">
        <f t="shared" si="1"/>
        <v>29544</v>
      </c>
      <c r="X8" s="671">
        <f t="shared" si="1"/>
        <v>28739</v>
      </c>
      <c r="Y8" s="671">
        <f t="shared" si="1"/>
        <v>28476</v>
      </c>
      <c r="Z8" s="671">
        <f t="shared" si="1"/>
        <v>24604</v>
      </c>
      <c r="AA8" s="671">
        <f t="shared" si="1"/>
        <v>30559</v>
      </c>
      <c r="AB8" s="671">
        <f t="shared" si="1"/>
        <v>27158</v>
      </c>
      <c r="AC8" s="671">
        <f t="shared" si="1"/>
        <v>22732</v>
      </c>
      <c r="AD8" s="671">
        <f t="shared" si="1"/>
        <v>30933</v>
      </c>
      <c r="AE8" s="671">
        <f t="shared" si="1"/>
        <v>22667</v>
      </c>
      <c r="AF8" s="671">
        <f t="shared" si="1"/>
        <v>25491</v>
      </c>
      <c r="AG8" s="671">
        <f t="shared" si="1"/>
        <v>27443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0.20648669729407296</v>
      </c>
      <c r="F9" s="683">
        <f t="shared" ref="F9:F12" si="3">G9*10%+H9*20%+I9*30%+J9*40%</f>
        <v>5862.9</v>
      </c>
      <c r="G9" s="675">
        <f t="shared" ref="G9:G12" si="4">AVERAGE(K9:P9)</f>
        <v>5966.333333333333</v>
      </c>
      <c r="H9" s="672">
        <f t="shared" ref="H9:H12" si="5">AVERAGE(Q9:V9)</f>
        <v>6506.333333333333</v>
      </c>
      <c r="I9" s="672">
        <f t="shared" ref="I9:I12" si="6">AVERAGE(W9:AB9)</f>
        <v>6052.666666666667</v>
      </c>
      <c r="J9" s="672">
        <f t="shared" ref="J9:J12" si="7">AVERAGE(AC9:AG9)</f>
        <v>5373</v>
      </c>
      <c r="K9" s="673">
        <f>SUMIF($B$18:$B$25,$C9,K$18:K$25)</f>
        <v>6439</v>
      </c>
      <c r="L9" s="673">
        <f t="shared" ref="L9:AA12" si="8">SUMIF($B$18:$B$25,$C9,L$18:L$25)</f>
        <v>5258</v>
      </c>
      <c r="M9" s="673">
        <f t="shared" si="8"/>
        <v>6884</v>
      </c>
      <c r="N9" s="673">
        <f t="shared" si="8"/>
        <v>5810</v>
      </c>
      <c r="O9" s="673">
        <f t="shared" si="8"/>
        <v>6149</v>
      </c>
      <c r="P9" s="673">
        <f t="shared" si="8"/>
        <v>5258</v>
      </c>
      <c r="Q9" s="673">
        <f t="shared" si="8"/>
        <v>6201</v>
      </c>
      <c r="R9" s="673">
        <f t="shared" si="8"/>
        <v>7603</v>
      </c>
      <c r="S9" s="673">
        <f t="shared" si="8"/>
        <v>5773</v>
      </c>
      <c r="T9" s="673">
        <f t="shared" si="8"/>
        <v>6960</v>
      </c>
      <c r="U9" s="673">
        <f t="shared" si="8"/>
        <v>6424</v>
      </c>
      <c r="V9" s="673">
        <f t="shared" si="8"/>
        <v>6077</v>
      </c>
      <c r="W9" s="673">
        <f t="shared" si="8"/>
        <v>6061</v>
      </c>
      <c r="X9" s="673">
        <f t="shared" si="8"/>
        <v>6174</v>
      </c>
      <c r="Y9" s="673">
        <f t="shared" si="8"/>
        <v>6052</v>
      </c>
      <c r="Z9" s="673">
        <f t="shared" si="8"/>
        <v>5204</v>
      </c>
      <c r="AA9" s="673">
        <f t="shared" si="8"/>
        <v>6898</v>
      </c>
      <c r="AB9" s="673">
        <f t="shared" ref="AB9:AG12" si="9">SUMIF($B$18:$B$25,$C9,AB$18:AB$25)</f>
        <v>5927</v>
      </c>
      <c r="AC9" s="673">
        <f t="shared" si="9"/>
        <v>4827</v>
      </c>
      <c r="AD9" s="673">
        <f t="shared" si="9"/>
        <v>6373</v>
      </c>
      <c r="AE9" s="673">
        <f t="shared" si="9"/>
        <v>4726</v>
      </c>
      <c r="AF9" s="673">
        <f t="shared" si="9"/>
        <v>5177</v>
      </c>
      <c r="AG9" s="673">
        <f t="shared" si="9"/>
        <v>5762</v>
      </c>
      <c r="AH9" s="673"/>
    </row>
    <row r="10" spans="1:34">
      <c r="C10" s="1002" t="s">
        <v>332</v>
      </c>
      <c r="D10" s="984"/>
      <c r="E10" s="690">
        <f t="shared" si="2"/>
        <v>0.28742219930103963</v>
      </c>
      <c r="F10" s="683">
        <f t="shared" si="3"/>
        <v>8160.9500000000007</v>
      </c>
      <c r="G10" s="675">
        <f t="shared" si="4"/>
        <v>8354.1666666666661</v>
      </c>
      <c r="H10" s="672">
        <f t="shared" si="5"/>
        <v>9184.1666666666661</v>
      </c>
      <c r="I10" s="672">
        <f t="shared" si="6"/>
        <v>8303.6666666666661</v>
      </c>
      <c r="J10" s="672">
        <f t="shared" si="7"/>
        <v>7494</v>
      </c>
      <c r="K10" s="673">
        <f t="shared" ref="K10:K12" si="10">SUMIF($B$18:$B$25,$C10,K$18:K$25)</f>
        <v>9262</v>
      </c>
      <c r="L10" s="673">
        <f t="shared" si="8"/>
        <v>7705</v>
      </c>
      <c r="M10" s="673">
        <f t="shared" si="8"/>
        <v>9157</v>
      </c>
      <c r="N10" s="673">
        <f t="shared" si="8"/>
        <v>7945</v>
      </c>
      <c r="O10" s="673">
        <f t="shared" si="8"/>
        <v>8407</v>
      </c>
      <c r="P10" s="673">
        <f t="shared" si="8"/>
        <v>7649</v>
      </c>
      <c r="Q10" s="673">
        <f t="shared" si="8"/>
        <v>9014</v>
      </c>
      <c r="R10" s="673">
        <f t="shared" si="8"/>
        <v>10490</v>
      </c>
      <c r="S10" s="673">
        <f t="shared" si="8"/>
        <v>7887</v>
      </c>
      <c r="T10" s="673">
        <f t="shared" si="8"/>
        <v>9667</v>
      </c>
      <c r="U10" s="673">
        <f t="shared" si="8"/>
        <v>9368</v>
      </c>
      <c r="V10" s="673">
        <f t="shared" si="8"/>
        <v>8679</v>
      </c>
      <c r="W10" s="673">
        <f t="shared" si="8"/>
        <v>8170</v>
      </c>
      <c r="X10" s="673">
        <f t="shared" si="8"/>
        <v>7817</v>
      </c>
      <c r="Y10" s="673">
        <f t="shared" si="8"/>
        <v>8779</v>
      </c>
      <c r="Z10" s="673">
        <f t="shared" si="8"/>
        <v>7513</v>
      </c>
      <c r="AA10" s="673">
        <f t="shared" si="8"/>
        <v>9104</v>
      </c>
      <c r="AB10" s="673">
        <f t="shared" si="9"/>
        <v>8439</v>
      </c>
      <c r="AC10" s="673">
        <f t="shared" si="9"/>
        <v>6930</v>
      </c>
      <c r="AD10" s="673">
        <f t="shared" si="9"/>
        <v>9153</v>
      </c>
      <c r="AE10" s="673">
        <f t="shared" si="9"/>
        <v>6682</v>
      </c>
      <c r="AF10" s="673">
        <f t="shared" si="9"/>
        <v>6989</v>
      </c>
      <c r="AG10" s="673">
        <f t="shared" si="9"/>
        <v>7716</v>
      </c>
      <c r="AH10" s="673"/>
    </row>
    <row r="11" spans="1:34">
      <c r="C11" s="1002" t="s">
        <v>333</v>
      </c>
      <c r="D11" s="984"/>
      <c r="E11" s="690">
        <f t="shared" si="2"/>
        <v>0.26317083934065416</v>
      </c>
      <c r="F11" s="683">
        <f t="shared" si="3"/>
        <v>7472.3666666666668</v>
      </c>
      <c r="G11" s="675">
        <f t="shared" si="4"/>
        <v>8301.5</v>
      </c>
      <c r="H11" s="672">
        <f t="shared" si="5"/>
        <v>8895.8333333333339</v>
      </c>
      <c r="I11" s="672">
        <f t="shared" si="6"/>
        <v>7258.166666666667</v>
      </c>
      <c r="J11" s="672">
        <f t="shared" si="7"/>
        <v>6714</v>
      </c>
      <c r="K11" s="673">
        <f t="shared" si="10"/>
        <v>9767</v>
      </c>
      <c r="L11" s="673">
        <f t="shared" si="8"/>
        <v>7899</v>
      </c>
      <c r="M11" s="673">
        <f t="shared" si="8"/>
        <v>9085</v>
      </c>
      <c r="N11" s="673">
        <f t="shared" si="8"/>
        <v>7663</v>
      </c>
      <c r="O11" s="673">
        <f t="shared" si="8"/>
        <v>8257</v>
      </c>
      <c r="P11" s="673">
        <f t="shared" si="8"/>
        <v>7138</v>
      </c>
      <c r="Q11" s="673">
        <f t="shared" si="8"/>
        <v>8984</v>
      </c>
      <c r="R11" s="673">
        <f t="shared" si="8"/>
        <v>10448</v>
      </c>
      <c r="S11" s="673">
        <f t="shared" si="8"/>
        <v>7589</v>
      </c>
      <c r="T11" s="673">
        <f t="shared" si="8"/>
        <v>9260</v>
      </c>
      <c r="U11" s="673">
        <f t="shared" si="8"/>
        <v>8818</v>
      </c>
      <c r="V11" s="673">
        <f t="shared" si="8"/>
        <v>8276</v>
      </c>
      <c r="W11" s="673">
        <f t="shared" si="8"/>
        <v>8371</v>
      </c>
      <c r="X11" s="673">
        <f t="shared" si="8"/>
        <v>7685</v>
      </c>
      <c r="Y11" s="673">
        <f t="shared" si="8"/>
        <v>7052</v>
      </c>
      <c r="Z11" s="673">
        <f t="shared" si="8"/>
        <v>6153</v>
      </c>
      <c r="AA11" s="673">
        <f t="shared" si="8"/>
        <v>7520</v>
      </c>
      <c r="AB11" s="673">
        <f t="shared" si="9"/>
        <v>6768</v>
      </c>
      <c r="AC11" s="673">
        <f t="shared" si="9"/>
        <v>5461</v>
      </c>
      <c r="AD11" s="673">
        <f t="shared" si="9"/>
        <v>8049</v>
      </c>
      <c r="AE11" s="673">
        <f t="shared" si="9"/>
        <v>5924</v>
      </c>
      <c r="AF11" s="673">
        <f t="shared" si="9"/>
        <v>6896</v>
      </c>
      <c r="AG11" s="673">
        <f t="shared" si="9"/>
        <v>7240</v>
      </c>
      <c r="AH11" s="673"/>
    </row>
    <row r="12" spans="1:34">
      <c r="C12" s="1002" t="s">
        <v>334</v>
      </c>
      <c r="D12" s="984"/>
      <c r="E12" s="690">
        <f t="shared" si="2"/>
        <v>0.24292026406423325</v>
      </c>
      <c r="F12" s="683">
        <f t="shared" si="3"/>
        <v>6897.38</v>
      </c>
      <c r="G12" s="675">
        <f t="shared" si="4"/>
        <v>7782.5</v>
      </c>
      <c r="H12" s="672">
        <f t="shared" si="5"/>
        <v>8203</v>
      </c>
      <c r="I12" s="672">
        <f t="shared" si="6"/>
        <v>6565.5</v>
      </c>
      <c r="J12" s="672">
        <f t="shared" si="7"/>
        <v>6272.2</v>
      </c>
      <c r="K12" s="673">
        <f t="shared" si="10"/>
        <v>8250</v>
      </c>
      <c r="L12" s="673">
        <f t="shared" si="8"/>
        <v>7061</v>
      </c>
      <c r="M12" s="673">
        <f t="shared" si="8"/>
        <v>8567</v>
      </c>
      <c r="N12" s="673">
        <f t="shared" si="8"/>
        <v>7575</v>
      </c>
      <c r="O12" s="673">
        <f t="shared" si="8"/>
        <v>8114</v>
      </c>
      <c r="P12" s="673">
        <f t="shared" si="8"/>
        <v>7128</v>
      </c>
      <c r="Q12" s="673">
        <f t="shared" si="8"/>
        <v>8554</v>
      </c>
      <c r="R12" s="673">
        <f t="shared" si="8"/>
        <v>9916</v>
      </c>
      <c r="S12" s="673">
        <f t="shared" si="8"/>
        <v>7086</v>
      </c>
      <c r="T12" s="673">
        <f t="shared" si="8"/>
        <v>8442</v>
      </c>
      <c r="U12" s="673">
        <f t="shared" si="8"/>
        <v>8089</v>
      </c>
      <c r="V12" s="673">
        <f t="shared" si="8"/>
        <v>7131</v>
      </c>
      <c r="W12" s="673">
        <f t="shared" si="8"/>
        <v>6942</v>
      </c>
      <c r="X12" s="673">
        <f t="shared" si="8"/>
        <v>7063</v>
      </c>
      <c r="Y12" s="673">
        <f t="shared" si="8"/>
        <v>6593</v>
      </c>
      <c r="Z12" s="673">
        <f t="shared" si="8"/>
        <v>5734</v>
      </c>
      <c r="AA12" s="673">
        <f t="shared" si="8"/>
        <v>7037</v>
      </c>
      <c r="AB12" s="673">
        <f t="shared" si="9"/>
        <v>6024</v>
      </c>
      <c r="AC12" s="673">
        <f t="shared" si="9"/>
        <v>5514</v>
      </c>
      <c r="AD12" s="673">
        <f t="shared" si="9"/>
        <v>7358</v>
      </c>
      <c r="AE12" s="673">
        <f t="shared" si="9"/>
        <v>5335</v>
      </c>
      <c r="AF12" s="673">
        <f t="shared" si="9"/>
        <v>6429</v>
      </c>
      <c r="AG12" s="673">
        <f t="shared" si="9"/>
        <v>6725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1.0000000000000002</v>
      </c>
      <c r="F17" s="684">
        <f>SUM(F18:F25)</f>
        <v>28393.596666666672</v>
      </c>
      <c r="G17" s="674">
        <f>SUM(G18:G25)</f>
        <v>30404.5</v>
      </c>
      <c r="H17" s="674">
        <f t="shared" ref="H17:J17" si="12">SUM(H18:H25)</f>
        <v>32789.333333333336</v>
      </c>
      <c r="I17" s="674">
        <f t="shared" si="12"/>
        <v>28179.999999999996</v>
      </c>
      <c r="J17" s="674">
        <f t="shared" si="12"/>
        <v>25853.200000000001</v>
      </c>
      <c r="K17" s="671">
        <f t="shared" ref="K17:AH17" si="13">SUM(K18:K25)</f>
        <v>33718</v>
      </c>
      <c r="L17" s="671">
        <f t="shared" si="13"/>
        <v>27923</v>
      </c>
      <c r="M17" s="671">
        <f t="shared" si="13"/>
        <v>33693</v>
      </c>
      <c r="N17" s="671">
        <f t="shared" si="13"/>
        <v>28993</v>
      </c>
      <c r="O17" s="671">
        <f t="shared" si="13"/>
        <v>30927</v>
      </c>
      <c r="P17" s="671">
        <f t="shared" si="13"/>
        <v>27173</v>
      </c>
      <c r="Q17" s="671">
        <f t="shared" si="13"/>
        <v>32753</v>
      </c>
      <c r="R17" s="671">
        <f t="shared" si="13"/>
        <v>38457</v>
      </c>
      <c r="S17" s="671">
        <f t="shared" si="13"/>
        <v>28335</v>
      </c>
      <c r="T17" s="671">
        <f t="shared" si="13"/>
        <v>34329</v>
      </c>
      <c r="U17" s="671">
        <f t="shared" si="13"/>
        <v>32699</v>
      </c>
      <c r="V17" s="671">
        <f t="shared" si="13"/>
        <v>30163</v>
      </c>
      <c r="W17" s="671">
        <f t="shared" si="13"/>
        <v>29544</v>
      </c>
      <c r="X17" s="671">
        <f t="shared" si="13"/>
        <v>28739</v>
      </c>
      <c r="Y17" s="671">
        <f t="shared" si="13"/>
        <v>28476</v>
      </c>
      <c r="Z17" s="671">
        <f t="shared" si="13"/>
        <v>24604</v>
      </c>
      <c r="AA17" s="671">
        <f t="shared" si="13"/>
        <v>30559</v>
      </c>
      <c r="AB17" s="671">
        <f t="shared" si="13"/>
        <v>27158</v>
      </c>
      <c r="AC17" s="671">
        <f t="shared" si="13"/>
        <v>22732</v>
      </c>
      <c r="AD17" s="671">
        <f t="shared" si="13"/>
        <v>30933</v>
      </c>
      <c r="AE17" s="671">
        <f t="shared" si="13"/>
        <v>22667</v>
      </c>
      <c r="AF17" s="671">
        <f t="shared" si="13"/>
        <v>25491</v>
      </c>
      <c r="AG17" s="671">
        <f t="shared" si="13"/>
        <v>27443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0.15225662969315026</v>
      </c>
      <c r="F18" s="683">
        <f t="shared" ref="F18:F25" si="14">G18*10%+H18*20%+I18*30%+J18*40%</f>
        <v>4323.1133333333328</v>
      </c>
      <c r="G18" s="675">
        <f t="shared" ref="G18:G25" si="15">AVERAGE(K18:P18)</f>
        <v>4676.833333333333</v>
      </c>
      <c r="H18" s="675">
        <f t="shared" ref="H18:H25" si="16">AVERAGE(Q18:V18)</f>
        <v>5131</v>
      </c>
      <c r="I18" s="675">
        <f t="shared" ref="I18:I25" si="17">AVERAGE(W18:AB18)</f>
        <v>4459.833333333333</v>
      </c>
      <c r="J18" s="675">
        <f t="shared" ref="J18:J25" si="18">AVERAGE(AC18:AG18)</f>
        <v>3728.2</v>
      </c>
      <c r="K18" s="673">
        <f>SUMIF($B$31:$B$86,$C18,K$31:K$86)</f>
        <v>4945</v>
      </c>
      <c r="L18" s="673">
        <f t="shared" ref="L18:AA25" si="19">SUMIF($B$31:$B$86,$C18,L$31:L$86)</f>
        <v>4026</v>
      </c>
      <c r="M18" s="673">
        <f t="shared" si="19"/>
        <v>5395</v>
      </c>
      <c r="N18" s="673">
        <f t="shared" si="19"/>
        <v>4603</v>
      </c>
      <c r="O18" s="673">
        <f t="shared" si="19"/>
        <v>4913</v>
      </c>
      <c r="P18" s="673">
        <f t="shared" si="19"/>
        <v>4179</v>
      </c>
      <c r="Q18" s="673">
        <f t="shared" si="19"/>
        <v>4936</v>
      </c>
      <c r="R18" s="673">
        <f t="shared" si="19"/>
        <v>6158</v>
      </c>
      <c r="S18" s="673">
        <f t="shared" si="19"/>
        <v>4478</v>
      </c>
      <c r="T18" s="673">
        <f t="shared" si="19"/>
        <v>5398</v>
      </c>
      <c r="U18" s="673">
        <f t="shared" si="19"/>
        <v>5019</v>
      </c>
      <c r="V18" s="673">
        <f t="shared" si="19"/>
        <v>4797</v>
      </c>
      <c r="W18" s="673">
        <f t="shared" si="19"/>
        <v>4477</v>
      </c>
      <c r="X18" s="673">
        <f t="shared" si="19"/>
        <v>4571</v>
      </c>
      <c r="Y18" s="673">
        <f t="shared" si="19"/>
        <v>4493</v>
      </c>
      <c r="Z18" s="673">
        <f t="shared" si="19"/>
        <v>3859</v>
      </c>
      <c r="AA18" s="673">
        <f t="shared" si="19"/>
        <v>5120</v>
      </c>
      <c r="AB18" s="673">
        <f t="shared" ref="AB18:AG25" si="20">SUMIF($B$31:$B$86,$C18,AB$31:AB$86)</f>
        <v>4239</v>
      </c>
      <c r="AC18" s="673">
        <f t="shared" si="20"/>
        <v>3385</v>
      </c>
      <c r="AD18" s="673">
        <f t="shared" si="20"/>
        <v>4394</v>
      </c>
      <c r="AE18" s="673">
        <f t="shared" si="20"/>
        <v>3293</v>
      </c>
      <c r="AF18" s="673">
        <f t="shared" si="20"/>
        <v>3575</v>
      </c>
      <c r="AG18" s="673">
        <f t="shared" si="20"/>
        <v>3994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5.4230067600922693E-2</v>
      </c>
      <c r="F19" s="683">
        <f t="shared" si="14"/>
        <v>1539.7866666666666</v>
      </c>
      <c r="G19" s="675">
        <f t="shared" si="15"/>
        <v>1289.5</v>
      </c>
      <c r="H19" s="675">
        <f t="shared" si="16"/>
        <v>1375.3333333333333</v>
      </c>
      <c r="I19" s="675">
        <f t="shared" si="17"/>
        <v>1592.8333333333333</v>
      </c>
      <c r="J19" s="675">
        <f t="shared" si="18"/>
        <v>1644.8</v>
      </c>
      <c r="K19" s="673">
        <f t="shared" ref="K19:K25" si="21">SUMIF($B$31:$B$86,$C19,K$31:K$86)</f>
        <v>1494</v>
      </c>
      <c r="L19" s="673">
        <f t="shared" si="19"/>
        <v>1232</v>
      </c>
      <c r="M19" s="673">
        <f t="shared" si="19"/>
        <v>1489</v>
      </c>
      <c r="N19" s="673">
        <f t="shared" si="19"/>
        <v>1207</v>
      </c>
      <c r="O19" s="673">
        <f t="shared" si="19"/>
        <v>1236</v>
      </c>
      <c r="P19" s="673">
        <f t="shared" si="19"/>
        <v>1079</v>
      </c>
      <c r="Q19" s="673">
        <f t="shared" si="19"/>
        <v>1265</v>
      </c>
      <c r="R19" s="673">
        <f t="shared" si="19"/>
        <v>1445</v>
      </c>
      <c r="S19" s="673">
        <f t="shared" si="19"/>
        <v>1295</v>
      </c>
      <c r="T19" s="673">
        <f t="shared" si="19"/>
        <v>1562</v>
      </c>
      <c r="U19" s="673">
        <f t="shared" si="19"/>
        <v>1405</v>
      </c>
      <c r="V19" s="673">
        <f t="shared" si="19"/>
        <v>1280</v>
      </c>
      <c r="W19" s="673">
        <f t="shared" si="19"/>
        <v>1584</v>
      </c>
      <c r="X19" s="673">
        <f t="shared" si="19"/>
        <v>1603</v>
      </c>
      <c r="Y19" s="673">
        <f t="shared" si="19"/>
        <v>1559</v>
      </c>
      <c r="Z19" s="673">
        <f t="shared" si="19"/>
        <v>1345</v>
      </c>
      <c r="AA19" s="673">
        <f t="shared" si="19"/>
        <v>1778</v>
      </c>
      <c r="AB19" s="673">
        <f t="shared" si="20"/>
        <v>1688</v>
      </c>
      <c r="AC19" s="673">
        <f t="shared" si="20"/>
        <v>1442</v>
      </c>
      <c r="AD19" s="673">
        <f t="shared" si="20"/>
        <v>1979</v>
      </c>
      <c r="AE19" s="673">
        <f t="shared" si="20"/>
        <v>1433</v>
      </c>
      <c r="AF19" s="673">
        <f t="shared" si="20"/>
        <v>1602</v>
      </c>
      <c r="AG19" s="673">
        <f t="shared" si="20"/>
        <v>1768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0.15244681341884714</v>
      </c>
      <c r="F20" s="683">
        <f t="shared" si="14"/>
        <v>4328.5133333333333</v>
      </c>
      <c r="G20" s="675">
        <f t="shared" si="15"/>
        <v>4631.833333333333</v>
      </c>
      <c r="H20" s="675">
        <f t="shared" si="16"/>
        <v>4964</v>
      </c>
      <c r="I20" s="675">
        <f t="shared" si="17"/>
        <v>4464.166666666667</v>
      </c>
      <c r="J20" s="675">
        <f t="shared" si="18"/>
        <v>3833.2</v>
      </c>
      <c r="K20" s="673">
        <f t="shared" si="21"/>
        <v>4825</v>
      </c>
      <c r="L20" s="673">
        <f t="shared" si="19"/>
        <v>4315</v>
      </c>
      <c r="M20" s="673">
        <f t="shared" si="19"/>
        <v>4966</v>
      </c>
      <c r="N20" s="673">
        <f t="shared" si="19"/>
        <v>4331</v>
      </c>
      <c r="O20" s="673">
        <f t="shared" si="19"/>
        <v>4965</v>
      </c>
      <c r="P20" s="673">
        <f t="shared" si="19"/>
        <v>4389</v>
      </c>
      <c r="Q20" s="673">
        <f t="shared" si="19"/>
        <v>4955</v>
      </c>
      <c r="R20" s="673">
        <f t="shared" si="19"/>
        <v>5934</v>
      </c>
      <c r="S20" s="673">
        <f t="shared" si="19"/>
        <v>4342</v>
      </c>
      <c r="T20" s="673">
        <f t="shared" si="19"/>
        <v>5034</v>
      </c>
      <c r="U20" s="673">
        <f t="shared" si="19"/>
        <v>4847</v>
      </c>
      <c r="V20" s="673">
        <f t="shared" si="19"/>
        <v>4672</v>
      </c>
      <c r="W20" s="673">
        <f t="shared" si="19"/>
        <v>4431</v>
      </c>
      <c r="X20" s="673">
        <f t="shared" si="19"/>
        <v>4256</v>
      </c>
      <c r="Y20" s="673">
        <f t="shared" si="19"/>
        <v>4818</v>
      </c>
      <c r="Z20" s="673">
        <f t="shared" si="19"/>
        <v>4085</v>
      </c>
      <c r="AA20" s="673">
        <f t="shared" si="19"/>
        <v>4660</v>
      </c>
      <c r="AB20" s="673">
        <f t="shared" si="20"/>
        <v>4535</v>
      </c>
      <c r="AC20" s="673">
        <f t="shared" si="20"/>
        <v>3479</v>
      </c>
      <c r="AD20" s="673">
        <f t="shared" si="20"/>
        <v>4730</v>
      </c>
      <c r="AE20" s="673">
        <f t="shared" si="20"/>
        <v>3394</v>
      </c>
      <c r="AF20" s="673">
        <f t="shared" si="20"/>
        <v>3603</v>
      </c>
      <c r="AG20" s="673">
        <f t="shared" si="20"/>
        <v>3960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0.13497538588219246</v>
      </c>
      <c r="F21" s="683">
        <f t="shared" si="14"/>
        <v>3832.436666666667</v>
      </c>
      <c r="G21" s="675">
        <f t="shared" si="15"/>
        <v>3722.3333333333335</v>
      </c>
      <c r="H21" s="675">
        <f t="shared" si="16"/>
        <v>4220.166666666667</v>
      </c>
      <c r="I21" s="675">
        <f t="shared" si="17"/>
        <v>3839.5</v>
      </c>
      <c r="J21" s="675">
        <f t="shared" si="18"/>
        <v>3660.8</v>
      </c>
      <c r="K21" s="673">
        <f t="shared" si="21"/>
        <v>4437</v>
      </c>
      <c r="L21" s="673">
        <f t="shared" si="19"/>
        <v>3390</v>
      </c>
      <c r="M21" s="673">
        <f t="shared" si="19"/>
        <v>4191</v>
      </c>
      <c r="N21" s="673">
        <f t="shared" si="19"/>
        <v>3614</v>
      </c>
      <c r="O21" s="673">
        <f t="shared" si="19"/>
        <v>3442</v>
      </c>
      <c r="P21" s="673">
        <f t="shared" si="19"/>
        <v>3260</v>
      </c>
      <c r="Q21" s="673">
        <f t="shared" si="19"/>
        <v>4059</v>
      </c>
      <c r="R21" s="673">
        <f t="shared" si="19"/>
        <v>4556</v>
      </c>
      <c r="S21" s="673">
        <f t="shared" si="19"/>
        <v>3545</v>
      </c>
      <c r="T21" s="673">
        <f t="shared" si="19"/>
        <v>4633</v>
      </c>
      <c r="U21" s="673">
        <f t="shared" si="19"/>
        <v>4521</v>
      </c>
      <c r="V21" s="673">
        <f t="shared" si="19"/>
        <v>4007</v>
      </c>
      <c r="W21" s="673">
        <f t="shared" si="19"/>
        <v>3739</v>
      </c>
      <c r="X21" s="673">
        <f t="shared" si="19"/>
        <v>3561</v>
      </c>
      <c r="Y21" s="673">
        <f t="shared" si="19"/>
        <v>3961</v>
      </c>
      <c r="Z21" s="673">
        <f t="shared" si="19"/>
        <v>3428</v>
      </c>
      <c r="AA21" s="673">
        <f t="shared" si="19"/>
        <v>4444</v>
      </c>
      <c r="AB21" s="673">
        <f t="shared" si="20"/>
        <v>3904</v>
      </c>
      <c r="AC21" s="673">
        <f t="shared" si="20"/>
        <v>3451</v>
      </c>
      <c r="AD21" s="673">
        <f t="shared" si="20"/>
        <v>4423</v>
      </c>
      <c r="AE21" s="673">
        <f t="shared" si="20"/>
        <v>3288</v>
      </c>
      <c r="AF21" s="673">
        <f t="shared" si="20"/>
        <v>3386</v>
      </c>
      <c r="AG21" s="673">
        <f t="shared" si="20"/>
        <v>3756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0.14656673177133014</v>
      </c>
      <c r="F22" s="683">
        <f t="shared" si="14"/>
        <v>4161.5566666666673</v>
      </c>
      <c r="G22" s="675">
        <f t="shared" si="15"/>
        <v>4561.833333333333</v>
      </c>
      <c r="H22" s="675">
        <f t="shared" si="16"/>
        <v>5079.666666666667</v>
      </c>
      <c r="I22" s="675">
        <f t="shared" si="17"/>
        <v>3961.3333333333335</v>
      </c>
      <c r="J22" s="675">
        <f t="shared" si="18"/>
        <v>3752.6</v>
      </c>
      <c r="K22" s="673">
        <f t="shared" si="21"/>
        <v>5260</v>
      </c>
      <c r="L22" s="673">
        <f t="shared" si="19"/>
        <v>4069</v>
      </c>
      <c r="M22" s="673">
        <f t="shared" si="19"/>
        <v>4680</v>
      </c>
      <c r="N22" s="673">
        <f t="shared" si="19"/>
        <v>4246</v>
      </c>
      <c r="O22" s="673">
        <f t="shared" si="19"/>
        <v>4915</v>
      </c>
      <c r="P22" s="673">
        <f t="shared" si="19"/>
        <v>4201</v>
      </c>
      <c r="Q22" s="673">
        <f t="shared" si="19"/>
        <v>5067</v>
      </c>
      <c r="R22" s="673">
        <f t="shared" si="19"/>
        <v>5855</v>
      </c>
      <c r="S22" s="673">
        <f t="shared" si="19"/>
        <v>4180</v>
      </c>
      <c r="T22" s="673">
        <f t="shared" si="19"/>
        <v>5537</v>
      </c>
      <c r="U22" s="673">
        <f t="shared" si="19"/>
        <v>5132</v>
      </c>
      <c r="V22" s="673">
        <f t="shared" si="19"/>
        <v>4707</v>
      </c>
      <c r="W22" s="673">
        <f t="shared" si="19"/>
        <v>4701</v>
      </c>
      <c r="X22" s="673">
        <f t="shared" si="19"/>
        <v>4528</v>
      </c>
      <c r="Y22" s="673">
        <f t="shared" si="19"/>
        <v>3875</v>
      </c>
      <c r="Z22" s="673">
        <f t="shared" si="19"/>
        <v>3146</v>
      </c>
      <c r="AA22" s="673">
        <f t="shared" si="19"/>
        <v>3791</v>
      </c>
      <c r="AB22" s="673">
        <f t="shared" si="20"/>
        <v>3727</v>
      </c>
      <c r="AC22" s="673">
        <f t="shared" si="20"/>
        <v>3217</v>
      </c>
      <c r="AD22" s="673">
        <f t="shared" si="20"/>
        <v>4308</v>
      </c>
      <c r="AE22" s="673">
        <f t="shared" si="20"/>
        <v>3381</v>
      </c>
      <c r="AF22" s="673">
        <f t="shared" si="20"/>
        <v>3832</v>
      </c>
      <c r="AG22" s="673">
        <f t="shared" si="20"/>
        <v>4025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0.11660410756932403</v>
      </c>
      <c r="F23" s="683">
        <f t="shared" si="14"/>
        <v>3310.8100000000004</v>
      </c>
      <c r="G23" s="675">
        <f t="shared" si="15"/>
        <v>3739.6666666666665</v>
      </c>
      <c r="H23" s="675">
        <f t="shared" si="16"/>
        <v>3816.1666666666665</v>
      </c>
      <c r="I23" s="675">
        <f t="shared" si="17"/>
        <v>3296.8333333333335</v>
      </c>
      <c r="J23" s="675">
        <f t="shared" si="18"/>
        <v>2961.4</v>
      </c>
      <c r="K23" s="673">
        <f t="shared" si="21"/>
        <v>4507</v>
      </c>
      <c r="L23" s="673">
        <f t="shared" si="19"/>
        <v>3830</v>
      </c>
      <c r="M23" s="673">
        <f t="shared" si="19"/>
        <v>4405</v>
      </c>
      <c r="N23" s="673">
        <f t="shared" si="19"/>
        <v>3417</v>
      </c>
      <c r="O23" s="673">
        <f t="shared" si="19"/>
        <v>3342</v>
      </c>
      <c r="P23" s="673">
        <f t="shared" si="19"/>
        <v>2937</v>
      </c>
      <c r="Q23" s="673">
        <f t="shared" si="19"/>
        <v>3917</v>
      </c>
      <c r="R23" s="673">
        <f t="shared" si="19"/>
        <v>4593</v>
      </c>
      <c r="S23" s="673">
        <f t="shared" si="19"/>
        <v>3409</v>
      </c>
      <c r="T23" s="673">
        <f t="shared" si="19"/>
        <v>3723</v>
      </c>
      <c r="U23" s="673">
        <f t="shared" si="19"/>
        <v>3686</v>
      </c>
      <c r="V23" s="673">
        <f t="shared" si="19"/>
        <v>3569</v>
      </c>
      <c r="W23" s="673">
        <f t="shared" si="19"/>
        <v>3670</v>
      </c>
      <c r="X23" s="673">
        <f t="shared" si="19"/>
        <v>3157</v>
      </c>
      <c r="Y23" s="673">
        <f t="shared" si="19"/>
        <v>3177</v>
      </c>
      <c r="Z23" s="673">
        <f t="shared" si="19"/>
        <v>3007</v>
      </c>
      <c r="AA23" s="673">
        <f t="shared" si="19"/>
        <v>3729</v>
      </c>
      <c r="AB23" s="673">
        <f t="shared" si="20"/>
        <v>3041</v>
      </c>
      <c r="AC23" s="673">
        <f t="shared" si="20"/>
        <v>2244</v>
      </c>
      <c r="AD23" s="673">
        <f t="shared" si="20"/>
        <v>3741</v>
      </c>
      <c r="AE23" s="673">
        <f t="shared" si="20"/>
        <v>2543</v>
      </c>
      <c r="AF23" s="673">
        <f t="shared" si="20"/>
        <v>3064</v>
      </c>
      <c r="AG23" s="673">
        <f t="shared" si="20"/>
        <v>3215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0.13570548007361755</v>
      </c>
      <c r="F24" s="683">
        <f t="shared" si="14"/>
        <v>3853.166666666667</v>
      </c>
      <c r="G24" s="675">
        <f t="shared" si="15"/>
        <v>4558.666666666667</v>
      </c>
      <c r="H24" s="675">
        <f t="shared" si="16"/>
        <v>4690.5</v>
      </c>
      <c r="I24" s="675">
        <f t="shared" si="17"/>
        <v>3654.6666666666665</v>
      </c>
      <c r="J24" s="675">
        <f t="shared" si="18"/>
        <v>3407</v>
      </c>
      <c r="K24" s="673">
        <f t="shared" si="21"/>
        <v>4804</v>
      </c>
      <c r="L24" s="673">
        <f t="shared" si="19"/>
        <v>4179</v>
      </c>
      <c r="M24" s="673">
        <f t="shared" si="19"/>
        <v>5022</v>
      </c>
      <c r="N24" s="673">
        <f t="shared" si="19"/>
        <v>4443</v>
      </c>
      <c r="O24" s="673">
        <f t="shared" si="19"/>
        <v>4805</v>
      </c>
      <c r="P24" s="673">
        <f t="shared" si="19"/>
        <v>4099</v>
      </c>
      <c r="Q24" s="673">
        <f t="shared" si="19"/>
        <v>4897</v>
      </c>
      <c r="R24" s="673">
        <f t="shared" si="19"/>
        <v>5712</v>
      </c>
      <c r="S24" s="673">
        <f t="shared" si="19"/>
        <v>4132</v>
      </c>
      <c r="T24" s="673">
        <f t="shared" si="19"/>
        <v>4631</v>
      </c>
      <c r="U24" s="673">
        <f t="shared" si="19"/>
        <v>4574</v>
      </c>
      <c r="V24" s="673">
        <f t="shared" si="19"/>
        <v>4197</v>
      </c>
      <c r="W24" s="673">
        <f t="shared" si="19"/>
        <v>4001</v>
      </c>
      <c r="X24" s="673">
        <f t="shared" si="19"/>
        <v>3993</v>
      </c>
      <c r="Y24" s="673">
        <f t="shared" si="19"/>
        <v>3710</v>
      </c>
      <c r="Z24" s="673">
        <f t="shared" si="19"/>
        <v>3187</v>
      </c>
      <c r="AA24" s="673">
        <f t="shared" si="19"/>
        <v>3977</v>
      </c>
      <c r="AB24" s="673">
        <f t="shared" si="20"/>
        <v>3060</v>
      </c>
      <c r="AC24" s="673">
        <f t="shared" si="20"/>
        <v>2861</v>
      </c>
      <c r="AD24" s="673">
        <f t="shared" si="20"/>
        <v>3969</v>
      </c>
      <c r="AE24" s="673">
        <f t="shared" si="20"/>
        <v>2706</v>
      </c>
      <c r="AF24" s="673">
        <f t="shared" si="20"/>
        <v>3638</v>
      </c>
      <c r="AG24" s="673">
        <f t="shared" si="20"/>
        <v>3861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0.10721478399061571</v>
      </c>
      <c r="F25" s="683">
        <f t="shared" si="14"/>
        <v>3044.2133333333331</v>
      </c>
      <c r="G25" s="675">
        <f t="shared" si="15"/>
        <v>3223.8333333333335</v>
      </c>
      <c r="H25" s="675">
        <f t="shared" si="16"/>
        <v>3512.5</v>
      </c>
      <c r="I25" s="675">
        <f t="shared" si="17"/>
        <v>2910.8333333333335</v>
      </c>
      <c r="J25" s="675">
        <f t="shared" si="18"/>
        <v>2865.2</v>
      </c>
      <c r="K25" s="676">
        <f t="shared" si="21"/>
        <v>3446</v>
      </c>
      <c r="L25" s="676">
        <f t="shared" si="19"/>
        <v>2882</v>
      </c>
      <c r="M25" s="676">
        <f t="shared" si="19"/>
        <v>3545</v>
      </c>
      <c r="N25" s="676">
        <f t="shared" si="19"/>
        <v>3132</v>
      </c>
      <c r="O25" s="676">
        <f t="shared" si="19"/>
        <v>3309</v>
      </c>
      <c r="P25" s="676">
        <f t="shared" si="19"/>
        <v>3029</v>
      </c>
      <c r="Q25" s="676">
        <f t="shared" si="19"/>
        <v>3657</v>
      </c>
      <c r="R25" s="676">
        <f t="shared" si="19"/>
        <v>4204</v>
      </c>
      <c r="S25" s="676">
        <f t="shared" si="19"/>
        <v>2954</v>
      </c>
      <c r="T25" s="676">
        <f t="shared" si="19"/>
        <v>3811</v>
      </c>
      <c r="U25" s="676">
        <f t="shared" si="19"/>
        <v>3515</v>
      </c>
      <c r="V25" s="676">
        <f t="shared" si="19"/>
        <v>2934</v>
      </c>
      <c r="W25" s="676">
        <f t="shared" si="19"/>
        <v>2941</v>
      </c>
      <c r="X25" s="676">
        <f t="shared" si="19"/>
        <v>3070</v>
      </c>
      <c r="Y25" s="676">
        <f t="shared" si="19"/>
        <v>2883</v>
      </c>
      <c r="Z25" s="676">
        <f t="shared" si="19"/>
        <v>2547</v>
      </c>
      <c r="AA25" s="676">
        <f t="shared" si="19"/>
        <v>3060</v>
      </c>
      <c r="AB25" s="676">
        <f t="shared" si="20"/>
        <v>2964</v>
      </c>
      <c r="AC25" s="676">
        <f t="shared" si="20"/>
        <v>2653</v>
      </c>
      <c r="AD25" s="676">
        <f t="shared" si="20"/>
        <v>3389</v>
      </c>
      <c r="AE25" s="676">
        <f t="shared" si="20"/>
        <v>2629</v>
      </c>
      <c r="AF25" s="676">
        <f t="shared" si="20"/>
        <v>2791</v>
      </c>
      <c r="AG25" s="676">
        <f t="shared" si="20"/>
        <v>2864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28393.596666666668</v>
      </c>
      <c r="G30" s="678">
        <f>SUM(G31:G86)</f>
        <v>30404.500000000004</v>
      </c>
      <c r="H30" s="678">
        <f t="shared" ref="H30:J30" si="22">SUM(H31:H86)</f>
        <v>32789.33333333335</v>
      </c>
      <c r="I30" s="678">
        <f t="shared" si="22"/>
        <v>28180</v>
      </c>
      <c r="J30" s="678">
        <f t="shared" si="22"/>
        <v>25853.199999999993</v>
      </c>
      <c r="K30" s="671">
        <f>SUM(K31:K86)</f>
        <v>33718</v>
      </c>
      <c r="L30" s="671">
        <f t="shared" ref="L30:AH30" si="23">SUM(L31:L86)</f>
        <v>27923</v>
      </c>
      <c r="M30" s="671">
        <f t="shared" si="23"/>
        <v>33693</v>
      </c>
      <c r="N30" s="671">
        <f t="shared" si="23"/>
        <v>28993</v>
      </c>
      <c r="O30" s="671">
        <f t="shared" si="23"/>
        <v>30927</v>
      </c>
      <c r="P30" s="671">
        <f t="shared" si="23"/>
        <v>27173</v>
      </c>
      <c r="Q30" s="671">
        <f t="shared" si="23"/>
        <v>32753</v>
      </c>
      <c r="R30" s="671">
        <f t="shared" si="23"/>
        <v>38457</v>
      </c>
      <c r="S30" s="671">
        <f t="shared" si="23"/>
        <v>28335</v>
      </c>
      <c r="T30" s="671">
        <f t="shared" si="23"/>
        <v>34329</v>
      </c>
      <c r="U30" s="671">
        <f t="shared" si="23"/>
        <v>32699</v>
      </c>
      <c r="V30" s="671">
        <f t="shared" si="23"/>
        <v>30163</v>
      </c>
      <c r="W30" s="671">
        <f t="shared" si="23"/>
        <v>29544</v>
      </c>
      <c r="X30" s="671">
        <f t="shared" si="23"/>
        <v>28739</v>
      </c>
      <c r="Y30" s="671">
        <f t="shared" si="23"/>
        <v>28476</v>
      </c>
      <c r="Z30" s="671">
        <f t="shared" si="23"/>
        <v>24604</v>
      </c>
      <c r="AA30" s="671">
        <f t="shared" si="23"/>
        <v>30559</v>
      </c>
      <c r="AB30" s="671">
        <f t="shared" si="23"/>
        <v>27158</v>
      </c>
      <c r="AC30" s="671">
        <f t="shared" si="23"/>
        <v>22732</v>
      </c>
      <c r="AD30" s="671">
        <f t="shared" si="23"/>
        <v>30933</v>
      </c>
      <c r="AE30" s="671">
        <f t="shared" si="23"/>
        <v>22667</v>
      </c>
      <c r="AF30" s="671">
        <f t="shared" si="23"/>
        <v>25491</v>
      </c>
      <c r="AG30" s="671">
        <f t="shared" si="23"/>
        <v>27443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9.8833865100305826E-2</v>
      </c>
      <c r="F31" s="680">
        <f>G31*10%+H31*20%+I31*30%+J31*40%</f>
        <v>427.2700000000001</v>
      </c>
      <c r="G31" s="680">
        <f>AVERAGE(K31:P31)</f>
        <v>511.83333333333331</v>
      </c>
      <c r="H31" s="679">
        <f>AVERAGE(Q31:V31)</f>
        <v>541.83333333333337</v>
      </c>
      <c r="I31" s="679">
        <f>AVERAGE(W31:AB31)</f>
        <v>464.66666666666669</v>
      </c>
      <c r="J31" s="679">
        <f>AVERAGE(AC31:AG31)</f>
        <v>320.8</v>
      </c>
      <c r="K31" s="673">
        <v>552</v>
      </c>
      <c r="L31" s="673">
        <v>397</v>
      </c>
      <c r="M31" s="673">
        <v>595</v>
      </c>
      <c r="N31" s="673">
        <v>523</v>
      </c>
      <c r="O31" s="673">
        <v>573</v>
      </c>
      <c r="P31" s="673">
        <v>431</v>
      </c>
      <c r="Q31" s="673">
        <v>496</v>
      </c>
      <c r="R31" s="673">
        <v>634</v>
      </c>
      <c r="S31" s="673">
        <v>468</v>
      </c>
      <c r="T31" s="673">
        <v>557</v>
      </c>
      <c r="U31" s="673">
        <v>581</v>
      </c>
      <c r="V31" s="665">
        <v>515</v>
      </c>
      <c r="W31" s="665">
        <v>533</v>
      </c>
      <c r="X31" s="665">
        <v>535</v>
      </c>
      <c r="Y31" s="665">
        <v>471</v>
      </c>
      <c r="Z31" s="665">
        <v>379</v>
      </c>
      <c r="AA31" s="665">
        <v>494</v>
      </c>
      <c r="AB31" s="665">
        <v>376</v>
      </c>
      <c r="AC31" s="665">
        <v>289</v>
      </c>
      <c r="AD31" s="665">
        <v>340</v>
      </c>
      <c r="AE31" s="665">
        <v>281</v>
      </c>
      <c r="AF31" s="665">
        <v>301</v>
      </c>
      <c r="AG31" s="665">
        <v>393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5.6606581368057289E-2</v>
      </c>
      <c r="F32" s="680">
        <f t="shared" ref="F32:F86" si="25">G32*10%+H32*20%+I32*30%+J32*40%</f>
        <v>244.71666666666667</v>
      </c>
      <c r="G32" s="680">
        <f t="shared" ref="G32:G86" si="26">AVERAGE(K32:P32)</f>
        <v>282.66666666666669</v>
      </c>
      <c r="H32" s="679">
        <f t="shared" ref="H32:H86" si="27">AVERAGE(Q32:V32)</f>
        <v>277.5</v>
      </c>
      <c r="I32" s="679">
        <f t="shared" ref="I32:I86" si="28">AVERAGE(W32:AB32)</f>
        <v>255.16666666666666</v>
      </c>
      <c r="J32" s="679">
        <f t="shared" ref="J32:J86" si="29">AVERAGE(AC32:AG32)</f>
        <v>211</v>
      </c>
      <c r="K32" s="673">
        <v>272</v>
      </c>
      <c r="L32" s="673">
        <v>275</v>
      </c>
      <c r="M32" s="673">
        <v>395</v>
      </c>
      <c r="N32" s="673">
        <v>275</v>
      </c>
      <c r="O32" s="673">
        <v>264</v>
      </c>
      <c r="P32" s="673">
        <v>215</v>
      </c>
      <c r="Q32" s="673">
        <v>268</v>
      </c>
      <c r="R32" s="673">
        <v>349</v>
      </c>
      <c r="S32" s="673">
        <v>214</v>
      </c>
      <c r="T32" s="673">
        <v>302</v>
      </c>
      <c r="U32" s="673">
        <v>248</v>
      </c>
      <c r="V32" s="665">
        <v>284</v>
      </c>
      <c r="W32" s="665">
        <v>240</v>
      </c>
      <c r="X32" s="665">
        <v>307</v>
      </c>
      <c r="Y32" s="665">
        <v>250</v>
      </c>
      <c r="Z32" s="665">
        <v>215</v>
      </c>
      <c r="AA32" s="665">
        <v>280</v>
      </c>
      <c r="AB32" s="665">
        <v>239</v>
      </c>
      <c r="AC32" s="665">
        <v>206</v>
      </c>
      <c r="AD32" s="665">
        <v>262</v>
      </c>
      <c r="AE32" s="665">
        <v>191</v>
      </c>
      <c r="AF32" s="665">
        <v>188</v>
      </c>
      <c r="AG32" s="665">
        <v>208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0.13310314942780438</v>
      </c>
      <c r="F33" s="680">
        <f t="shared" si="25"/>
        <v>575.42000000000007</v>
      </c>
      <c r="G33" s="680">
        <f t="shared" si="26"/>
        <v>714.5</v>
      </c>
      <c r="H33" s="679">
        <f t="shared" si="27"/>
        <v>681</v>
      </c>
      <c r="I33" s="679">
        <f t="shared" si="28"/>
        <v>596.83333333333337</v>
      </c>
      <c r="J33" s="679">
        <f t="shared" si="29"/>
        <v>471.8</v>
      </c>
      <c r="K33" s="673">
        <v>716</v>
      </c>
      <c r="L33" s="673">
        <v>586</v>
      </c>
      <c r="M33" s="673">
        <v>904</v>
      </c>
      <c r="N33" s="673">
        <v>758</v>
      </c>
      <c r="O33" s="673">
        <v>733</v>
      </c>
      <c r="P33" s="673">
        <v>590</v>
      </c>
      <c r="Q33" s="673">
        <v>721</v>
      </c>
      <c r="R33" s="673">
        <v>854</v>
      </c>
      <c r="S33" s="673">
        <v>690</v>
      </c>
      <c r="T33" s="673">
        <v>619</v>
      </c>
      <c r="U33" s="673">
        <v>607</v>
      </c>
      <c r="V33" s="665">
        <v>595</v>
      </c>
      <c r="W33" s="665">
        <v>574</v>
      </c>
      <c r="X33" s="665">
        <v>605</v>
      </c>
      <c r="Y33" s="665">
        <v>599</v>
      </c>
      <c r="Z33" s="665">
        <v>550</v>
      </c>
      <c r="AA33" s="665">
        <v>751</v>
      </c>
      <c r="AB33" s="665">
        <v>502</v>
      </c>
      <c r="AC33" s="665">
        <v>356</v>
      </c>
      <c r="AD33" s="665">
        <v>463</v>
      </c>
      <c r="AE33" s="665">
        <v>401</v>
      </c>
      <c r="AF33" s="665">
        <v>551</v>
      </c>
      <c r="AG33" s="665">
        <v>588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0.10402919500915238</v>
      </c>
      <c r="F34" s="680">
        <f t="shared" si="25"/>
        <v>449.73</v>
      </c>
      <c r="G34" s="680">
        <f t="shared" si="26"/>
        <v>545.33333333333337</v>
      </c>
      <c r="H34" s="679">
        <f t="shared" si="27"/>
        <v>551.33333333333337</v>
      </c>
      <c r="I34" s="679">
        <f t="shared" si="28"/>
        <v>497.5</v>
      </c>
      <c r="J34" s="679">
        <f t="shared" si="29"/>
        <v>339.2</v>
      </c>
      <c r="K34" s="673">
        <v>567</v>
      </c>
      <c r="L34" s="673">
        <v>451</v>
      </c>
      <c r="M34" s="673">
        <v>588</v>
      </c>
      <c r="N34" s="673">
        <v>586</v>
      </c>
      <c r="O34" s="673">
        <v>632</v>
      </c>
      <c r="P34" s="673">
        <v>448</v>
      </c>
      <c r="Q34" s="673">
        <v>549</v>
      </c>
      <c r="R34" s="673">
        <v>531</v>
      </c>
      <c r="S34" s="673">
        <v>520</v>
      </c>
      <c r="T34" s="673">
        <v>580</v>
      </c>
      <c r="U34" s="673">
        <v>608</v>
      </c>
      <c r="V34" s="665">
        <v>520</v>
      </c>
      <c r="W34" s="665">
        <v>472</v>
      </c>
      <c r="X34" s="665">
        <v>412</v>
      </c>
      <c r="Y34" s="665">
        <v>598</v>
      </c>
      <c r="Z34" s="665">
        <v>459</v>
      </c>
      <c r="AA34" s="665">
        <v>510</v>
      </c>
      <c r="AB34" s="665">
        <v>534</v>
      </c>
      <c r="AC34" s="665">
        <v>400</v>
      </c>
      <c r="AD34" s="665">
        <v>379</v>
      </c>
      <c r="AE34" s="665">
        <v>319</v>
      </c>
      <c r="AF34" s="665">
        <v>254</v>
      </c>
      <c r="AG34" s="665">
        <v>344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0.18942983991475285</v>
      </c>
      <c r="F35" s="680">
        <f t="shared" si="25"/>
        <v>818.92666666666673</v>
      </c>
      <c r="G35" s="680">
        <f t="shared" si="26"/>
        <v>844.33333333333337</v>
      </c>
      <c r="H35" s="679">
        <f t="shared" si="27"/>
        <v>968.66666666666663</v>
      </c>
      <c r="I35" s="679">
        <f t="shared" si="28"/>
        <v>786</v>
      </c>
      <c r="J35" s="679">
        <f t="shared" si="29"/>
        <v>762.4</v>
      </c>
      <c r="K35" s="673">
        <v>952</v>
      </c>
      <c r="L35" s="673">
        <v>748</v>
      </c>
      <c r="M35" s="673">
        <v>932</v>
      </c>
      <c r="N35" s="673">
        <v>771</v>
      </c>
      <c r="O35" s="673">
        <v>856</v>
      </c>
      <c r="P35" s="673">
        <v>807</v>
      </c>
      <c r="Q35" s="673">
        <v>932</v>
      </c>
      <c r="R35" s="673">
        <v>1209</v>
      </c>
      <c r="S35" s="673">
        <v>675</v>
      </c>
      <c r="T35" s="673">
        <v>1177</v>
      </c>
      <c r="U35" s="673">
        <v>944</v>
      </c>
      <c r="V35" s="665">
        <v>875</v>
      </c>
      <c r="W35" s="665">
        <v>788</v>
      </c>
      <c r="X35" s="665">
        <v>904</v>
      </c>
      <c r="Y35" s="665">
        <v>814</v>
      </c>
      <c r="Z35" s="665">
        <v>584</v>
      </c>
      <c r="AA35" s="665">
        <v>917</v>
      </c>
      <c r="AB35" s="665">
        <v>709</v>
      </c>
      <c r="AC35" s="665">
        <v>607</v>
      </c>
      <c r="AD35" s="665">
        <v>1062</v>
      </c>
      <c r="AE35" s="665">
        <v>706</v>
      </c>
      <c r="AF35" s="665">
        <v>713</v>
      </c>
      <c r="AG35" s="665">
        <v>724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0.12261379530492687</v>
      </c>
      <c r="F36" s="680">
        <f t="shared" si="25"/>
        <v>530.07333333333338</v>
      </c>
      <c r="G36" s="680">
        <f t="shared" si="26"/>
        <v>451.33333333333331</v>
      </c>
      <c r="H36" s="679">
        <f t="shared" si="27"/>
        <v>574</v>
      </c>
      <c r="I36" s="679">
        <f t="shared" si="28"/>
        <v>567.66666666666663</v>
      </c>
      <c r="J36" s="679">
        <f t="shared" si="29"/>
        <v>499.6</v>
      </c>
      <c r="K36" s="673">
        <v>525</v>
      </c>
      <c r="L36" s="673">
        <v>378</v>
      </c>
      <c r="M36" s="673">
        <v>495</v>
      </c>
      <c r="N36" s="673">
        <v>439</v>
      </c>
      <c r="O36" s="673">
        <v>457</v>
      </c>
      <c r="P36" s="673">
        <v>414</v>
      </c>
      <c r="Q36" s="673">
        <v>497</v>
      </c>
      <c r="R36" s="673">
        <v>704</v>
      </c>
      <c r="S36" s="673">
        <v>613</v>
      </c>
      <c r="T36" s="673">
        <v>548</v>
      </c>
      <c r="U36" s="673">
        <v>548</v>
      </c>
      <c r="V36" s="665">
        <v>534</v>
      </c>
      <c r="W36" s="665">
        <v>525</v>
      </c>
      <c r="X36" s="665">
        <v>563</v>
      </c>
      <c r="Y36" s="665">
        <v>532</v>
      </c>
      <c r="Z36" s="665">
        <v>538</v>
      </c>
      <c r="AA36" s="665">
        <v>657</v>
      </c>
      <c r="AB36" s="665">
        <v>591</v>
      </c>
      <c r="AC36" s="665">
        <v>509</v>
      </c>
      <c r="AD36" s="665">
        <v>555</v>
      </c>
      <c r="AE36" s="665">
        <v>477</v>
      </c>
      <c r="AF36" s="665">
        <v>473</v>
      </c>
      <c r="AG36" s="665">
        <v>484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0.12241717774381736</v>
      </c>
      <c r="F37" s="680">
        <f t="shared" si="25"/>
        <v>529.22333333333336</v>
      </c>
      <c r="G37" s="680">
        <f t="shared" si="26"/>
        <v>529</v>
      </c>
      <c r="H37" s="679">
        <f t="shared" si="27"/>
        <v>634.16666666666663</v>
      </c>
      <c r="I37" s="679">
        <f t="shared" si="28"/>
        <v>581.5</v>
      </c>
      <c r="J37" s="679">
        <f t="shared" si="29"/>
        <v>437.6</v>
      </c>
      <c r="K37" s="673">
        <v>545</v>
      </c>
      <c r="L37" s="673">
        <v>496</v>
      </c>
      <c r="M37" s="673">
        <v>589</v>
      </c>
      <c r="N37" s="673">
        <v>476</v>
      </c>
      <c r="O37" s="673">
        <v>581</v>
      </c>
      <c r="P37" s="673">
        <v>487</v>
      </c>
      <c r="Q37" s="673">
        <v>564</v>
      </c>
      <c r="R37" s="673">
        <v>786</v>
      </c>
      <c r="S37" s="673">
        <v>546</v>
      </c>
      <c r="T37" s="673">
        <v>668</v>
      </c>
      <c r="U37" s="673">
        <v>635</v>
      </c>
      <c r="V37" s="665">
        <v>606</v>
      </c>
      <c r="W37" s="665">
        <v>617</v>
      </c>
      <c r="X37" s="665">
        <v>549</v>
      </c>
      <c r="Y37" s="665">
        <v>561</v>
      </c>
      <c r="Z37" s="665">
        <v>534</v>
      </c>
      <c r="AA37" s="665">
        <v>714</v>
      </c>
      <c r="AB37" s="665">
        <v>514</v>
      </c>
      <c r="AC37" s="665">
        <v>335</v>
      </c>
      <c r="AD37" s="665">
        <v>483</v>
      </c>
      <c r="AE37" s="665">
        <v>380</v>
      </c>
      <c r="AF37" s="665">
        <v>466</v>
      </c>
      <c r="AG37" s="665">
        <v>524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0.17296639613118325</v>
      </c>
      <c r="F38" s="680">
        <f t="shared" si="25"/>
        <v>747.75333333333333</v>
      </c>
      <c r="G38" s="680">
        <f t="shared" si="26"/>
        <v>797.83333333333337</v>
      </c>
      <c r="H38" s="679">
        <f t="shared" si="27"/>
        <v>902.5</v>
      </c>
      <c r="I38" s="679">
        <f t="shared" si="28"/>
        <v>710.5</v>
      </c>
      <c r="J38" s="679">
        <f t="shared" si="29"/>
        <v>685.8</v>
      </c>
      <c r="K38" s="673">
        <v>816</v>
      </c>
      <c r="L38" s="673">
        <v>695</v>
      </c>
      <c r="M38" s="673">
        <v>897</v>
      </c>
      <c r="N38" s="673">
        <v>775</v>
      </c>
      <c r="O38" s="673">
        <v>817</v>
      </c>
      <c r="P38" s="673">
        <v>787</v>
      </c>
      <c r="Q38" s="673">
        <v>909</v>
      </c>
      <c r="R38" s="673">
        <v>1091</v>
      </c>
      <c r="S38" s="673">
        <v>752</v>
      </c>
      <c r="T38" s="673">
        <v>947</v>
      </c>
      <c r="U38" s="673">
        <v>848</v>
      </c>
      <c r="V38" s="665">
        <v>868</v>
      </c>
      <c r="W38" s="665">
        <v>728</v>
      </c>
      <c r="X38" s="665">
        <v>696</v>
      </c>
      <c r="Y38" s="665">
        <v>668</v>
      </c>
      <c r="Z38" s="665">
        <v>600</v>
      </c>
      <c r="AA38" s="665">
        <v>797</v>
      </c>
      <c r="AB38" s="665">
        <v>774</v>
      </c>
      <c r="AC38" s="665">
        <v>683</v>
      </c>
      <c r="AD38" s="665">
        <v>850</v>
      </c>
      <c r="AE38" s="665">
        <v>538</v>
      </c>
      <c r="AF38" s="665">
        <v>629</v>
      </c>
      <c r="AG38" s="665">
        <v>729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0.37717346125870249</v>
      </c>
      <c r="F39" s="680">
        <f t="shared" si="25"/>
        <v>580.76666666666665</v>
      </c>
      <c r="G39" s="680">
        <f t="shared" si="26"/>
        <v>469.16666666666669</v>
      </c>
      <c r="H39" s="679">
        <f t="shared" si="27"/>
        <v>483</v>
      </c>
      <c r="I39" s="679">
        <f t="shared" si="28"/>
        <v>596.16666666666663</v>
      </c>
      <c r="J39" s="679">
        <f t="shared" si="29"/>
        <v>646</v>
      </c>
      <c r="K39" s="673">
        <v>454</v>
      </c>
      <c r="L39" s="673">
        <v>354</v>
      </c>
      <c r="M39" s="673">
        <v>605</v>
      </c>
      <c r="N39" s="673">
        <v>477</v>
      </c>
      <c r="O39" s="673">
        <v>499</v>
      </c>
      <c r="P39" s="673">
        <v>426</v>
      </c>
      <c r="Q39" s="673">
        <v>509</v>
      </c>
      <c r="R39" s="673">
        <v>598</v>
      </c>
      <c r="S39" s="673">
        <v>458</v>
      </c>
      <c r="T39" s="673">
        <v>461</v>
      </c>
      <c r="U39" s="673">
        <v>432</v>
      </c>
      <c r="V39" s="665">
        <v>440</v>
      </c>
      <c r="W39" s="665">
        <v>560</v>
      </c>
      <c r="X39" s="665">
        <v>566</v>
      </c>
      <c r="Y39" s="665">
        <v>617</v>
      </c>
      <c r="Z39" s="665">
        <v>505</v>
      </c>
      <c r="AA39" s="665">
        <v>719</v>
      </c>
      <c r="AB39" s="665">
        <v>610</v>
      </c>
      <c r="AC39" s="665">
        <v>535</v>
      </c>
      <c r="AD39" s="665">
        <v>810</v>
      </c>
      <c r="AE39" s="665">
        <v>604</v>
      </c>
      <c r="AF39" s="665">
        <v>634</v>
      </c>
      <c r="AG39" s="665">
        <v>647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0.28611755741055039</v>
      </c>
      <c r="F40" s="680">
        <f t="shared" si="25"/>
        <v>440.56</v>
      </c>
      <c r="G40" s="680">
        <f t="shared" si="26"/>
        <v>401.16666666666669</v>
      </c>
      <c r="H40" s="679">
        <f t="shared" si="27"/>
        <v>391.16666666666669</v>
      </c>
      <c r="I40" s="679">
        <f t="shared" si="28"/>
        <v>461.5</v>
      </c>
      <c r="J40" s="679">
        <f t="shared" si="29"/>
        <v>459.4</v>
      </c>
      <c r="K40" s="673">
        <v>512</v>
      </c>
      <c r="L40" s="673">
        <v>401</v>
      </c>
      <c r="M40" s="673">
        <v>426</v>
      </c>
      <c r="N40" s="673">
        <v>377</v>
      </c>
      <c r="O40" s="673">
        <v>365</v>
      </c>
      <c r="P40" s="673">
        <v>326</v>
      </c>
      <c r="Q40" s="673">
        <v>341</v>
      </c>
      <c r="R40" s="673">
        <v>403</v>
      </c>
      <c r="S40" s="673">
        <v>345</v>
      </c>
      <c r="T40" s="673">
        <v>430</v>
      </c>
      <c r="U40" s="673">
        <v>427</v>
      </c>
      <c r="V40" s="665">
        <v>401</v>
      </c>
      <c r="W40" s="665">
        <v>448</v>
      </c>
      <c r="X40" s="665">
        <v>452</v>
      </c>
      <c r="Y40" s="665">
        <v>408</v>
      </c>
      <c r="Z40" s="665">
        <v>437</v>
      </c>
      <c r="AA40" s="665">
        <v>514</v>
      </c>
      <c r="AB40" s="665">
        <v>510</v>
      </c>
      <c r="AC40" s="665">
        <v>422</v>
      </c>
      <c r="AD40" s="665">
        <v>550</v>
      </c>
      <c r="AE40" s="665">
        <v>394</v>
      </c>
      <c r="AF40" s="665">
        <v>418</v>
      </c>
      <c r="AG40" s="665">
        <v>513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0.33670898133074717</v>
      </c>
      <c r="F41" s="680">
        <f t="shared" si="25"/>
        <v>518.46</v>
      </c>
      <c r="G41" s="680">
        <f t="shared" si="26"/>
        <v>419.16666666666669</v>
      </c>
      <c r="H41" s="679">
        <f t="shared" si="27"/>
        <v>501.16666666666669</v>
      </c>
      <c r="I41" s="679">
        <f t="shared" si="28"/>
        <v>535.16666666666663</v>
      </c>
      <c r="J41" s="679">
        <f t="shared" si="29"/>
        <v>539.4</v>
      </c>
      <c r="K41" s="673">
        <v>528</v>
      </c>
      <c r="L41" s="673">
        <v>477</v>
      </c>
      <c r="M41" s="673">
        <v>458</v>
      </c>
      <c r="N41" s="673">
        <v>353</v>
      </c>
      <c r="O41" s="673">
        <v>372</v>
      </c>
      <c r="P41" s="673">
        <v>327</v>
      </c>
      <c r="Q41" s="673">
        <v>415</v>
      </c>
      <c r="R41" s="673">
        <v>444</v>
      </c>
      <c r="S41" s="673">
        <v>492</v>
      </c>
      <c r="T41" s="673">
        <v>671</v>
      </c>
      <c r="U41" s="673">
        <v>546</v>
      </c>
      <c r="V41" s="665">
        <v>439</v>
      </c>
      <c r="W41" s="665">
        <v>576</v>
      </c>
      <c r="X41" s="665">
        <v>585</v>
      </c>
      <c r="Y41" s="665">
        <v>534</v>
      </c>
      <c r="Z41" s="665">
        <v>403</v>
      </c>
      <c r="AA41" s="665">
        <v>545</v>
      </c>
      <c r="AB41" s="665">
        <v>568</v>
      </c>
      <c r="AC41" s="665">
        <v>485</v>
      </c>
      <c r="AD41" s="665">
        <v>619</v>
      </c>
      <c r="AE41" s="665">
        <v>435</v>
      </c>
      <c r="AF41" s="665">
        <v>550</v>
      </c>
      <c r="AG41" s="665">
        <v>608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0.18501117396735142</v>
      </c>
      <c r="F42" s="680">
        <f t="shared" si="25"/>
        <v>800.82333333333349</v>
      </c>
      <c r="G42" s="680">
        <f t="shared" si="26"/>
        <v>878.16666666666663</v>
      </c>
      <c r="H42" s="679">
        <f t="shared" si="27"/>
        <v>957.33333333333337</v>
      </c>
      <c r="I42" s="679">
        <f t="shared" si="28"/>
        <v>789.66666666666663</v>
      </c>
      <c r="J42" s="679">
        <f t="shared" si="29"/>
        <v>711.6</v>
      </c>
      <c r="K42" s="673">
        <v>919</v>
      </c>
      <c r="L42" s="673">
        <v>839</v>
      </c>
      <c r="M42" s="673">
        <v>831</v>
      </c>
      <c r="N42" s="673">
        <v>813</v>
      </c>
      <c r="O42" s="673">
        <v>976</v>
      </c>
      <c r="P42" s="673">
        <v>891</v>
      </c>
      <c r="Q42" s="673">
        <v>1009</v>
      </c>
      <c r="R42" s="673">
        <v>1060</v>
      </c>
      <c r="S42" s="673">
        <v>861</v>
      </c>
      <c r="T42" s="673">
        <v>930</v>
      </c>
      <c r="U42" s="673">
        <v>982</v>
      </c>
      <c r="V42" s="665">
        <v>902</v>
      </c>
      <c r="W42" s="665">
        <v>837</v>
      </c>
      <c r="X42" s="665">
        <v>797</v>
      </c>
      <c r="Y42" s="665">
        <v>845</v>
      </c>
      <c r="Z42" s="665">
        <v>698</v>
      </c>
      <c r="AA42" s="665">
        <v>731</v>
      </c>
      <c r="AB42" s="665">
        <v>830</v>
      </c>
      <c r="AC42" s="665">
        <v>622</v>
      </c>
      <c r="AD42" s="665">
        <v>877</v>
      </c>
      <c r="AE42" s="665">
        <v>610</v>
      </c>
      <c r="AF42" s="665">
        <v>741</v>
      </c>
      <c r="AG42" s="665">
        <v>708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0.12070349018985733</v>
      </c>
      <c r="F43" s="680">
        <f t="shared" si="25"/>
        <v>522.4666666666667</v>
      </c>
      <c r="G43" s="680">
        <f t="shared" si="26"/>
        <v>547.83333333333337</v>
      </c>
      <c r="H43" s="679">
        <f t="shared" si="27"/>
        <v>692.16666666666663</v>
      </c>
      <c r="I43" s="679">
        <f t="shared" si="28"/>
        <v>517.5</v>
      </c>
      <c r="J43" s="679">
        <f t="shared" si="29"/>
        <v>435</v>
      </c>
      <c r="K43" s="673">
        <v>594</v>
      </c>
      <c r="L43" s="673">
        <v>491</v>
      </c>
      <c r="M43" s="673">
        <v>595</v>
      </c>
      <c r="N43" s="673">
        <v>500</v>
      </c>
      <c r="O43" s="673">
        <v>571</v>
      </c>
      <c r="P43" s="673">
        <v>536</v>
      </c>
      <c r="Q43" s="673">
        <v>615</v>
      </c>
      <c r="R43" s="673">
        <v>861</v>
      </c>
      <c r="S43" s="673">
        <v>565</v>
      </c>
      <c r="T43" s="673">
        <v>748</v>
      </c>
      <c r="U43" s="673">
        <v>667</v>
      </c>
      <c r="V43" s="665">
        <v>697</v>
      </c>
      <c r="W43" s="665">
        <v>579</v>
      </c>
      <c r="X43" s="665">
        <v>615</v>
      </c>
      <c r="Y43" s="665">
        <v>573</v>
      </c>
      <c r="Z43" s="665">
        <v>439</v>
      </c>
      <c r="AA43" s="665">
        <v>451</v>
      </c>
      <c r="AB43" s="665">
        <v>448</v>
      </c>
      <c r="AC43" s="665">
        <v>406</v>
      </c>
      <c r="AD43" s="665">
        <v>504</v>
      </c>
      <c r="AE43" s="665">
        <v>364</v>
      </c>
      <c r="AF43" s="665">
        <v>443</v>
      </c>
      <c r="AG43" s="665">
        <v>458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0.15606051038308766</v>
      </c>
      <c r="F44" s="680">
        <f t="shared" si="25"/>
        <v>675.51</v>
      </c>
      <c r="G44" s="680">
        <f t="shared" si="26"/>
        <v>739</v>
      </c>
      <c r="H44" s="679">
        <f t="shared" si="27"/>
        <v>784</v>
      </c>
      <c r="I44" s="679">
        <f t="shared" si="28"/>
        <v>671.5</v>
      </c>
      <c r="J44" s="679">
        <f t="shared" si="29"/>
        <v>608.4</v>
      </c>
      <c r="K44" s="673">
        <v>689</v>
      </c>
      <c r="L44" s="673">
        <v>800</v>
      </c>
      <c r="M44" s="673">
        <v>762</v>
      </c>
      <c r="N44" s="673">
        <v>666</v>
      </c>
      <c r="O44" s="673">
        <v>807</v>
      </c>
      <c r="P44" s="673">
        <v>710</v>
      </c>
      <c r="Q44" s="673">
        <v>811</v>
      </c>
      <c r="R44" s="673">
        <v>860</v>
      </c>
      <c r="S44" s="673">
        <v>751</v>
      </c>
      <c r="T44" s="673">
        <v>715</v>
      </c>
      <c r="U44" s="673">
        <v>780</v>
      </c>
      <c r="V44" s="665">
        <v>787</v>
      </c>
      <c r="W44" s="665">
        <v>585</v>
      </c>
      <c r="X44" s="665">
        <v>570</v>
      </c>
      <c r="Y44" s="665">
        <v>793</v>
      </c>
      <c r="Z44" s="665">
        <v>550</v>
      </c>
      <c r="AA44" s="665">
        <v>747</v>
      </c>
      <c r="AB44" s="665">
        <v>784</v>
      </c>
      <c r="AC44" s="665">
        <v>688</v>
      </c>
      <c r="AD44" s="665">
        <v>670</v>
      </c>
      <c r="AE44" s="665">
        <v>629</v>
      </c>
      <c r="AF44" s="665">
        <v>456</v>
      </c>
      <c r="AG44" s="665">
        <v>599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0.10998618463306109</v>
      </c>
      <c r="F45" s="680">
        <f t="shared" si="25"/>
        <v>476.07666666666671</v>
      </c>
      <c r="G45" s="680">
        <f t="shared" si="26"/>
        <v>432.33333333333331</v>
      </c>
      <c r="H45" s="679">
        <f t="shared" si="27"/>
        <v>495.66666666666669</v>
      </c>
      <c r="I45" s="679">
        <f t="shared" si="28"/>
        <v>541.16666666666663</v>
      </c>
      <c r="J45" s="679">
        <f t="shared" si="29"/>
        <v>428.4</v>
      </c>
      <c r="K45" s="673">
        <v>459</v>
      </c>
      <c r="L45" s="673">
        <v>370</v>
      </c>
      <c r="M45" s="673">
        <v>522</v>
      </c>
      <c r="N45" s="673">
        <v>397</v>
      </c>
      <c r="O45" s="673">
        <v>451</v>
      </c>
      <c r="P45" s="673">
        <v>395</v>
      </c>
      <c r="Q45" s="673">
        <v>526</v>
      </c>
      <c r="R45" s="673">
        <v>574</v>
      </c>
      <c r="S45" s="673">
        <v>384</v>
      </c>
      <c r="T45" s="673">
        <v>511</v>
      </c>
      <c r="U45" s="673">
        <v>497</v>
      </c>
      <c r="V45" s="665">
        <v>482</v>
      </c>
      <c r="W45" s="665">
        <v>475</v>
      </c>
      <c r="X45" s="665">
        <v>557</v>
      </c>
      <c r="Y45" s="665">
        <v>600</v>
      </c>
      <c r="Z45" s="665">
        <v>493</v>
      </c>
      <c r="AA45" s="665">
        <v>627</v>
      </c>
      <c r="AB45" s="665">
        <v>495</v>
      </c>
      <c r="AC45" s="665">
        <v>379</v>
      </c>
      <c r="AD45" s="665">
        <v>607</v>
      </c>
      <c r="AE45" s="665">
        <v>367</v>
      </c>
      <c r="AF45" s="665">
        <v>355</v>
      </c>
      <c r="AG45" s="665">
        <v>434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0.11259832090155665</v>
      </c>
      <c r="F46" s="680">
        <f t="shared" si="25"/>
        <v>487.38333333333333</v>
      </c>
      <c r="G46" s="680">
        <f t="shared" si="26"/>
        <v>511.83333333333331</v>
      </c>
      <c r="H46" s="679">
        <f t="shared" si="27"/>
        <v>576.5</v>
      </c>
      <c r="I46" s="679">
        <f t="shared" si="28"/>
        <v>515</v>
      </c>
      <c r="J46" s="679">
        <f t="shared" si="29"/>
        <v>416</v>
      </c>
      <c r="K46" s="673">
        <v>501</v>
      </c>
      <c r="L46" s="673">
        <v>453</v>
      </c>
      <c r="M46" s="673">
        <v>561</v>
      </c>
      <c r="N46" s="673">
        <v>441</v>
      </c>
      <c r="O46" s="673">
        <v>595</v>
      </c>
      <c r="P46" s="673">
        <v>520</v>
      </c>
      <c r="Q46" s="673">
        <v>546</v>
      </c>
      <c r="R46" s="673">
        <v>674</v>
      </c>
      <c r="S46" s="673">
        <v>568</v>
      </c>
      <c r="T46" s="673">
        <v>618</v>
      </c>
      <c r="U46" s="673">
        <v>550</v>
      </c>
      <c r="V46" s="665">
        <v>503</v>
      </c>
      <c r="W46" s="665">
        <v>504</v>
      </c>
      <c r="X46" s="665">
        <v>458</v>
      </c>
      <c r="Y46" s="665">
        <v>593</v>
      </c>
      <c r="Z46" s="665">
        <v>511</v>
      </c>
      <c r="AA46" s="665">
        <v>532</v>
      </c>
      <c r="AB46" s="665">
        <v>492</v>
      </c>
      <c r="AC46" s="665">
        <v>394</v>
      </c>
      <c r="AD46" s="665">
        <v>443</v>
      </c>
      <c r="AE46" s="665">
        <v>375</v>
      </c>
      <c r="AF46" s="665">
        <v>410</v>
      </c>
      <c r="AG46" s="665">
        <v>458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0.13900153555416253</v>
      </c>
      <c r="F47" s="680">
        <f t="shared" si="25"/>
        <v>601.66999999999996</v>
      </c>
      <c r="G47" s="680">
        <f t="shared" si="26"/>
        <v>702.16666666666663</v>
      </c>
      <c r="H47" s="679">
        <f t="shared" si="27"/>
        <v>663.16666666666663</v>
      </c>
      <c r="I47" s="679">
        <f t="shared" si="28"/>
        <v>609.66666666666663</v>
      </c>
      <c r="J47" s="679">
        <f t="shared" si="29"/>
        <v>539.79999999999995</v>
      </c>
      <c r="K47" s="673">
        <v>797</v>
      </c>
      <c r="L47" s="673">
        <v>595</v>
      </c>
      <c r="M47" s="673">
        <v>738</v>
      </c>
      <c r="N47" s="673">
        <v>733</v>
      </c>
      <c r="O47" s="673">
        <v>728</v>
      </c>
      <c r="P47" s="673">
        <v>622</v>
      </c>
      <c r="Q47" s="673">
        <v>668</v>
      </c>
      <c r="R47" s="673">
        <v>912</v>
      </c>
      <c r="S47" s="673">
        <v>556</v>
      </c>
      <c r="T47" s="673">
        <v>666</v>
      </c>
      <c r="U47" s="673">
        <v>611</v>
      </c>
      <c r="V47" s="665">
        <v>566</v>
      </c>
      <c r="W47" s="665">
        <v>609</v>
      </c>
      <c r="X47" s="665">
        <v>505</v>
      </c>
      <c r="Y47" s="665">
        <v>606</v>
      </c>
      <c r="Z47" s="665">
        <v>693</v>
      </c>
      <c r="AA47" s="665">
        <v>649</v>
      </c>
      <c r="AB47" s="665">
        <v>596</v>
      </c>
      <c r="AC47" s="665">
        <v>418</v>
      </c>
      <c r="AD47" s="665">
        <v>693</v>
      </c>
      <c r="AE47" s="665">
        <v>436</v>
      </c>
      <c r="AF47" s="665">
        <v>538</v>
      </c>
      <c r="AG47" s="665">
        <v>614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0.10538568284414818</v>
      </c>
      <c r="F48" s="680">
        <f t="shared" si="25"/>
        <v>456.1633333333333</v>
      </c>
      <c r="G48" s="680">
        <f t="shared" si="26"/>
        <v>492.83333333333331</v>
      </c>
      <c r="H48" s="679">
        <f t="shared" si="27"/>
        <v>469</v>
      </c>
      <c r="I48" s="679">
        <f t="shared" si="28"/>
        <v>494</v>
      </c>
      <c r="J48" s="679">
        <f t="shared" si="29"/>
        <v>412.2</v>
      </c>
      <c r="K48" s="673">
        <v>502</v>
      </c>
      <c r="L48" s="673">
        <v>458</v>
      </c>
      <c r="M48" s="673">
        <v>606</v>
      </c>
      <c r="N48" s="673">
        <v>444</v>
      </c>
      <c r="O48" s="673">
        <v>524</v>
      </c>
      <c r="P48" s="673">
        <v>423</v>
      </c>
      <c r="Q48" s="673">
        <v>462</v>
      </c>
      <c r="R48" s="673">
        <v>528</v>
      </c>
      <c r="S48" s="673">
        <v>397</v>
      </c>
      <c r="T48" s="673">
        <v>499</v>
      </c>
      <c r="U48" s="673">
        <v>443</v>
      </c>
      <c r="V48" s="665">
        <v>485</v>
      </c>
      <c r="W48" s="665">
        <v>496</v>
      </c>
      <c r="X48" s="665">
        <v>458</v>
      </c>
      <c r="Y48" s="665">
        <v>498</v>
      </c>
      <c r="Z48" s="665">
        <v>450</v>
      </c>
      <c r="AA48" s="665">
        <v>530</v>
      </c>
      <c r="AB48" s="665">
        <v>532</v>
      </c>
      <c r="AC48" s="665">
        <v>366</v>
      </c>
      <c r="AD48" s="665">
        <v>546</v>
      </c>
      <c r="AE48" s="665">
        <v>358</v>
      </c>
      <c r="AF48" s="665">
        <v>394</v>
      </c>
      <c r="AG48" s="665">
        <v>397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7.1253101526775164E-2</v>
      </c>
      <c r="F49" s="680">
        <f t="shared" si="25"/>
        <v>308.42</v>
      </c>
      <c r="G49" s="680">
        <f t="shared" si="26"/>
        <v>327.66666666666669</v>
      </c>
      <c r="H49" s="679">
        <f t="shared" si="27"/>
        <v>326.16666666666669</v>
      </c>
      <c r="I49" s="679">
        <f t="shared" si="28"/>
        <v>325.66666666666669</v>
      </c>
      <c r="J49" s="679">
        <f t="shared" si="29"/>
        <v>281.8</v>
      </c>
      <c r="K49" s="673">
        <v>364</v>
      </c>
      <c r="L49" s="673">
        <v>309</v>
      </c>
      <c r="M49" s="673">
        <v>351</v>
      </c>
      <c r="N49" s="673">
        <v>337</v>
      </c>
      <c r="O49" s="673">
        <v>313</v>
      </c>
      <c r="P49" s="673">
        <v>292</v>
      </c>
      <c r="Q49" s="673">
        <v>318</v>
      </c>
      <c r="R49" s="673">
        <v>465</v>
      </c>
      <c r="S49" s="673">
        <v>260</v>
      </c>
      <c r="T49" s="673">
        <v>347</v>
      </c>
      <c r="U49" s="673">
        <v>317</v>
      </c>
      <c r="V49" s="665">
        <v>250</v>
      </c>
      <c r="W49" s="665">
        <v>346</v>
      </c>
      <c r="X49" s="665">
        <v>296</v>
      </c>
      <c r="Y49" s="665">
        <v>310</v>
      </c>
      <c r="Z49" s="665">
        <v>251</v>
      </c>
      <c r="AA49" s="665">
        <v>393</v>
      </c>
      <c r="AB49" s="665">
        <v>358</v>
      </c>
      <c r="AC49" s="665">
        <v>206</v>
      </c>
      <c r="AD49" s="665">
        <v>390</v>
      </c>
      <c r="AE49" s="665">
        <v>255</v>
      </c>
      <c r="AF49" s="665">
        <v>266</v>
      </c>
      <c r="AG49" s="665">
        <v>292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9.0943011887128375E-2</v>
      </c>
      <c r="F50" s="680">
        <f t="shared" si="25"/>
        <v>348.53333333333336</v>
      </c>
      <c r="G50" s="680">
        <f t="shared" si="26"/>
        <v>338.83333333333331</v>
      </c>
      <c r="H50" s="679">
        <f t="shared" si="27"/>
        <v>393.5</v>
      </c>
      <c r="I50" s="679">
        <f t="shared" si="28"/>
        <v>323.83333333333331</v>
      </c>
      <c r="J50" s="679">
        <f t="shared" si="29"/>
        <v>347</v>
      </c>
      <c r="K50" s="673">
        <v>436</v>
      </c>
      <c r="L50" s="673">
        <v>306</v>
      </c>
      <c r="M50" s="673">
        <v>343</v>
      </c>
      <c r="N50" s="673">
        <v>342</v>
      </c>
      <c r="O50" s="673">
        <v>304</v>
      </c>
      <c r="P50" s="673">
        <v>302</v>
      </c>
      <c r="Q50" s="673">
        <v>375</v>
      </c>
      <c r="R50" s="673">
        <v>432</v>
      </c>
      <c r="S50" s="673">
        <v>362</v>
      </c>
      <c r="T50" s="673">
        <v>426</v>
      </c>
      <c r="U50" s="673">
        <v>433</v>
      </c>
      <c r="V50" s="665">
        <v>333</v>
      </c>
      <c r="W50" s="665">
        <v>297</v>
      </c>
      <c r="X50" s="665">
        <v>295</v>
      </c>
      <c r="Y50" s="665">
        <v>310</v>
      </c>
      <c r="Z50" s="665">
        <v>268</v>
      </c>
      <c r="AA50" s="665">
        <v>399</v>
      </c>
      <c r="AB50" s="665">
        <v>374</v>
      </c>
      <c r="AC50" s="665">
        <v>293</v>
      </c>
      <c r="AD50" s="665">
        <v>416</v>
      </c>
      <c r="AE50" s="665">
        <v>300</v>
      </c>
      <c r="AF50" s="665">
        <v>338</v>
      </c>
      <c r="AG50" s="665">
        <v>388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0.11208708819715221</v>
      </c>
      <c r="F51" s="680">
        <f t="shared" si="25"/>
        <v>429.56666666666672</v>
      </c>
      <c r="G51" s="680">
        <f t="shared" si="26"/>
        <v>341.33333333333331</v>
      </c>
      <c r="H51" s="679">
        <f t="shared" si="27"/>
        <v>392.16666666666669</v>
      </c>
      <c r="I51" s="679">
        <f t="shared" si="28"/>
        <v>484.66666666666669</v>
      </c>
      <c r="J51" s="679">
        <f t="shared" si="29"/>
        <v>429</v>
      </c>
      <c r="K51" s="673">
        <v>408</v>
      </c>
      <c r="L51" s="673">
        <v>330</v>
      </c>
      <c r="M51" s="673">
        <v>352</v>
      </c>
      <c r="N51" s="673">
        <v>381</v>
      </c>
      <c r="O51" s="673">
        <v>297</v>
      </c>
      <c r="P51" s="673">
        <v>280</v>
      </c>
      <c r="Q51" s="673">
        <v>381</v>
      </c>
      <c r="R51" s="673">
        <v>448</v>
      </c>
      <c r="S51" s="673">
        <v>331</v>
      </c>
      <c r="T51" s="673">
        <v>413</v>
      </c>
      <c r="U51" s="673">
        <v>449</v>
      </c>
      <c r="V51" s="665">
        <v>331</v>
      </c>
      <c r="W51" s="665">
        <v>413</v>
      </c>
      <c r="X51" s="665">
        <v>431</v>
      </c>
      <c r="Y51" s="665">
        <v>575</v>
      </c>
      <c r="Z51" s="665">
        <v>462</v>
      </c>
      <c r="AA51" s="665">
        <v>549</v>
      </c>
      <c r="AB51" s="665">
        <v>478</v>
      </c>
      <c r="AC51" s="665">
        <v>375</v>
      </c>
      <c r="AD51" s="665">
        <v>448</v>
      </c>
      <c r="AE51" s="665">
        <v>350</v>
      </c>
      <c r="AF51" s="665">
        <v>423</v>
      </c>
      <c r="AG51" s="665">
        <v>549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0.10928469355005649</v>
      </c>
      <c r="F52" s="680">
        <f t="shared" si="25"/>
        <v>418.82666666666671</v>
      </c>
      <c r="G52" s="680">
        <f t="shared" si="26"/>
        <v>369.33333333333331</v>
      </c>
      <c r="H52" s="679">
        <f t="shared" si="27"/>
        <v>439.16666666666669</v>
      </c>
      <c r="I52" s="679">
        <f t="shared" si="28"/>
        <v>389</v>
      </c>
      <c r="J52" s="679">
        <f t="shared" si="29"/>
        <v>443.4</v>
      </c>
      <c r="K52" s="673">
        <v>407</v>
      </c>
      <c r="L52" s="673">
        <v>321</v>
      </c>
      <c r="M52" s="673">
        <v>412</v>
      </c>
      <c r="N52" s="673">
        <v>326</v>
      </c>
      <c r="O52" s="673">
        <v>369</v>
      </c>
      <c r="P52" s="673">
        <v>381</v>
      </c>
      <c r="Q52" s="673">
        <v>517</v>
      </c>
      <c r="R52" s="673">
        <v>572</v>
      </c>
      <c r="S52" s="673">
        <v>401</v>
      </c>
      <c r="T52" s="673">
        <v>388</v>
      </c>
      <c r="U52" s="673">
        <v>388</v>
      </c>
      <c r="V52" s="665">
        <v>369</v>
      </c>
      <c r="W52" s="665">
        <v>280</v>
      </c>
      <c r="X52" s="665">
        <v>301</v>
      </c>
      <c r="Y52" s="665">
        <v>401</v>
      </c>
      <c r="Z52" s="665">
        <v>392</v>
      </c>
      <c r="AA52" s="665">
        <v>524</v>
      </c>
      <c r="AB52" s="665">
        <v>436</v>
      </c>
      <c r="AC52" s="665">
        <v>430</v>
      </c>
      <c r="AD52" s="665">
        <v>508</v>
      </c>
      <c r="AE52" s="665">
        <v>393</v>
      </c>
      <c r="AF52" s="665">
        <v>429</v>
      </c>
      <c r="AG52" s="665">
        <v>457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8.5668734686635384E-2</v>
      </c>
      <c r="F53" s="680">
        <f t="shared" si="25"/>
        <v>328.32</v>
      </c>
      <c r="G53" s="680">
        <f t="shared" si="26"/>
        <v>469.5</v>
      </c>
      <c r="H53" s="679">
        <f t="shared" si="27"/>
        <v>360.5</v>
      </c>
      <c r="I53" s="679">
        <f t="shared" si="28"/>
        <v>293.83333333333331</v>
      </c>
      <c r="J53" s="679">
        <f t="shared" si="29"/>
        <v>302.8</v>
      </c>
      <c r="K53" s="673">
        <v>613</v>
      </c>
      <c r="L53" s="673">
        <v>453</v>
      </c>
      <c r="M53" s="673">
        <v>602</v>
      </c>
      <c r="N53" s="673">
        <v>511</v>
      </c>
      <c r="O53" s="673">
        <v>347</v>
      </c>
      <c r="P53" s="673">
        <v>291</v>
      </c>
      <c r="Q53" s="673">
        <v>362</v>
      </c>
      <c r="R53" s="673">
        <v>433</v>
      </c>
      <c r="S53" s="673">
        <v>309</v>
      </c>
      <c r="T53" s="673">
        <v>285</v>
      </c>
      <c r="U53" s="673">
        <v>448</v>
      </c>
      <c r="V53" s="665">
        <v>326</v>
      </c>
      <c r="W53" s="665">
        <v>258</v>
      </c>
      <c r="X53" s="665">
        <v>265</v>
      </c>
      <c r="Y53" s="665">
        <v>266</v>
      </c>
      <c r="Z53" s="665">
        <v>271</v>
      </c>
      <c r="AA53" s="665">
        <v>303</v>
      </c>
      <c r="AB53" s="665">
        <v>400</v>
      </c>
      <c r="AC53" s="665">
        <v>296</v>
      </c>
      <c r="AD53" s="665">
        <v>394</v>
      </c>
      <c r="AE53" s="665">
        <v>246</v>
      </c>
      <c r="AF53" s="665">
        <v>272</v>
      </c>
      <c r="AG53" s="665">
        <v>306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0.12560155375474785</v>
      </c>
      <c r="F54" s="680">
        <f t="shared" si="25"/>
        <v>481.36</v>
      </c>
      <c r="G54" s="680">
        <f t="shared" si="26"/>
        <v>608.33333333333337</v>
      </c>
      <c r="H54" s="679">
        <f t="shared" si="27"/>
        <v>611.83333333333337</v>
      </c>
      <c r="I54" s="679">
        <f t="shared" si="28"/>
        <v>405.33333333333331</v>
      </c>
      <c r="J54" s="679">
        <f t="shared" si="29"/>
        <v>441.4</v>
      </c>
      <c r="K54" s="673">
        <v>586</v>
      </c>
      <c r="L54" s="673">
        <v>583</v>
      </c>
      <c r="M54" s="673">
        <v>672</v>
      </c>
      <c r="N54" s="673">
        <v>604</v>
      </c>
      <c r="O54" s="673">
        <v>673</v>
      </c>
      <c r="P54" s="673">
        <v>532</v>
      </c>
      <c r="Q54" s="673">
        <v>644</v>
      </c>
      <c r="R54" s="673">
        <v>697</v>
      </c>
      <c r="S54" s="673">
        <v>431</v>
      </c>
      <c r="T54" s="673">
        <v>627</v>
      </c>
      <c r="U54" s="673">
        <v>630</v>
      </c>
      <c r="V54" s="665">
        <v>642</v>
      </c>
      <c r="W54" s="665">
        <v>569</v>
      </c>
      <c r="X54" s="665">
        <v>392</v>
      </c>
      <c r="Y54" s="665">
        <v>328</v>
      </c>
      <c r="Z54" s="665">
        <v>379</v>
      </c>
      <c r="AA54" s="665">
        <v>450</v>
      </c>
      <c r="AB54" s="665">
        <v>314</v>
      </c>
      <c r="AC54" s="665">
        <v>399</v>
      </c>
      <c r="AD54" s="665">
        <v>548</v>
      </c>
      <c r="AE54" s="665">
        <v>418</v>
      </c>
      <c r="AF54" s="665">
        <v>372</v>
      </c>
      <c r="AG54" s="665">
        <v>470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0.12893276775176107</v>
      </c>
      <c r="F55" s="680">
        <f t="shared" si="25"/>
        <v>494.12666666666672</v>
      </c>
      <c r="G55" s="680">
        <f t="shared" si="26"/>
        <v>566.5</v>
      </c>
      <c r="H55" s="679">
        <f t="shared" si="27"/>
        <v>576.33333333333337</v>
      </c>
      <c r="I55" s="679">
        <f t="shared" si="28"/>
        <v>452.16666666666669</v>
      </c>
      <c r="J55" s="679">
        <f t="shared" si="29"/>
        <v>466.4</v>
      </c>
      <c r="K55" s="673">
        <v>686</v>
      </c>
      <c r="L55" s="673">
        <v>542</v>
      </c>
      <c r="M55" s="673">
        <v>653</v>
      </c>
      <c r="N55" s="673">
        <v>522</v>
      </c>
      <c r="O55" s="673">
        <v>515</v>
      </c>
      <c r="P55" s="673">
        <v>481</v>
      </c>
      <c r="Q55" s="673">
        <v>682</v>
      </c>
      <c r="R55" s="673">
        <v>697</v>
      </c>
      <c r="S55" s="673">
        <v>423</v>
      </c>
      <c r="T55" s="673">
        <v>598</v>
      </c>
      <c r="U55" s="673">
        <v>571</v>
      </c>
      <c r="V55" s="665">
        <v>487</v>
      </c>
      <c r="W55" s="665">
        <v>476</v>
      </c>
      <c r="X55" s="665">
        <v>463</v>
      </c>
      <c r="Y55" s="665">
        <v>418</v>
      </c>
      <c r="Z55" s="665">
        <v>428</v>
      </c>
      <c r="AA55" s="665">
        <v>516</v>
      </c>
      <c r="AB55" s="665">
        <v>412</v>
      </c>
      <c r="AC55" s="665">
        <v>363</v>
      </c>
      <c r="AD55" s="665">
        <v>586</v>
      </c>
      <c r="AE55" s="665">
        <v>473</v>
      </c>
      <c r="AF55" s="665">
        <v>453</v>
      </c>
      <c r="AG55" s="665">
        <v>457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0.20100614839471148</v>
      </c>
      <c r="F56" s="680">
        <f t="shared" si="25"/>
        <v>770.34333333333348</v>
      </c>
      <c r="G56" s="680">
        <f t="shared" si="26"/>
        <v>583.16666666666663</v>
      </c>
      <c r="H56" s="679">
        <f t="shared" si="27"/>
        <v>889.33333333333337</v>
      </c>
      <c r="I56" s="679">
        <f t="shared" si="28"/>
        <v>926.66666666666663</v>
      </c>
      <c r="J56" s="679">
        <f t="shared" si="29"/>
        <v>640.4</v>
      </c>
      <c r="K56" s="673">
        <v>648</v>
      </c>
      <c r="L56" s="673">
        <v>491</v>
      </c>
      <c r="M56" s="673">
        <v>668</v>
      </c>
      <c r="N56" s="673">
        <v>532</v>
      </c>
      <c r="O56" s="673">
        <v>526</v>
      </c>
      <c r="P56" s="673">
        <v>634</v>
      </c>
      <c r="Q56" s="673">
        <v>644</v>
      </c>
      <c r="R56" s="673">
        <v>634</v>
      </c>
      <c r="S56" s="673">
        <v>832</v>
      </c>
      <c r="T56" s="673">
        <v>1230</v>
      </c>
      <c r="U56" s="673">
        <v>1056</v>
      </c>
      <c r="V56" s="665">
        <v>940</v>
      </c>
      <c r="W56" s="665">
        <v>964</v>
      </c>
      <c r="X56" s="665">
        <v>894</v>
      </c>
      <c r="Y56" s="665">
        <v>1064</v>
      </c>
      <c r="Z56" s="665">
        <v>711</v>
      </c>
      <c r="AA56" s="665">
        <v>1072</v>
      </c>
      <c r="AB56" s="665">
        <v>855</v>
      </c>
      <c r="AC56" s="665">
        <v>827</v>
      </c>
      <c r="AD56" s="665">
        <v>806</v>
      </c>
      <c r="AE56" s="665">
        <v>565</v>
      </c>
      <c r="AF56" s="665">
        <v>472</v>
      </c>
      <c r="AG56" s="665">
        <v>532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0.14647600177780715</v>
      </c>
      <c r="F57" s="680">
        <f t="shared" si="25"/>
        <v>561.36</v>
      </c>
      <c r="G57" s="680">
        <f t="shared" si="26"/>
        <v>445.33333333333331</v>
      </c>
      <c r="H57" s="679">
        <f t="shared" si="27"/>
        <v>557.33333333333337</v>
      </c>
      <c r="I57" s="679">
        <f t="shared" si="28"/>
        <v>564</v>
      </c>
      <c r="J57" s="679">
        <f t="shared" si="29"/>
        <v>590.4</v>
      </c>
      <c r="K57" s="673">
        <v>653</v>
      </c>
      <c r="L57" s="673">
        <v>364</v>
      </c>
      <c r="M57" s="673">
        <v>489</v>
      </c>
      <c r="N57" s="673">
        <v>396</v>
      </c>
      <c r="O57" s="673">
        <v>411</v>
      </c>
      <c r="P57" s="673">
        <v>359</v>
      </c>
      <c r="Q57" s="673">
        <v>454</v>
      </c>
      <c r="R57" s="673">
        <v>643</v>
      </c>
      <c r="S57" s="673">
        <v>456</v>
      </c>
      <c r="T57" s="673">
        <v>666</v>
      </c>
      <c r="U57" s="673">
        <v>546</v>
      </c>
      <c r="V57" s="665">
        <v>579</v>
      </c>
      <c r="W57" s="665">
        <v>482</v>
      </c>
      <c r="X57" s="665">
        <v>520</v>
      </c>
      <c r="Y57" s="665">
        <v>599</v>
      </c>
      <c r="Z57" s="665">
        <v>517</v>
      </c>
      <c r="AA57" s="665">
        <v>631</v>
      </c>
      <c r="AB57" s="665">
        <v>635</v>
      </c>
      <c r="AC57" s="665">
        <v>468</v>
      </c>
      <c r="AD57" s="665">
        <v>717</v>
      </c>
      <c r="AE57" s="665">
        <v>543</v>
      </c>
      <c r="AF57" s="665">
        <v>627</v>
      </c>
      <c r="AG57" s="665">
        <v>597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0.12658724659922929</v>
      </c>
      <c r="F58" s="680">
        <f t="shared" si="25"/>
        <v>526.80000000000007</v>
      </c>
      <c r="G58" s="680">
        <f t="shared" si="26"/>
        <v>531.83333333333337</v>
      </c>
      <c r="H58" s="679">
        <f t="shared" si="27"/>
        <v>639.83333333333337</v>
      </c>
      <c r="I58" s="679">
        <f t="shared" si="28"/>
        <v>501.5</v>
      </c>
      <c r="J58" s="679">
        <f t="shared" si="29"/>
        <v>488</v>
      </c>
      <c r="K58" s="673">
        <v>516</v>
      </c>
      <c r="L58" s="673">
        <v>500</v>
      </c>
      <c r="M58" s="673">
        <v>559</v>
      </c>
      <c r="N58" s="673">
        <v>484</v>
      </c>
      <c r="O58" s="673">
        <v>623</v>
      </c>
      <c r="P58" s="673">
        <v>509</v>
      </c>
      <c r="Q58" s="673">
        <v>564</v>
      </c>
      <c r="R58" s="673">
        <v>667</v>
      </c>
      <c r="S58" s="673">
        <v>576</v>
      </c>
      <c r="T58" s="673">
        <v>760</v>
      </c>
      <c r="U58" s="673">
        <v>654</v>
      </c>
      <c r="V58" s="665">
        <v>618</v>
      </c>
      <c r="W58" s="665">
        <v>600</v>
      </c>
      <c r="X58" s="665">
        <v>630</v>
      </c>
      <c r="Y58" s="665">
        <v>450</v>
      </c>
      <c r="Z58" s="665">
        <v>347</v>
      </c>
      <c r="AA58" s="665">
        <v>497</v>
      </c>
      <c r="AB58" s="665">
        <v>485</v>
      </c>
      <c r="AC58" s="665">
        <v>424</v>
      </c>
      <c r="AD58" s="665">
        <v>591</v>
      </c>
      <c r="AE58" s="665">
        <v>445</v>
      </c>
      <c r="AF58" s="665">
        <v>469</v>
      </c>
      <c r="AG58" s="665">
        <v>511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0.12138807032945201</v>
      </c>
      <c r="F59" s="680">
        <f t="shared" si="25"/>
        <v>505.1633333333333</v>
      </c>
      <c r="G59" s="680">
        <f t="shared" si="26"/>
        <v>441.66666666666669</v>
      </c>
      <c r="H59" s="679">
        <f t="shared" si="27"/>
        <v>615.83333333333337</v>
      </c>
      <c r="I59" s="679">
        <f t="shared" si="28"/>
        <v>501.83333333333331</v>
      </c>
      <c r="J59" s="679">
        <f t="shared" si="29"/>
        <v>468.2</v>
      </c>
      <c r="K59" s="673">
        <v>510</v>
      </c>
      <c r="L59" s="673">
        <v>397</v>
      </c>
      <c r="M59" s="673">
        <v>403</v>
      </c>
      <c r="N59" s="673">
        <v>385</v>
      </c>
      <c r="O59" s="673">
        <v>480</v>
      </c>
      <c r="P59" s="673">
        <v>475</v>
      </c>
      <c r="Q59" s="673">
        <v>557</v>
      </c>
      <c r="R59" s="673">
        <v>670</v>
      </c>
      <c r="S59" s="673">
        <v>516</v>
      </c>
      <c r="T59" s="673">
        <v>663</v>
      </c>
      <c r="U59" s="673">
        <v>681</v>
      </c>
      <c r="V59" s="665">
        <v>608</v>
      </c>
      <c r="W59" s="665">
        <v>490</v>
      </c>
      <c r="X59" s="665">
        <v>539</v>
      </c>
      <c r="Y59" s="665">
        <v>483</v>
      </c>
      <c r="Z59" s="665">
        <v>469</v>
      </c>
      <c r="AA59" s="665">
        <v>529</v>
      </c>
      <c r="AB59" s="665">
        <v>501</v>
      </c>
      <c r="AC59" s="665">
        <v>357</v>
      </c>
      <c r="AD59" s="665">
        <v>551</v>
      </c>
      <c r="AE59" s="665">
        <v>435</v>
      </c>
      <c r="AF59" s="665">
        <v>538</v>
      </c>
      <c r="AG59" s="665">
        <v>460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9.7904069550897227E-2</v>
      </c>
      <c r="F60" s="680">
        <f t="shared" si="25"/>
        <v>407.43333333333339</v>
      </c>
      <c r="G60" s="680">
        <f t="shared" si="26"/>
        <v>414.5</v>
      </c>
      <c r="H60" s="679">
        <f t="shared" si="27"/>
        <v>469.16666666666669</v>
      </c>
      <c r="I60" s="679">
        <f t="shared" si="28"/>
        <v>376.5</v>
      </c>
      <c r="J60" s="679">
        <f t="shared" si="29"/>
        <v>398</v>
      </c>
      <c r="K60" s="673">
        <v>395</v>
      </c>
      <c r="L60" s="673">
        <v>289</v>
      </c>
      <c r="M60" s="673">
        <v>414</v>
      </c>
      <c r="N60" s="673">
        <v>423</v>
      </c>
      <c r="O60" s="673">
        <v>497</v>
      </c>
      <c r="P60" s="673">
        <v>469</v>
      </c>
      <c r="Q60" s="673">
        <v>525</v>
      </c>
      <c r="R60" s="673">
        <v>614</v>
      </c>
      <c r="S60" s="673">
        <v>381</v>
      </c>
      <c r="T60" s="673">
        <v>462</v>
      </c>
      <c r="U60" s="673">
        <v>403</v>
      </c>
      <c r="V60" s="665">
        <v>430</v>
      </c>
      <c r="W60" s="665">
        <v>464</v>
      </c>
      <c r="X60" s="665">
        <v>469</v>
      </c>
      <c r="Y60" s="665">
        <v>351</v>
      </c>
      <c r="Z60" s="665">
        <v>280</v>
      </c>
      <c r="AA60" s="665">
        <v>317</v>
      </c>
      <c r="AB60" s="665">
        <v>378</v>
      </c>
      <c r="AC60" s="665">
        <v>321</v>
      </c>
      <c r="AD60" s="665">
        <v>362</v>
      </c>
      <c r="AE60" s="665">
        <v>369</v>
      </c>
      <c r="AF60" s="665">
        <v>466</v>
      </c>
      <c r="AG60" s="665">
        <v>472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0.14547040490457494</v>
      </c>
      <c r="F61" s="680">
        <f t="shared" si="25"/>
        <v>605.38333333333333</v>
      </c>
      <c r="G61" s="680">
        <f t="shared" si="26"/>
        <v>641.5</v>
      </c>
      <c r="H61" s="679">
        <f t="shared" si="27"/>
        <v>741.16666666666663</v>
      </c>
      <c r="I61" s="679">
        <f t="shared" si="28"/>
        <v>598</v>
      </c>
      <c r="J61" s="679">
        <f t="shared" si="29"/>
        <v>534</v>
      </c>
      <c r="K61" s="673">
        <v>902</v>
      </c>
      <c r="L61" s="673">
        <v>582</v>
      </c>
      <c r="M61" s="673">
        <v>698</v>
      </c>
      <c r="N61" s="673">
        <v>502</v>
      </c>
      <c r="O61" s="673">
        <v>603</v>
      </c>
      <c r="P61" s="673">
        <v>562</v>
      </c>
      <c r="Q61" s="673">
        <v>702</v>
      </c>
      <c r="R61" s="673">
        <v>934</v>
      </c>
      <c r="S61" s="673">
        <v>621</v>
      </c>
      <c r="T61" s="673">
        <v>838</v>
      </c>
      <c r="U61" s="673">
        <v>669</v>
      </c>
      <c r="V61" s="665">
        <v>683</v>
      </c>
      <c r="W61" s="665">
        <v>715</v>
      </c>
      <c r="X61" s="665">
        <v>684</v>
      </c>
      <c r="Y61" s="665">
        <v>696</v>
      </c>
      <c r="Z61" s="665">
        <v>487</v>
      </c>
      <c r="AA61" s="665">
        <v>538</v>
      </c>
      <c r="AB61" s="665">
        <v>468</v>
      </c>
      <c r="AC61" s="665">
        <v>513</v>
      </c>
      <c r="AD61" s="665">
        <v>630</v>
      </c>
      <c r="AE61" s="665">
        <v>420</v>
      </c>
      <c r="AF61" s="665">
        <v>542</v>
      </c>
      <c r="AG61" s="665">
        <v>565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0.14601747583236077</v>
      </c>
      <c r="F62" s="680">
        <f t="shared" si="25"/>
        <v>607.66</v>
      </c>
      <c r="G62" s="680">
        <f t="shared" si="26"/>
        <v>721.16666666666663</v>
      </c>
      <c r="H62" s="679">
        <f t="shared" si="27"/>
        <v>821.16666666666663</v>
      </c>
      <c r="I62" s="679">
        <f t="shared" si="28"/>
        <v>570.5</v>
      </c>
      <c r="J62" s="679">
        <f t="shared" si="29"/>
        <v>500.4</v>
      </c>
      <c r="K62" s="673">
        <v>811</v>
      </c>
      <c r="L62" s="673">
        <v>616</v>
      </c>
      <c r="M62" s="673">
        <v>741</v>
      </c>
      <c r="N62" s="673">
        <v>645</v>
      </c>
      <c r="O62" s="673">
        <v>837</v>
      </c>
      <c r="P62" s="673">
        <v>677</v>
      </c>
      <c r="Q62" s="673">
        <v>876</v>
      </c>
      <c r="R62" s="673">
        <v>924</v>
      </c>
      <c r="S62" s="673">
        <v>675</v>
      </c>
      <c r="T62" s="673">
        <v>910</v>
      </c>
      <c r="U62" s="673">
        <v>785</v>
      </c>
      <c r="V62" s="665">
        <v>757</v>
      </c>
      <c r="W62" s="665">
        <v>727</v>
      </c>
      <c r="X62" s="665">
        <v>623</v>
      </c>
      <c r="Y62" s="665">
        <v>522</v>
      </c>
      <c r="Z62" s="665">
        <v>465</v>
      </c>
      <c r="AA62" s="665">
        <v>559</v>
      </c>
      <c r="AB62" s="665">
        <v>527</v>
      </c>
      <c r="AC62" s="665">
        <v>429</v>
      </c>
      <c r="AD62" s="665">
        <v>583</v>
      </c>
      <c r="AE62" s="665">
        <v>447</v>
      </c>
      <c r="AF62" s="665">
        <v>497</v>
      </c>
      <c r="AG62" s="665">
        <v>546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8.9762885202412226E-2</v>
      </c>
      <c r="F63" s="680">
        <f t="shared" si="25"/>
        <v>373.55333333333334</v>
      </c>
      <c r="G63" s="680">
        <f t="shared" si="26"/>
        <v>494</v>
      </c>
      <c r="H63" s="679">
        <f t="shared" si="27"/>
        <v>446.66666666666669</v>
      </c>
      <c r="I63" s="679">
        <f t="shared" si="28"/>
        <v>347</v>
      </c>
      <c r="J63" s="679">
        <f t="shared" si="29"/>
        <v>326.8</v>
      </c>
      <c r="K63" s="673">
        <v>610</v>
      </c>
      <c r="L63" s="673">
        <v>436</v>
      </c>
      <c r="M63" s="673">
        <v>540</v>
      </c>
      <c r="N63" s="673">
        <v>505</v>
      </c>
      <c r="O63" s="673">
        <v>491</v>
      </c>
      <c r="P63" s="673">
        <v>382</v>
      </c>
      <c r="Q63" s="673">
        <v>478</v>
      </c>
      <c r="R63" s="673">
        <v>562</v>
      </c>
      <c r="S63" s="673">
        <v>343</v>
      </c>
      <c r="T63" s="673">
        <v>433</v>
      </c>
      <c r="U63" s="673">
        <v>495</v>
      </c>
      <c r="V63" s="665">
        <v>369</v>
      </c>
      <c r="W63" s="665">
        <v>455</v>
      </c>
      <c r="X63" s="665">
        <v>420</v>
      </c>
      <c r="Y63" s="665">
        <v>342</v>
      </c>
      <c r="Z63" s="665">
        <v>258</v>
      </c>
      <c r="AA63" s="665">
        <v>294</v>
      </c>
      <c r="AB63" s="665">
        <v>313</v>
      </c>
      <c r="AC63" s="665">
        <v>250</v>
      </c>
      <c r="AD63" s="665">
        <v>408</v>
      </c>
      <c r="AE63" s="665">
        <v>316</v>
      </c>
      <c r="AF63" s="665">
        <v>319</v>
      </c>
      <c r="AG63" s="665">
        <v>341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8.7849338428648893E-2</v>
      </c>
      <c r="F64" s="680">
        <f t="shared" si="25"/>
        <v>365.59000000000003</v>
      </c>
      <c r="G64" s="680">
        <f t="shared" si="26"/>
        <v>339.66666666666669</v>
      </c>
      <c r="H64" s="679">
        <f t="shared" si="27"/>
        <v>457.66666666666669</v>
      </c>
      <c r="I64" s="679">
        <f t="shared" si="28"/>
        <v>366.16666666666669</v>
      </c>
      <c r="J64" s="679">
        <f t="shared" si="29"/>
        <v>325.60000000000002</v>
      </c>
      <c r="K64" s="673">
        <v>361</v>
      </c>
      <c r="L64" s="673">
        <v>304</v>
      </c>
      <c r="M64" s="673">
        <v>304</v>
      </c>
      <c r="N64" s="673">
        <v>356</v>
      </c>
      <c r="O64" s="673">
        <v>394</v>
      </c>
      <c r="P64" s="673">
        <v>319</v>
      </c>
      <c r="Q64" s="673">
        <v>345</v>
      </c>
      <c r="R64" s="673">
        <v>459</v>
      </c>
      <c r="S64" s="673">
        <v>336</v>
      </c>
      <c r="T64" s="673">
        <v>561</v>
      </c>
      <c r="U64" s="673">
        <v>556</v>
      </c>
      <c r="V64" s="665">
        <v>489</v>
      </c>
      <c r="W64" s="665">
        <v>423</v>
      </c>
      <c r="X64" s="665">
        <v>359</v>
      </c>
      <c r="Y64" s="665">
        <v>295</v>
      </c>
      <c r="Z64" s="665">
        <v>331</v>
      </c>
      <c r="AA64" s="665">
        <v>393</v>
      </c>
      <c r="AB64" s="665">
        <v>396</v>
      </c>
      <c r="AC64" s="665">
        <v>319</v>
      </c>
      <c r="AD64" s="665">
        <v>369</v>
      </c>
      <c r="AE64" s="665">
        <v>311</v>
      </c>
      <c r="AF64" s="665">
        <v>281</v>
      </c>
      <c r="AG64" s="665">
        <v>348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9.336970861064009E-2</v>
      </c>
      <c r="F65" s="680">
        <f t="shared" si="25"/>
        <v>388.56333333333339</v>
      </c>
      <c r="G65" s="680">
        <f t="shared" si="26"/>
        <v>494</v>
      </c>
      <c r="H65" s="679">
        <f t="shared" si="27"/>
        <v>460.66666666666669</v>
      </c>
      <c r="I65" s="679">
        <f t="shared" si="28"/>
        <v>377.83333333333331</v>
      </c>
      <c r="J65" s="679">
        <f t="shared" si="29"/>
        <v>334.2</v>
      </c>
      <c r="K65" s="673">
        <v>589</v>
      </c>
      <c r="L65" s="673">
        <v>508</v>
      </c>
      <c r="M65" s="673">
        <v>444</v>
      </c>
      <c r="N65" s="673">
        <v>491</v>
      </c>
      <c r="O65" s="673">
        <v>538</v>
      </c>
      <c r="P65" s="673">
        <v>394</v>
      </c>
      <c r="Q65" s="673">
        <v>533</v>
      </c>
      <c r="R65" s="673">
        <v>525</v>
      </c>
      <c r="S65" s="673">
        <v>401</v>
      </c>
      <c r="T65" s="673">
        <v>458</v>
      </c>
      <c r="U65" s="673">
        <v>436</v>
      </c>
      <c r="V65" s="665">
        <v>411</v>
      </c>
      <c r="W65" s="665">
        <v>477</v>
      </c>
      <c r="X65" s="665">
        <v>440</v>
      </c>
      <c r="Y65" s="665">
        <v>383</v>
      </c>
      <c r="Z65" s="665">
        <v>253</v>
      </c>
      <c r="AA65" s="665">
        <v>366</v>
      </c>
      <c r="AB65" s="665">
        <v>348</v>
      </c>
      <c r="AC65" s="665">
        <v>305</v>
      </c>
      <c r="AD65" s="665">
        <v>387</v>
      </c>
      <c r="AE65" s="665">
        <v>260</v>
      </c>
      <c r="AF65" s="665">
        <v>348</v>
      </c>
      <c r="AG65" s="665">
        <v>371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9.1650800541784427E-2</v>
      </c>
      <c r="F66" s="680">
        <f t="shared" si="25"/>
        <v>381.40999999999997</v>
      </c>
      <c r="G66" s="680">
        <f t="shared" si="26"/>
        <v>483.5</v>
      </c>
      <c r="H66" s="679">
        <f t="shared" si="27"/>
        <v>427.5</v>
      </c>
      <c r="I66" s="679">
        <f t="shared" si="28"/>
        <v>322</v>
      </c>
      <c r="J66" s="679">
        <f t="shared" si="29"/>
        <v>377.4</v>
      </c>
      <c r="K66" s="673">
        <v>566</v>
      </c>
      <c r="L66" s="673">
        <v>437</v>
      </c>
      <c r="M66" s="673">
        <v>577</v>
      </c>
      <c r="N66" s="673">
        <v>455</v>
      </c>
      <c r="O66" s="673">
        <v>452</v>
      </c>
      <c r="P66" s="673">
        <v>414</v>
      </c>
      <c r="Q66" s="673">
        <v>487</v>
      </c>
      <c r="R66" s="673">
        <v>500</v>
      </c>
      <c r="S66" s="673">
        <v>331</v>
      </c>
      <c r="T66" s="673">
        <v>452</v>
      </c>
      <c r="U66" s="673">
        <v>453</v>
      </c>
      <c r="V66" s="665">
        <v>342</v>
      </c>
      <c r="W66" s="665">
        <v>350</v>
      </c>
      <c r="X66" s="665">
        <v>364</v>
      </c>
      <c r="Y66" s="665">
        <v>353</v>
      </c>
      <c r="Z66" s="665">
        <v>256</v>
      </c>
      <c r="AA66" s="665">
        <v>298</v>
      </c>
      <c r="AB66" s="665">
        <v>311</v>
      </c>
      <c r="AC66" s="665">
        <v>299</v>
      </c>
      <c r="AD66" s="665">
        <v>427</v>
      </c>
      <c r="AE66" s="665">
        <v>378</v>
      </c>
      <c r="AF66" s="665">
        <v>372</v>
      </c>
      <c r="AG66" s="665">
        <v>411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0.17621065539852787</v>
      </c>
      <c r="F67" s="680">
        <f t="shared" si="25"/>
        <v>583.40000000000009</v>
      </c>
      <c r="G67" s="680">
        <f t="shared" si="26"/>
        <v>636.16666666666663</v>
      </c>
      <c r="H67" s="679">
        <f t="shared" si="27"/>
        <v>647.16666666666663</v>
      </c>
      <c r="I67" s="679">
        <f t="shared" si="28"/>
        <v>598.5</v>
      </c>
      <c r="J67" s="679">
        <f t="shared" si="29"/>
        <v>527</v>
      </c>
      <c r="K67" s="673">
        <v>724</v>
      </c>
      <c r="L67" s="673">
        <v>668</v>
      </c>
      <c r="M67" s="673">
        <v>768</v>
      </c>
      <c r="N67" s="673">
        <v>574</v>
      </c>
      <c r="O67" s="673">
        <v>570</v>
      </c>
      <c r="P67" s="673">
        <v>513</v>
      </c>
      <c r="Q67" s="673">
        <v>811</v>
      </c>
      <c r="R67" s="673">
        <v>717</v>
      </c>
      <c r="S67" s="673">
        <v>506</v>
      </c>
      <c r="T67" s="673">
        <v>614</v>
      </c>
      <c r="U67" s="673">
        <v>636</v>
      </c>
      <c r="V67" s="665">
        <v>599</v>
      </c>
      <c r="W67" s="665">
        <v>623</v>
      </c>
      <c r="X67" s="665">
        <v>599</v>
      </c>
      <c r="Y67" s="665">
        <v>598</v>
      </c>
      <c r="Z67" s="665">
        <v>554</v>
      </c>
      <c r="AA67" s="665">
        <v>675</v>
      </c>
      <c r="AB67" s="665">
        <v>542</v>
      </c>
      <c r="AC67" s="665">
        <v>399</v>
      </c>
      <c r="AD67" s="665">
        <v>754</v>
      </c>
      <c r="AE67" s="665">
        <v>454</v>
      </c>
      <c r="AF67" s="665">
        <v>510</v>
      </c>
      <c r="AG67" s="665">
        <v>518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0.18869098498554732</v>
      </c>
      <c r="F68" s="680">
        <f t="shared" si="25"/>
        <v>624.72</v>
      </c>
      <c r="G68" s="680">
        <f t="shared" si="26"/>
        <v>829.33333333333337</v>
      </c>
      <c r="H68" s="679">
        <f t="shared" si="27"/>
        <v>763.83333333333337</v>
      </c>
      <c r="I68" s="679">
        <f t="shared" si="28"/>
        <v>542.33333333333337</v>
      </c>
      <c r="J68" s="679">
        <f t="shared" si="29"/>
        <v>565.79999999999995</v>
      </c>
      <c r="K68" s="673">
        <v>1035</v>
      </c>
      <c r="L68" s="673">
        <v>835</v>
      </c>
      <c r="M68" s="673">
        <v>953</v>
      </c>
      <c r="N68" s="673">
        <v>795</v>
      </c>
      <c r="O68" s="673">
        <v>730</v>
      </c>
      <c r="P68" s="673">
        <v>628</v>
      </c>
      <c r="Q68" s="673">
        <v>830</v>
      </c>
      <c r="R68" s="673">
        <v>965</v>
      </c>
      <c r="S68" s="673">
        <v>673</v>
      </c>
      <c r="T68" s="673">
        <v>699</v>
      </c>
      <c r="U68" s="673">
        <v>642</v>
      </c>
      <c r="V68" s="665">
        <v>774</v>
      </c>
      <c r="W68" s="665">
        <v>779</v>
      </c>
      <c r="X68" s="665">
        <v>570</v>
      </c>
      <c r="Y68" s="665">
        <v>452</v>
      </c>
      <c r="Z68" s="665">
        <v>484</v>
      </c>
      <c r="AA68" s="665">
        <v>538</v>
      </c>
      <c r="AB68" s="665">
        <v>431</v>
      </c>
      <c r="AC68" s="665">
        <v>362</v>
      </c>
      <c r="AD68" s="665">
        <v>696</v>
      </c>
      <c r="AE68" s="665">
        <v>381</v>
      </c>
      <c r="AF68" s="665">
        <v>700</v>
      </c>
      <c r="AG68" s="665">
        <v>690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0.14316939560611047</v>
      </c>
      <c r="F69" s="680">
        <f t="shared" si="25"/>
        <v>474.00666666666666</v>
      </c>
      <c r="G69" s="680">
        <f t="shared" si="26"/>
        <v>471.5</v>
      </c>
      <c r="H69" s="679">
        <f t="shared" si="27"/>
        <v>495.83333333333331</v>
      </c>
      <c r="I69" s="679">
        <f t="shared" si="28"/>
        <v>504.83333333333331</v>
      </c>
      <c r="J69" s="679">
        <f t="shared" si="29"/>
        <v>440.6</v>
      </c>
      <c r="K69" s="673">
        <v>641</v>
      </c>
      <c r="L69" s="673">
        <v>535</v>
      </c>
      <c r="M69" s="673">
        <v>549</v>
      </c>
      <c r="N69" s="673">
        <v>390</v>
      </c>
      <c r="O69" s="673">
        <v>355</v>
      </c>
      <c r="P69" s="673">
        <v>359</v>
      </c>
      <c r="Q69" s="673">
        <v>476</v>
      </c>
      <c r="R69" s="673">
        <v>608</v>
      </c>
      <c r="S69" s="673">
        <v>424</v>
      </c>
      <c r="T69" s="673">
        <v>467</v>
      </c>
      <c r="U69" s="673">
        <v>515</v>
      </c>
      <c r="V69" s="665">
        <v>485</v>
      </c>
      <c r="W69" s="665">
        <v>550</v>
      </c>
      <c r="X69" s="665">
        <v>403</v>
      </c>
      <c r="Y69" s="665">
        <v>519</v>
      </c>
      <c r="Z69" s="665">
        <v>393</v>
      </c>
      <c r="AA69" s="665">
        <v>601</v>
      </c>
      <c r="AB69" s="665">
        <v>563</v>
      </c>
      <c r="AC69" s="665">
        <v>324</v>
      </c>
      <c r="AD69" s="665">
        <v>494</v>
      </c>
      <c r="AE69" s="665">
        <v>462</v>
      </c>
      <c r="AF69" s="665">
        <v>488</v>
      </c>
      <c r="AG69" s="665">
        <v>435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0.14267404854602547</v>
      </c>
      <c r="F70" s="680">
        <f t="shared" si="25"/>
        <v>472.36666666666667</v>
      </c>
      <c r="G70" s="680">
        <f t="shared" si="26"/>
        <v>622.5</v>
      </c>
      <c r="H70" s="679">
        <f t="shared" si="27"/>
        <v>518.33333333333337</v>
      </c>
      <c r="I70" s="679">
        <f t="shared" si="28"/>
        <v>481.5</v>
      </c>
      <c r="J70" s="679">
        <f t="shared" si="29"/>
        <v>405</v>
      </c>
      <c r="K70" s="673">
        <v>806</v>
      </c>
      <c r="L70" s="673">
        <v>656</v>
      </c>
      <c r="M70" s="673">
        <v>720</v>
      </c>
      <c r="N70" s="673">
        <v>556</v>
      </c>
      <c r="O70" s="673">
        <v>537</v>
      </c>
      <c r="P70" s="673">
        <v>460</v>
      </c>
      <c r="Q70" s="673">
        <v>505</v>
      </c>
      <c r="R70" s="673">
        <v>670</v>
      </c>
      <c r="S70" s="673">
        <v>472</v>
      </c>
      <c r="T70" s="673">
        <v>539</v>
      </c>
      <c r="U70" s="673">
        <v>434</v>
      </c>
      <c r="V70" s="665">
        <v>490</v>
      </c>
      <c r="W70" s="665">
        <v>513</v>
      </c>
      <c r="X70" s="665">
        <v>444</v>
      </c>
      <c r="Y70" s="665">
        <v>425</v>
      </c>
      <c r="Z70" s="665">
        <v>481</v>
      </c>
      <c r="AA70" s="665">
        <v>572</v>
      </c>
      <c r="AB70" s="665">
        <v>454</v>
      </c>
      <c r="AC70" s="665">
        <v>344</v>
      </c>
      <c r="AD70" s="665">
        <v>496</v>
      </c>
      <c r="AE70" s="665">
        <v>344</v>
      </c>
      <c r="AF70" s="665">
        <v>399</v>
      </c>
      <c r="AG70" s="665">
        <v>442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0.17340670913361583</v>
      </c>
      <c r="F71" s="680">
        <f t="shared" si="25"/>
        <v>574.11666666666667</v>
      </c>
      <c r="G71" s="680">
        <f t="shared" si="26"/>
        <v>550.66666666666663</v>
      </c>
      <c r="H71" s="679">
        <f t="shared" si="27"/>
        <v>705</v>
      </c>
      <c r="I71" s="679">
        <f t="shared" si="28"/>
        <v>590.83333333333337</v>
      </c>
      <c r="J71" s="679">
        <f t="shared" si="29"/>
        <v>502</v>
      </c>
      <c r="K71" s="673">
        <v>556</v>
      </c>
      <c r="L71" s="673">
        <v>523</v>
      </c>
      <c r="M71" s="673">
        <v>657</v>
      </c>
      <c r="N71" s="673">
        <v>537</v>
      </c>
      <c r="O71" s="673">
        <v>547</v>
      </c>
      <c r="P71" s="673">
        <v>484</v>
      </c>
      <c r="Q71" s="673">
        <v>654</v>
      </c>
      <c r="R71" s="673">
        <v>782</v>
      </c>
      <c r="S71" s="673">
        <v>667</v>
      </c>
      <c r="T71" s="673">
        <v>764</v>
      </c>
      <c r="U71" s="673">
        <v>785</v>
      </c>
      <c r="V71" s="665">
        <v>578</v>
      </c>
      <c r="W71" s="665">
        <v>585</v>
      </c>
      <c r="X71" s="665">
        <v>547</v>
      </c>
      <c r="Y71" s="665">
        <v>597</v>
      </c>
      <c r="Z71" s="665">
        <v>575</v>
      </c>
      <c r="AA71" s="665">
        <v>692</v>
      </c>
      <c r="AB71" s="665">
        <v>549</v>
      </c>
      <c r="AC71" s="665">
        <v>373</v>
      </c>
      <c r="AD71" s="665">
        <v>617</v>
      </c>
      <c r="AE71" s="665">
        <v>477</v>
      </c>
      <c r="AF71" s="665">
        <v>476</v>
      </c>
      <c r="AG71" s="665">
        <v>567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0.17584820633017298</v>
      </c>
      <c r="F72" s="680">
        <f t="shared" si="25"/>
        <v>582.20000000000005</v>
      </c>
      <c r="G72" s="680">
        <f t="shared" si="26"/>
        <v>629.5</v>
      </c>
      <c r="H72" s="679">
        <f t="shared" si="27"/>
        <v>686</v>
      </c>
      <c r="I72" s="679">
        <f t="shared" si="28"/>
        <v>578.83333333333337</v>
      </c>
      <c r="J72" s="679">
        <f t="shared" si="29"/>
        <v>521</v>
      </c>
      <c r="K72" s="673">
        <v>745</v>
      </c>
      <c r="L72" s="673">
        <v>613</v>
      </c>
      <c r="M72" s="673">
        <v>758</v>
      </c>
      <c r="N72" s="673">
        <v>565</v>
      </c>
      <c r="O72" s="673">
        <v>603</v>
      </c>
      <c r="P72" s="673">
        <v>493</v>
      </c>
      <c r="Q72" s="673">
        <v>641</v>
      </c>
      <c r="R72" s="673">
        <v>851</v>
      </c>
      <c r="S72" s="673">
        <v>667</v>
      </c>
      <c r="T72" s="673">
        <v>640</v>
      </c>
      <c r="U72" s="673">
        <v>674</v>
      </c>
      <c r="V72" s="665">
        <v>643</v>
      </c>
      <c r="W72" s="665">
        <v>620</v>
      </c>
      <c r="X72" s="665">
        <v>594</v>
      </c>
      <c r="Y72" s="665">
        <v>586</v>
      </c>
      <c r="Z72" s="665">
        <v>520</v>
      </c>
      <c r="AA72" s="665">
        <v>651</v>
      </c>
      <c r="AB72" s="665">
        <v>502</v>
      </c>
      <c r="AC72" s="665">
        <v>442</v>
      </c>
      <c r="AD72" s="665">
        <v>684</v>
      </c>
      <c r="AE72" s="665">
        <v>425</v>
      </c>
      <c r="AF72" s="665">
        <v>491</v>
      </c>
      <c r="AG72" s="665">
        <v>563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6.6534019637527572E-2</v>
      </c>
      <c r="F73" s="680">
        <f t="shared" si="25"/>
        <v>256.36666666666667</v>
      </c>
      <c r="G73" s="680">
        <f t="shared" si="26"/>
        <v>299.83333333333331</v>
      </c>
      <c r="H73" s="679">
        <f t="shared" si="27"/>
        <v>341.16666666666669</v>
      </c>
      <c r="I73" s="679">
        <f t="shared" si="28"/>
        <v>243.16666666666666</v>
      </c>
      <c r="J73" s="679">
        <f t="shared" si="29"/>
        <v>213</v>
      </c>
      <c r="K73" s="673">
        <v>290</v>
      </c>
      <c r="L73" s="673">
        <v>259</v>
      </c>
      <c r="M73" s="673">
        <v>283</v>
      </c>
      <c r="N73" s="673">
        <v>255</v>
      </c>
      <c r="O73" s="673">
        <v>367</v>
      </c>
      <c r="P73" s="673">
        <v>345</v>
      </c>
      <c r="Q73" s="673">
        <v>422</v>
      </c>
      <c r="R73" s="673">
        <v>386</v>
      </c>
      <c r="S73" s="673">
        <v>286</v>
      </c>
      <c r="T73" s="673">
        <v>339</v>
      </c>
      <c r="U73" s="673">
        <v>343</v>
      </c>
      <c r="V73" s="665">
        <v>271</v>
      </c>
      <c r="W73" s="665">
        <v>275</v>
      </c>
      <c r="X73" s="665">
        <v>245</v>
      </c>
      <c r="Y73" s="665">
        <v>264</v>
      </c>
      <c r="Z73" s="665">
        <v>243</v>
      </c>
      <c r="AA73" s="665">
        <v>242</v>
      </c>
      <c r="AB73" s="665">
        <v>190</v>
      </c>
      <c r="AC73" s="665">
        <v>180</v>
      </c>
      <c r="AD73" s="665">
        <v>241</v>
      </c>
      <c r="AE73" s="665">
        <v>217</v>
      </c>
      <c r="AF73" s="665">
        <v>204</v>
      </c>
      <c r="AG73" s="665">
        <v>223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0.15641247458800123</v>
      </c>
      <c r="F74" s="680">
        <f t="shared" si="25"/>
        <v>602.68333333333339</v>
      </c>
      <c r="G74" s="680">
        <f t="shared" si="26"/>
        <v>708</v>
      </c>
      <c r="H74" s="679">
        <f t="shared" si="27"/>
        <v>729.66666666666663</v>
      </c>
      <c r="I74" s="679">
        <f t="shared" si="28"/>
        <v>579.83333333333337</v>
      </c>
      <c r="J74" s="679">
        <f t="shared" si="29"/>
        <v>530</v>
      </c>
      <c r="K74" s="673">
        <v>697</v>
      </c>
      <c r="L74" s="673">
        <v>679</v>
      </c>
      <c r="M74" s="673">
        <v>842</v>
      </c>
      <c r="N74" s="673">
        <v>685</v>
      </c>
      <c r="O74" s="673">
        <v>736</v>
      </c>
      <c r="P74" s="673">
        <v>609</v>
      </c>
      <c r="Q74" s="673">
        <v>762</v>
      </c>
      <c r="R74" s="673">
        <v>807</v>
      </c>
      <c r="S74" s="673">
        <v>636</v>
      </c>
      <c r="T74" s="673">
        <v>775</v>
      </c>
      <c r="U74" s="673">
        <v>727</v>
      </c>
      <c r="V74" s="665">
        <v>671</v>
      </c>
      <c r="W74" s="665">
        <v>640</v>
      </c>
      <c r="X74" s="665">
        <v>626</v>
      </c>
      <c r="Y74" s="665">
        <v>595</v>
      </c>
      <c r="Z74" s="665">
        <v>525</v>
      </c>
      <c r="AA74" s="665">
        <v>637</v>
      </c>
      <c r="AB74" s="665">
        <v>456</v>
      </c>
      <c r="AC74" s="665">
        <v>404</v>
      </c>
      <c r="AD74" s="665">
        <v>679</v>
      </c>
      <c r="AE74" s="665">
        <v>397</v>
      </c>
      <c r="AF74" s="665">
        <v>565</v>
      </c>
      <c r="AG74" s="665">
        <v>605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0.12969765128249491</v>
      </c>
      <c r="F75" s="680">
        <f t="shared" si="25"/>
        <v>499.74666666666667</v>
      </c>
      <c r="G75" s="680">
        <f t="shared" si="26"/>
        <v>630.33333333333337</v>
      </c>
      <c r="H75" s="679">
        <f t="shared" si="27"/>
        <v>606.66666666666663</v>
      </c>
      <c r="I75" s="679">
        <f t="shared" si="28"/>
        <v>413.66666666666669</v>
      </c>
      <c r="J75" s="679">
        <f t="shared" si="29"/>
        <v>478.2</v>
      </c>
      <c r="K75" s="673">
        <v>606</v>
      </c>
      <c r="L75" s="673">
        <v>637</v>
      </c>
      <c r="M75" s="673">
        <v>642</v>
      </c>
      <c r="N75" s="673">
        <v>589</v>
      </c>
      <c r="O75" s="673">
        <v>662</v>
      </c>
      <c r="P75" s="673">
        <v>646</v>
      </c>
      <c r="Q75" s="673">
        <v>712</v>
      </c>
      <c r="R75" s="673">
        <v>771</v>
      </c>
      <c r="S75" s="673">
        <v>608</v>
      </c>
      <c r="T75" s="673">
        <v>526</v>
      </c>
      <c r="U75" s="673">
        <v>517</v>
      </c>
      <c r="V75" s="665">
        <v>506</v>
      </c>
      <c r="W75" s="665">
        <v>438</v>
      </c>
      <c r="X75" s="665">
        <v>470</v>
      </c>
      <c r="Y75" s="665">
        <v>407</v>
      </c>
      <c r="Z75" s="665">
        <v>379</v>
      </c>
      <c r="AA75" s="665">
        <v>415</v>
      </c>
      <c r="AB75" s="665">
        <v>373</v>
      </c>
      <c r="AC75" s="665">
        <v>428</v>
      </c>
      <c r="AD75" s="665">
        <v>532</v>
      </c>
      <c r="AE75" s="665">
        <v>341</v>
      </c>
      <c r="AF75" s="665">
        <v>516</v>
      </c>
      <c r="AG75" s="665">
        <v>574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0.14684112634629526</v>
      </c>
      <c r="F76" s="680">
        <f t="shared" si="25"/>
        <v>565.8033333333334</v>
      </c>
      <c r="G76" s="680">
        <f t="shared" si="26"/>
        <v>633.83333333333337</v>
      </c>
      <c r="H76" s="679">
        <f t="shared" si="27"/>
        <v>645.5</v>
      </c>
      <c r="I76" s="679">
        <f t="shared" si="28"/>
        <v>528.66666666666663</v>
      </c>
      <c r="J76" s="679">
        <f t="shared" si="29"/>
        <v>536.79999999999995</v>
      </c>
      <c r="K76" s="673">
        <v>652</v>
      </c>
      <c r="L76" s="673">
        <v>524</v>
      </c>
      <c r="M76" s="673">
        <v>714</v>
      </c>
      <c r="N76" s="673">
        <v>653</v>
      </c>
      <c r="O76" s="673">
        <v>696</v>
      </c>
      <c r="P76" s="673">
        <v>564</v>
      </c>
      <c r="Q76" s="673">
        <v>676</v>
      </c>
      <c r="R76" s="673">
        <v>821</v>
      </c>
      <c r="S76" s="673">
        <v>528</v>
      </c>
      <c r="T76" s="673">
        <v>678</v>
      </c>
      <c r="U76" s="673">
        <v>633</v>
      </c>
      <c r="V76" s="665">
        <v>537</v>
      </c>
      <c r="W76" s="665">
        <v>558</v>
      </c>
      <c r="X76" s="665">
        <v>602</v>
      </c>
      <c r="Y76" s="665">
        <v>531</v>
      </c>
      <c r="Z76" s="665">
        <v>410</v>
      </c>
      <c r="AA76" s="665">
        <v>532</v>
      </c>
      <c r="AB76" s="665">
        <v>539</v>
      </c>
      <c r="AC76" s="665">
        <v>537</v>
      </c>
      <c r="AD76" s="665">
        <v>632</v>
      </c>
      <c r="AE76" s="665">
        <v>383</v>
      </c>
      <c r="AF76" s="665">
        <v>505</v>
      </c>
      <c r="AG76" s="665">
        <v>627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0.20873740213677058</v>
      </c>
      <c r="F77" s="680">
        <f t="shared" si="25"/>
        <v>804.3</v>
      </c>
      <c r="G77" s="680">
        <f t="shared" si="26"/>
        <v>854.66666666666663</v>
      </c>
      <c r="H77" s="679">
        <f t="shared" si="27"/>
        <v>937.16666666666663</v>
      </c>
      <c r="I77" s="679">
        <f t="shared" si="28"/>
        <v>794</v>
      </c>
      <c r="J77" s="679">
        <f t="shared" si="29"/>
        <v>733</v>
      </c>
      <c r="K77" s="673">
        <v>1042</v>
      </c>
      <c r="L77" s="673">
        <v>773</v>
      </c>
      <c r="M77" s="673">
        <v>1011</v>
      </c>
      <c r="N77" s="673">
        <v>776</v>
      </c>
      <c r="O77" s="673">
        <v>809</v>
      </c>
      <c r="P77" s="673">
        <v>717</v>
      </c>
      <c r="Q77" s="673">
        <v>861</v>
      </c>
      <c r="R77" s="673">
        <v>1143</v>
      </c>
      <c r="S77" s="673">
        <v>773</v>
      </c>
      <c r="T77" s="673">
        <v>913</v>
      </c>
      <c r="U77" s="673">
        <v>951</v>
      </c>
      <c r="V77" s="665">
        <v>982</v>
      </c>
      <c r="W77" s="665">
        <v>868</v>
      </c>
      <c r="X77" s="665">
        <v>853</v>
      </c>
      <c r="Y77" s="665">
        <v>781</v>
      </c>
      <c r="Z77" s="665">
        <v>673</v>
      </c>
      <c r="AA77" s="665">
        <v>940</v>
      </c>
      <c r="AB77" s="665">
        <v>649</v>
      </c>
      <c r="AC77" s="665">
        <v>559</v>
      </c>
      <c r="AD77" s="665">
        <v>862</v>
      </c>
      <c r="AE77" s="665">
        <v>567</v>
      </c>
      <c r="AF77" s="665">
        <v>839</v>
      </c>
      <c r="AG77" s="665">
        <v>838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0.17823608287555689</v>
      </c>
      <c r="F78" s="680">
        <f t="shared" si="25"/>
        <v>686.77333333333331</v>
      </c>
      <c r="G78" s="680">
        <f t="shared" si="26"/>
        <v>874.5</v>
      </c>
      <c r="H78" s="679">
        <f t="shared" si="27"/>
        <v>862.16666666666663</v>
      </c>
      <c r="I78" s="679">
        <f t="shared" si="28"/>
        <v>651.5</v>
      </c>
      <c r="J78" s="679">
        <f t="shared" si="29"/>
        <v>578.6</v>
      </c>
      <c r="K78" s="673">
        <v>962</v>
      </c>
      <c r="L78" s="673">
        <v>818</v>
      </c>
      <c r="M78" s="673">
        <v>963</v>
      </c>
      <c r="N78" s="673">
        <v>874</v>
      </c>
      <c r="O78" s="673">
        <v>936</v>
      </c>
      <c r="P78" s="673">
        <v>694</v>
      </c>
      <c r="Q78" s="673">
        <v>863</v>
      </c>
      <c r="R78" s="673">
        <v>1038</v>
      </c>
      <c r="S78" s="673">
        <v>861</v>
      </c>
      <c r="T78" s="673">
        <v>832</v>
      </c>
      <c r="U78" s="673">
        <v>844</v>
      </c>
      <c r="V78" s="665">
        <v>735</v>
      </c>
      <c r="W78" s="665">
        <v>784</v>
      </c>
      <c r="X78" s="665">
        <v>718</v>
      </c>
      <c r="Y78" s="665">
        <v>667</v>
      </c>
      <c r="Z78" s="665">
        <v>548</v>
      </c>
      <c r="AA78" s="665">
        <v>713</v>
      </c>
      <c r="AB78" s="665">
        <v>479</v>
      </c>
      <c r="AC78" s="665">
        <v>450</v>
      </c>
      <c r="AD78" s="665">
        <v>681</v>
      </c>
      <c r="AE78" s="665">
        <v>467</v>
      </c>
      <c r="AF78" s="665">
        <v>654</v>
      </c>
      <c r="AG78" s="665">
        <v>641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0.11354124313335351</v>
      </c>
      <c r="F79" s="680">
        <f t="shared" si="25"/>
        <v>437.49333333333334</v>
      </c>
      <c r="G79" s="680">
        <f t="shared" si="26"/>
        <v>557.5</v>
      </c>
      <c r="H79" s="679">
        <f t="shared" si="27"/>
        <v>568.16666666666663</v>
      </c>
      <c r="I79" s="679">
        <f t="shared" si="28"/>
        <v>443.83333333333331</v>
      </c>
      <c r="J79" s="679">
        <f t="shared" si="29"/>
        <v>337.4</v>
      </c>
      <c r="K79" s="673">
        <v>555</v>
      </c>
      <c r="L79" s="673">
        <v>489</v>
      </c>
      <c r="M79" s="673">
        <v>567</v>
      </c>
      <c r="N79" s="673">
        <v>611</v>
      </c>
      <c r="O79" s="673">
        <v>599</v>
      </c>
      <c r="P79" s="673">
        <v>524</v>
      </c>
      <c r="Q79" s="673">
        <v>601</v>
      </c>
      <c r="R79" s="673">
        <v>746</v>
      </c>
      <c r="S79" s="673">
        <v>440</v>
      </c>
      <c r="T79" s="673">
        <v>568</v>
      </c>
      <c r="U79" s="673">
        <v>559</v>
      </c>
      <c r="V79" s="665">
        <v>495</v>
      </c>
      <c r="W79" s="665">
        <v>438</v>
      </c>
      <c r="X79" s="665">
        <v>479</v>
      </c>
      <c r="Y79" s="665">
        <v>465</v>
      </c>
      <c r="Z79" s="665">
        <v>409</v>
      </c>
      <c r="AA79" s="665">
        <v>498</v>
      </c>
      <c r="AB79" s="665">
        <v>374</v>
      </c>
      <c r="AC79" s="665">
        <v>303</v>
      </c>
      <c r="AD79" s="665">
        <v>342</v>
      </c>
      <c r="AE79" s="665">
        <v>334</v>
      </c>
      <c r="AF79" s="665">
        <v>355</v>
      </c>
      <c r="AG79" s="665">
        <v>353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0.10553465372553829</v>
      </c>
      <c r="F80" s="680">
        <f t="shared" si="25"/>
        <v>321.27</v>
      </c>
      <c r="G80" s="680">
        <f t="shared" si="26"/>
        <v>383.16666666666669</v>
      </c>
      <c r="H80" s="679">
        <f t="shared" si="27"/>
        <v>419.66666666666669</v>
      </c>
      <c r="I80" s="679">
        <f t="shared" si="28"/>
        <v>306.33333333333331</v>
      </c>
      <c r="J80" s="679">
        <f t="shared" si="29"/>
        <v>267.8</v>
      </c>
      <c r="K80" s="673">
        <v>425</v>
      </c>
      <c r="L80" s="673">
        <v>362</v>
      </c>
      <c r="M80" s="673">
        <v>418</v>
      </c>
      <c r="N80" s="673">
        <v>348</v>
      </c>
      <c r="O80" s="673">
        <v>382</v>
      </c>
      <c r="P80" s="673">
        <v>364</v>
      </c>
      <c r="Q80" s="673">
        <v>519</v>
      </c>
      <c r="R80" s="673">
        <v>482</v>
      </c>
      <c r="S80" s="673">
        <v>346</v>
      </c>
      <c r="T80" s="673">
        <v>440</v>
      </c>
      <c r="U80" s="673">
        <v>380</v>
      </c>
      <c r="V80" s="665">
        <v>351</v>
      </c>
      <c r="W80" s="665">
        <v>330</v>
      </c>
      <c r="X80" s="665">
        <v>287</v>
      </c>
      <c r="Y80" s="665">
        <v>283</v>
      </c>
      <c r="Z80" s="665">
        <v>293</v>
      </c>
      <c r="AA80" s="665">
        <v>311</v>
      </c>
      <c r="AB80" s="665">
        <v>334</v>
      </c>
      <c r="AC80" s="665">
        <v>277</v>
      </c>
      <c r="AD80" s="665">
        <v>322</v>
      </c>
      <c r="AE80" s="665">
        <v>242</v>
      </c>
      <c r="AF80" s="665">
        <v>244</v>
      </c>
      <c r="AG80" s="665">
        <v>254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0.13363496207011338</v>
      </c>
      <c r="F81" s="680">
        <f t="shared" si="25"/>
        <v>406.81333333333339</v>
      </c>
      <c r="G81" s="680">
        <f t="shared" si="26"/>
        <v>433.83333333333331</v>
      </c>
      <c r="H81" s="679">
        <f t="shared" si="27"/>
        <v>461.5</v>
      </c>
      <c r="I81" s="679">
        <f t="shared" si="28"/>
        <v>376.83333333333331</v>
      </c>
      <c r="J81" s="679">
        <f t="shared" si="29"/>
        <v>395.2</v>
      </c>
      <c r="K81" s="673">
        <v>503</v>
      </c>
      <c r="L81" s="673">
        <v>381</v>
      </c>
      <c r="M81" s="673">
        <v>512</v>
      </c>
      <c r="N81" s="673">
        <v>445</v>
      </c>
      <c r="O81" s="673">
        <v>423</v>
      </c>
      <c r="P81" s="673">
        <v>339</v>
      </c>
      <c r="Q81" s="673">
        <v>429</v>
      </c>
      <c r="R81" s="673">
        <v>579</v>
      </c>
      <c r="S81" s="673">
        <v>376</v>
      </c>
      <c r="T81" s="673">
        <v>546</v>
      </c>
      <c r="U81" s="673">
        <v>478</v>
      </c>
      <c r="V81" s="665">
        <v>361</v>
      </c>
      <c r="W81" s="665">
        <v>372</v>
      </c>
      <c r="X81" s="665">
        <v>401</v>
      </c>
      <c r="Y81" s="665">
        <v>410</v>
      </c>
      <c r="Z81" s="665">
        <v>333</v>
      </c>
      <c r="AA81" s="665">
        <v>385</v>
      </c>
      <c r="AB81" s="665">
        <v>360</v>
      </c>
      <c r="AC81" s="665">
        <v>277</v>
      </c>
      <c r="AD81" s="665">
        <v>460</v>
      </c>
      <c r="AE81" s="665">
        <v>339</v>
      </c>
      <c r="AF81" s="665">
        <v>392</v>
      </c>
      <c r="AG81" s="665">
        <v>508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0.13560700958320923</v>
      </c>
      <c r="F82" s="680">
        <f t="shared" si="25"/>
        <v>412.81666666666666</v>
      </c>
      <c r="G82" s="680">
        <f t="shared" si="26"/>
        <v>291.66666666666669</v>
      </c>
      <c r="H82" s="679">
        <f t="shared" si="27"/>
        <v>456.5</v>
      </c>
      <c r="I82" s="679">
        <f t="shared" si="28"/>
        <v>414.5</v>
      </c>
      <c r="J82" s="679">
        <f t="shared" si="29"/>
        <v>420</v>
      </c>
      <c r="K82" s="673">
        <v>257</v>
      </c>
      <c r="L82" s="673">
        <v>259</v>
      </c>
      <c r="M82" s="673">
        <v>303</v>
      </c>
      <c r="N82" s="673">
        <v>333</v>
      </c>
      <c r="O82" s="673">
        <v>299</v>
      </c>
      <c r="P82" s="673">
        <v>299</v>
      </c>
      <c r="Q82" s="673">
        <v>418</v>
      </c>
      <c r="R82" s="673">
        <v>556</v>
      </c>
      <c r="S82" s="673">
        <v>357</v>
      </c>
      <c r="T82" s="673">
        <v>497</v>
      </c>
      <c r="U82" s="673">
        <v>512</v>
      </c>
      <c r="V82" s="665">
        <v>399</v>
      </c>
      <c r="W82" s="665">
        <v>398</v>
      </c>
      <c r="X82" s="665">
        <v>491</v>
      </c>
      <c r="Y82" s="665">
        <v>445</v>
      </c>
      <c r="Z82" s="665">
        <v>321</v>
      </c>
      <c r="AA82" s="665">
        <v>404</v>
      </c>
      <c r="AB82" s="665">
        <v>428</v>
      </c>
      <c r="AC82" s="665">
        <v>354</v>
      </c>
      <c r="AD82" s="665">
        <v>515</v>
      </c>
      <c r="AE82" s="665">
        <v>379</v>
      </c>
      <c r="AF82" s="665">
        <v>415</v>
      </c>
      <c r="AG82" s="665">
        <v>437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9.8555291788573737E-2</v>
      </c>
      <c r="F83" s="680">
        <f t="shared" si="25"/>
        <v>300.02333333333331</v>
      </c>
      <c r="G83" s="680">
        <f t="shared" si="26"/>
        <v>296</v>
      </c>
      <c r="H83" s="679">
        <f t="shared" si="27"/>
        <v>284.66666666666669</v>
      </c>
      <c r="I83" s="679">
        <f t="shared" si="28"/>
        <v>284.16666666666669</v>
      </c>
      <c r="J83" s="679">
        <f t="shared" si="29"/>
        <v>320.60000000000002</v>
      </c>
      <c r="K83" s="673">
        <v>353</v>
      </c>
      <c r="L83" s="673">
        <v>326</v>
      </c>
      <c r="M83" s="673">
        <v>369</v>
      </c>
      <c r="N83" s="673">
        <v>264</v>
      </c>
      <c r="O83" s="673">
        <v>248</v>
      </c>
      <c r="P83" s="673">
        <v>216</v>
      </c>
      <c r="Q83" s="673">
        <v>264</v>
      </c>
      <c r="R83" s="673">
        <v>349</v>
      </c>
      <c r="S83" s="673">
        <v>203</v>
      </c>
      <c r="T83" s="673">
        <v>326</v>
      </c>
      <c r="U83" s="673">
        <v>313</v>
      </c>
      <c r="V83" s="665">
        <v>253</v>
      </c>
      <c r="W83" s="665">
        <v>291</v>
      </c>
      <c r="X83" s="665">
        <v>315</v>
      </c>
      <c r="Y83" s="665">
        <v>272</v>
      </c>
      <c r="Z83" s="665">
        <v>239</v>
      </c>
      <c r="AA83" s="665">
        <v>299</v>
      </c>
      <c r="AB83" s="665">
        <v>289</v>
      </c>
      <c r="AC83" s="665">
        <v>269</v>
      </c>
      <c r="AD83" s="665">
        <v>318</v>
      </c>
      <c r="AE83" s="665">
        <v>360</v>
      </c>
      <c r="AF83" s="665">
        <v>356</v>
      </c>
      <c r="AG83" s="665">
        <v>300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0.15695680548012403</v>
      </c>
      <c r="F84" s="680">
        <f t="shared" si="25"/>
        <v>477.80999999999995</v>
      </c>
      <c r="G84" s="680">
        <f t="shared" si="26"/>
        <v>612.5</v>
      </c>
      <c r="H84" s="679">
        <f t="shared" si="27"/>
        <v>631.5</v>
      </c>
      <c r="I84" s="679">
        <f t="shared" si="28"/>
        <v>473.66666666666669</v>
      </c>
      <c r="J84" s="679">
        <f t="shared" si="29"/>
        <v>370.4</v>
      </c>
      <c r="K84" s="673">
        <v>657</v>
      </c>
      <c r="L84" s="673">
        <v>513</v>
      </c>
      <c r="M84" s="673">
        <v>663</v>
      </c>
      <c r="N84" s="673">
        <v>597</v>
      </c>
      <c r="O84" s="673">
        <v>639</v>
      </c>
      <c r="P84" s="673">
        <v>606</v>
      </c>
      <c r="Q84" s="673">
        <v>701</v>
      </c>
      <c r="R84" s="673">
        <v>749</v>
      </c>
      <c r="S84" s="673">
        <v>556</v>
      </c>
      <c r="T84" s="673">
        <v>660</v>
      </c>
      <c r="U84" s="673">
        <v>614</v>
      </c>
      <c r="V84" s="665">
        <v>509</v>
      </c>
      <c r="W84" s="665">
        <v>539</v>
      </c>
      <c r="X84" s="665">
        <v>537</v>
      </c>
      <c r="Y84" s="665">
        <v>404</v>
      </c>
      <c r="Z84" s="665">
        <v>390</v>
      </c>
      <c r="AA84" s="665">
        <v>522</v>
      </c>
      <c r="AB84" s="665">
        <v>450</v>
      </c>
      <c r="AC84" s="665">
        <v>338</v>
      </c>
      <c r="AD84" s="665">
        <v>460</v>
      </c>
      <c r="AE84" s="665">
        <v>347</v>
      </c>
      <c r="AF84" s="665">
        <v>325</v>
      </c>
      <c r="AG84" s="665">
        <v>382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0.16775762539638048</v>
      </c>
      <c r="F85" s="680">
        <f t="shared" si="25"/>
        <v>510.69000000000005</v>
      </c>
      <c r="G85" s="680">
        <f t="shared" si="26"/>
        <v>581.33333333333337</v>
      </c>
      <c r="H85" s="679">
        <f t="shared" si="27"/>
        <v>570.33333333333337</v>
      </c>
      <c r="I85" s="679">
        <f t="shared" si="28"/>
        <v>450.16666666666669</v>
      </c>
      <c r="J85" s="679">
        <f t="shared" si="29"/>
        <v>508.6</v>
      </c>
      <c r="K85" s="673">
        <v>598</v>
      </c>
      <c r="L85" s="673">
        <v>479</v>
      </c>
      <c r="M85" s="673">
        <v>598</v>
      </c>
      <c r="N85" s="673">
        <v>576</v>
      </c>
      <c r="O85" s="673">
        <v>630</v>
      </c>
      <c r="P85" s="673">
        <v>607</v>
      </c>
      <c r="Q85" s="673">
        <v>610</v>
      </c>
      <c r="R85" s="673">
        <v>662</v>
      </c>
      <c r="S85" s="673">
        <v>493</v>
      </c>
      <c r="T85" s="673">
        <v>616</v>
      </c>
      <c r="U85" s="673">
        <v>568</v>
      </c>
      <c r="V85" s="665">
        <v>473</v>
      </c>
      <c r="W85" s="665">
        <v>441</v>
      </c>
      <c r="X85" s="665">
        <v>466</v>
      </c>
      <c r="Y85" s="665">
        <v>396</v>
      </c>
      <c r="Z85" s="665">
        <v>424</v>
      </c>
      <c r="AA85" s="665">
        <v>488</v>
      </c>
      <c r="AB85" s="665">
        <v>486</v>
      </c>
      <c r="AC85" s="665">
        <v>565</v>
      </c>
      <c r="AD85" s="665">
        <v>593</v>
      </c>
      <c r="AE85" s="665">
        <v>419</v>
      </c>
      <c r="AF85" s="665">
        <v>511</v>
      </c>
      <c r="AG85" s="665">
        <v>455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0.20195365195606091</v>
      </c>
      <c r="F86" s="680">
        <f t="shared" si="25"/>
        <v>614.79</v>
      </c>
      <c r="G86" s="680">
        <f t="shared" si="26"/>
        <v>625.33333333333337</v>
      </c>
      <c r="H86" s="679">
        <f t="shared" si="27"/>
        <v>688.33333333333337</v>
      </c>
      <c r="I86" s="679">
        <f t="shared" si="28"/>
        <v>605.16666666666663</v>
      </c>
      <c r="J86" s="679">
        <f t="shared" si="29"/>
        <v>582.6</v>
      </c>
      <c r="K86" s="673">
        <v>653</v>
      </c>
      <c r="L86" s="673">
        <v>562</v>
      </c>
      <c r="M86" s="673">
        <v>682</v>
      </c>
      <c r="N86" s="673">
        <v>569</v>
      </c>
      <c r="O86" s="673">
        <v>688</v>
      </c>
      <c r="P86" s="673">
        <v>598</v>
      </c>
      <c r="Q86" s="673">
        <v>716</v>
      </c>
      <c r="R86" s="673">
        <v>827</v>
      </c>
      <c r="S86" s="673">
        <v>623</v>
      </c>
      <c r="T86" s="673">
        <v>726</v>
      </c>
      <c r="U86" s="673">
        <v>650</v>
      </c>
      <c r="V86" s="665">
        <v>588</v>
      </c>
      <c r="W86" s="665">
        <v>570</v>
      </c>
      <c r="X86" s="665">
        <v>573</v>
      </c>
      <c r="Y86" s="665">
        <v>673</v>
      </c>
      <c r="Z86" s="665">
        <v>547</v>
      </c>
      <c r="AA86" s="665">
        <v>651</v>
      </c>
      <c r="AB86" s="665">
        <v>617</v>
      </c>
      <c r="AC86" s="665">
        <v>573</v>
      </c>
      <c r="AD86" s="665">
        <v>721</v>
      </c>
      <c r="AE86" s="665">
        <v>543</v>
      </c>
      <c r="AF86" s="665">
        <v>548</v>
      </c>
      <c r="AG86" s="665">
        <v>528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106" priority="10" operator="equal">
      <formula>0</formula>
    </cfRule>
  </conditionalFormatting>
  <conditionalFormatting sqref="K31:V86">
    <cfRule type="cellIs" dxfId="105" priority="9" operator="equal">
      <formula>0</formula>
    </cfRule>
  </conditionalFormatting>
  <conditionalFormatting sqref="G16:J16 G15 I15">
    <cfRule type="cellIs" dxfId="104" priority="8" operator="equal">
      <formula>0</formula>
    </cfRule>
  </conditionalFormatting>
  <conditionalFormatting sqref="G7:J7 G6 I6">
    <cfRule type="cellIs" dxfId="103" priority="7" operator="equal">
      <formula>0</formula>
    </cfRule>
  </conditionalFormatting>
  <conditionalFormatting sqref="F15">
    <cfRule type="cellIs" dxfId="102" priority="6" operator="equal">
      <formula>0</formula>
    </cfRule>
  </conditionalFormatting>
  <conditionalFormatting sqref="F28">
    <cfRule type="cellIs" dxfId="101" priority="5" operator="equal">
      <formula>0</formula>
    </cfRule>
  </conditionalFormatting>
  <conditionalFormatting sqref="E8:E14 E1:E6 E30:E1048576">
    <cfRule type="cellIs" dxfId="100" priority="4" operator="equal">
      <formula>0</formula>
    </cfRule>
  </conditionalFormatting>
  <conditionalFormatting sqref="E15">
    <cfRule type="cellIs" dxfId="99" priority="3" operator="equal">
      <formula>0</formula>
    </cfRule>
  </conditionalFormatting>
  <conditionalFormatting sqref="E28">
    <cfRule type="cellIs" dxfId="98" priority="2" operator="equal">
      <formula>0</formula>
    </cfRule>
  </conditionalFormatting>
  <conditionalFormatting sqref="C2:C3">
    <cfRule type="cellIs" dxfId="97" priority="1" operator="equal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J86"/>
  <sheetViews>
    <sheetView showGridLines="0" zoomScaleNormal="100" workbookViewId="0">
      <selection activeCell="E30" sqref="E30"/>
    </sheetView>
  </sheetViews>
  <sheetFormatPr defaultColWidth="9" defaultRowHeight="11.5" outlineLevelCol="1"/>
  <cols>
    <col min="1" max="1" width="1.75" style="658" customWidth="1"/>
    <col min="2" max="2" width="3.75" style="709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496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497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11831.776666666668</v>
      </c>
      <c r="G8" s="678">
        <f>SUM(G9:G12)</f>
        <v>6903.666666666667</v>
      </c>
      <c r="H8" s="671">
        <f t="shared" ref="H8:J8" si="0">SUM(H9:H12)</f>
        <v>12032.5</v>
      </c>
      <c r="I8" s="671">
        <f t="shared" si="0"/>
        <v>9623.8333333333321</v>
      </c>
      <c r="J8" s="671">
        <f t="shared" si="0"/>
        <v>14619.4</v>
      </c>
      <c r="K8" s="671">
        <f t="shared" ref="K8:AH8" si="1">SUM(K9:K12)</f>
        <v>0</v>
      </c>
      <c r="L8" s="671">
        <f t="shared" si="1"/>
        <v>0</v>
      </c>
      <c r="M8" s="671">
        <f t="shared" si="1"/>
        <v>0</v>
      </c>
      <c r="N8" s="671">
        <f t="shared" si="1"/>
        <v>4994</v>
      </c>
      <c r="O8" s="671">
        <f t="shared" si="1"/>
        <v>7377</v>
      </c>
      <c r="P8" s="671">
        <f t="shared" si="1"/>
        <v>8340</v>
      </c>
      <c r="Q8" s="671">
        <f t="shared" si="1"/>
        <v>10640</v>
      </c>
      <c r="R8" s="671">
        <f t="shared" si="1"/>
        <v>17885</v>
      </c>
      <c r="S8" s="671">
        <f t="shared" si="1"/>
        <v>13048</v>
      </c>
      <c r="T8" s="671">
        <f t="shared" si="1"/>
        <v>11693</v>
      </c>
      <c r="U8" s="671">
        <f t="shared" si="1"/>
        <v>9402</v>
      </c>
      <c r="V8" s="671">
        <f t="shared" si="1"/>
        <v>9527</v>
      </c>
      <c r="W8" s="671">
        <f t="shared" si="1"/>
        <v>7715</v>
      </c>
      <c r="X8" s="671">
        <f t="shared" si="1"/>
        <v>9371</v>
      </c>
      <c r="Y8" s="671">
        <f t="shared" si="1"/>
        <v>10213</v>
      </c>
      <c r="Z8" s="671">
        <f t="shared" si="1"/>
        <v>8627</v>
      </c>
      <c r="AA8" s="671">
        <f t="shared" si="1"/>
        <v>10565</v>
      </c>
      <c r="AB8" s="671">
        <f t="shared" si="1"/>
        <v>11252</v>
      </c>
      <c r="AC8" s="671">
        <f t="shared" si="1"/>
        <v>10827</v>
      </c>
      <c r="AD8" s="671">
        <f t="shared" si="1"/>
        <v>18627</v>
      </c>
      <c r="AE8" s="671">
        <f t="shared" si="1"/>
        <v>13378</v>
      </c>
      <c r="AF8" s="671">
        <f t="shared" si="1"/>
        <v>14150</v>
      </c>
      <c r="AG8" s="671">
        <f t="shared" si="1"/>
        <v>16115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0.20830148642088972</v>
      </c>
      <c r="F9" s="683">
        <f t="shared" ref="F9:F12" si="3">G9*10%+H9*20%+I9*30%+J9*40%</f>
        <v>2464.5766666666668</v>
      </c>
      <c r="G9" s="675">
        <f t="shared" ref="G9:G12" si="4">AVERAGE(K9:P9)</f>
        <v>1283</v>
      </c>
      <c r="H9" s="672">
        <f t="shared" ref="H9:H12" si="5">AVERAGE(Q9:V9)</f>
        <v>2405.3333333333335</v>
      </c>
      <c r="I9" s="672">
        <f t="shared" ref="I9:I12" si="6">AVERAGE(W9:AB9)</f>
        <v>2167.5</v>
      </c>
      <c r="J9" s="672">
        <f t="shared" ref="J9:J12" si="7">AVERAGE(AC9:AG9)</f>
        <v>3012.4</v>
      </c>
      <c r="K9" s="673"/>
      <c r="L9" s="673"/>
      <c r="M9" s="673"/>
      <c r="N9" s="673">
        <f t="shared" ref="N9:AA12" si="8">SUMIF($B$18:$B$25,$C9,N$18:N$25)</f>
        <v>969</v>
      </c>
      <c r="O9" s="673">
        <f t="shared" si="8"/>
        <v>1408</v>
      </c>
      <c r="P9" s="673">
        <f t="shared" si="8"/>
        <v>1472</v>
      </c>
      <c r="Q9" s="673">
        <f t="shared" si="8"/>
        <v>2017</v>
      </c>
      <c r="R9" s="673">
        <f t="shared" si="8"/>
        <v>3380</v>
      </c>
      <c r="S9" s="673">
        <f t="shared" si="8"/>
        <v>2782</v>
      </c>
      <c r="T9" s="673">
        <f t="shared" si="8"/>
        <v>2643</v>
      </c>
      <c r="U9" s="673">
        <f t="shared" si="8"/>
        <v>1803</v>
      </c>
      <c r="V9" s="673">
        <f t="shared" si="8"/>
        <v>1807</v>
      </c>
      <c r="W9" s="673">
        <f t="shared" si="8"/>
        <v>1607</v>
      </c>
      <c r="X9" s="673">
        <f t="shared" si="8"/>
        <v>2127</v>
      </c>
      <c r="Y9" s="673">
        <f t="shared" si="8"/>
        <v>2256</v>
      </c>
      <c r="Z9" s="673">
        <f t="shared" si="8"/>
        <v>1881</v>
      </c>
      <c r="AA9" s="673">
        <f t="shared" si="8"/>
        <v>2598</v>
      </c>
      <c r="AB9" s="673">
        <f t="shared" ref="AB9:AG12" si="9">SUMIF($B$18:$B$25,$C9,AB$18:AB$25)</f>
        <v>2536</v>
      </c>
      <c r="AC9" s="673">
        <f t="shared" si="9"/>
        <v>2238</v>
      </c>
      <c r="AD9" s="673">
        <f t="shared" si="9"/>
        <v>3798</v>
      </c>
      <c r="AE9" s="673">
        <f t="shared" si="9"/>
        <v>2852</v>
      </c>
      <c r="AF9" s="673">
        <f t="shared" si="9"/>
        <v>2852</v>
      </c>
      <c r="AG9" s="673">
        <f t="shared" si="9"/>
        <v>3322</v>
      </c>
      <c r="AH9" s="673"/>
    </row>
    <row r="10" spans="1:34">
      <c r="C10" s="1002" t="s">
        <v>332</v>
      </c>
      <c r="D10" s="984"/>
      <c r="E10" s="690">
        <f t="shared" si="2"/>
        <v>0.30101706337143502</v>
      </c>
      <c r="F10" s="683">
        <f t="shared" si="3"/>
        <v>3561.5666666666666</v>
      </c>
      <c r="G10" s="675">
        <f t="shared" si="4"/>
        <v>2067</v>
      </c>
      <c r="H10" s="672">
        <f t="shared" si="5"/>
        <v>3596.3333333333335</v>
      </c>
      <c r="I10" s="672">
        <f t="shared" si="6"/>
        <v>2874.6666666666665</v>
      </c>
      <c r="J10" s="672">
        <f t="shared" si="7"/>
        <v>4433</v>
      </c>
      <c r="K10" s="673"/>
      <c r="L10" s="673"/>
      <c r="M10" s="673"/>
      <c r="N10" s="673">
        <f t="shared" si="8"/>
        <v>1386</v>
      </c>
      <c r="O10" s="673">
        <f t="shared" si="8"/>
        <v>2334</v>
      </c>
      <c r="P10" s="673">
        <f t="shared" si="8"/>
        <v>2481</v>
      </c>
      <c r="Q10" s="673">
        <f t="shared" si="8"/>
        <v>3128</v>
      </c>
      <c r="R10" s="673">
        <f t="shared" si="8"/>
        <v>5450</v>
      </c>
      <c r="S10" s="673">
        <f t="shared" si="8"/>
        <v>4122</v>
      </c>
      <c r="T10" s="673">
        <f t="shared" si="8"/>
        <v>3554</v>
      </c>
      <c r="U10" s="673">
        <f t="shared" si="8"/>
        <v>2706</v>
      </c>
      <c r="V10" s="673">
        <f t="shared" si="8"/>
        <v>2618</v>
      </c>
      <c r="W10" s="673">
        <f t="shared" si="8"/>
        <v>2063</v>
      </c>
      <c r="X10" s="673">
        <f t="shared" si="8"/>
        <v>2521</v>
      </c>
      <c r="Y10" s="673">
        <f t="shared" si="8"/>
        <v>3013</v>
      </c>
      <c r="Z10" s="673">
        <f t="shared" si="8"/>
        <v>2663</v>
      </c>
      <c r="AA10" s="673">
        <f t="shared" si="8"/>
        <v>3122</v>
      </c>
      <c r="AB10" s="673">
        <f t="shared" si="9"/>
        <v>3866</v>
      </c>
      <c r="AC10" s="673">
        <f t="shared" si="9"/>
        <v>3728</v>
      </c>
      <c r="AD10" s="673">
        <f t="shared" si="9"/>
        <v>5947</v>
      </c>
      <c r="AE10" s="673">
        <f t="shared" si="9"/>
        <v>4305</v>
      </c>
      <c r="AF10" s="673">
        <f t="shared" si="9"/>
        <v>3750</v>
      </c>
      <c r="AG10" s="673">
        <f t="shared" si="9"/>
        <v>4435</v>
      </c>
      <c r="AH10" s="673"/>
    </row>
    <row r="11" spans="1:34">
      <c r="C11" s="1002" t="s">
        <v>333</v>
      </c>
      <c r="D11" s="984"/>
      <c r="E11" s="690">
        <f t="shared" si="2"/>
        <v>0.25282142749482817</v>
      </c>
      <c r="F11" s="683">
        <f t="shared" si="3"/>
        <v>2991.3266666666668</v>
      </c>
      <c r="G11" s="675">
        <f t="shared" si="4"/>
        <v>1777</v>
      </c>
      <c r="H11" s="672">
        <f t="shared" si="5"/>
        <v>3135.8333333333335</v>
      </c>
      <c r="I11" s="672">
        <f t="shared" si="6"/>
        <v>2341</v>
      </c>
      <c r="J11" s="672">
        <f t="shared" si="7"/>
        <v>3710.4</v>
      </c>
      <c r="K11" s="673"/>
      <c r="L11" s="673"/>
      <c r="M11" s="673"/>
      <c r="N11" s="673">
        <f t="shared" si="8"/>
        <v>1301</v>
      </c>
      <c r="O11" s="673">
        <f t="shared" si="8"/>
        <v>1858</v>
      </c>
      <c r="P11" s="673">
        <f t="shared" si="8"/>
        <v>2172</v>
      </c>
      <c r="Q11" s="673">
        <f t="shared" si="8"/>
        <v>2703</v>
      </c>
      <c r="R11" s="673">
        <f t="shared" si="8"/>
        <v>4595</v>
      </c>
      <c r="S11" s="673">
        <f t="shared" si="8"/>
        <v>3139</v>
      </c>
      <c r="T11" s="673">
        <f t="shared" si="8"/>
        <v>2782</v>
      </c>
      <c r="U11" s="673">
        <f t="shared" si="8"/>
        <v>2665</v>
      </c>
      <c r="V11" s="673">
        <f t="shared" si="8"/>
        <v>2931</v>
      </c>
      <c r="W11" s="673">
        <f t="shared" si="8"/>
        <v>2245</v>
      </c>
      <c r="X11" s="673">
        <f t="shared" si="8"/>
        <v>2402</v>
      </c>
      <c r="Y11" s="673">
        <f t="shared" si="8"/>
        <v>2549</v>
      </c>
      <c r="Z11" s="673">
        <f t="shared" si="8"/>
        <v>1960</v>
      </c>
      <c r="AA11" s="673">
        <f t="shared" si="8"/>
        <v>2301</v>
      </c>
      <c r="AB11" s="673">
        <f t="shared" si="9"/>
        <v>2589</v>
      </c>
      <c r="AC11" s="673">
        <f t="shared" si="9"/>
        <v>2557</v>
      </c>
      <c r="AD11" s="673">
        <f t="shared" si="9"/>
        <v>4675</v>
      </c>
      <c r="AE11" s="673">
        <f t="shared" si="9"/>
        <v>3296</v>
      </c>
      <c r="AF11" s="673">
        <f t="shared" si="9"/>
        <v>3884</v>
      </c>
      <c r="AG11" s="673">
        <f t="shared" si="9"/>
        <v>4140</v>
      </c>
      <c r="AH11" s="673"/>
    </row>
    <row r="12" spans="1:34">
      <c r="C12" s="1002" t="s">
        <v>334</v>
      </c>
      <c r="D12" s="984"/>
      <c r="E12" s="690">
        <f t="shared" si="2"/>
        <v>0.23786002271284698</v>
      </c>
      <c r="F12" s="683">
        <f t="shared" si="3"/>
        <v>2814.3066666666668</v>
      </c>
      <c r="G12" s="675">
        <f t="shared" si="4"/>
        <v>1776.6666666666667</v>
      </c>
      <c r="H12" s="672">
        <f t="shared" si="5"/>
        <v>2895</v>
      </c>
      <c r="I12" s="672">
        <f t="shared" si="6"/>
        <v>2240.6666666666665</v>
      </c>
      <c r="J12" s="672">
        <f t="shared" si="7"/>
        <v>3463.6</v>
      </c>
      <c r="K12" s="673"/>
      <c r="L12" s="673"/>
      <c r="M12" s="673"/>
      <c r="N12" s="673">
        <f t="shared" si="8"/>
        <v>1338</v>
      </c>
      <c r="O12" s="673">
        <f t="shared" si="8"/>
        <v>1777</v>
      </c>
      <c r="P12" s="673">
        <f t="shared" si="8"/>
        <v>2215</v>
      </c>
      <c r="Q12" s="673">
        <f t="shared" si="8"/>
        <v>2792</v>
      </c>
      <c r="R12" s="673">
        <f t="shared" si="8"/>
        <v>4460</v>
      </c>
      <c r="S12" s="673">
        <f t="shared" si="8"/>
        <v>3005</v>
      </c>
      <c r="T12" s="673">
        <f t="shared" si="8"/>
        <v>2714</v>
      </c>
      <c r="U12" s="673">
        <f t="shared" si="8"/>
        <v>2228</v>
      </c>
      <c r="V12" s="673">
        <f t="shared" si="8"/>
        <v>2171</v>
      </c>
      <c r="W12" s="673">
        <f t="shared" si="8"/>
        <v>1800</v>
      </c>
      <c r="X12" s="673">
        <f t="shared" si="8"/>
        <v>2321</v>
      </c>
      <c r="Y12" s="673">
        <f t="shared" si="8"/>
        <v>2395</v>
      </c>
      <c r="Z12" s="673">
        <f t="shared" si="8"/>
        <v>2123</v>
      </c>
      <c r="AA12" s="673">
        <f t="shared" si="8"/>
        <v>2544</v>
      </c>
      <c r="AB12" s="673">
        <f t="shared" si="9"/>
        <v>2261</v>
      </c>
      <c r="AC12" s="673">
        <f t="shared" si="9"/>
        <v>2304</v>
      </c>
      <c r="AD12" s="673">
        <f t="shared" si="9"/>
        <v>4207</v>
      </c>
      <c r="AE12" s="673">
        <f t="shared" si="9"/>
        <v>2925</v>
      </c>
      <c r="AF12" s="673">
        <f t="shared" si="9"/>
        <v>3664</v>
      </c>
      <c r="AG12" s="673">
        <f t="shared" si="9"/>
        <v>4218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0">F17/$F$8</f>
        <v>1</v>
      </c>
      <c r="F17" s="684">
        <f>SUM(F18:F25)</f>
        <v>11831.776666666668</v>
      </c>
      <c r="G17" s="674">
        <f>SUM(G18:G25)</f>
        <v>6903.666666666667</v>
      </c>
      <c r="H17" s="674">
        <f t="shared" ref="H17:J17" si="11">SUM(H18:H25)</f>
        <v>12032.5</v>
      </c>
      <c r="I17" s="674">
        <f t="shared" si="11"/>
        <v>9623.8333333333339</v>
      </c>
      <c r="J17" s="674">
        <f t="shared" si="11"/>
        <v>14619.4</v>
      </c>
      <c r="K17" s="671">
        <f t="shared" ref="K17:AH17" si="12">SUM(K18:K25)</f>
        <v>0</v>
      </c>
      <c r="L17" s="671">
        <f t="shared" si="12"/>
        <v>0</v>
      </c>
      <c r="M17" s="671">
        <f t="shared" si="12"/>
        <v>0</v>
      </c>
      <c r="N17" s="671">
        <f t="shared" si="12"/>
        <v>4994</v>
      </c>
      <c r="O17" s="671">
        <f t="shared" si="12"/>
        <v>7377</v>
      </c>
      <c r="P17" s="671">
        <f t="shared" si="12"/>
        <v>8340</v>
      </c>
      <c r="Q17" s="671">
        <f t="shared" si="12"/>
        <v>10640</v>
      </c>
      <c r="R17" s="671">
        <f t="shared" si="12"/>
        <v>17885</v>
      </c>
      <c r="S17" s="671">
        <f t="shared" si="12"/>
        <v>13048</v>
      </c>
      <c r="T17" s="671">
        <f t="shared" si="12"/>
        <v>11693</v>
      </c>
      <c r="U17" s="671">
        <f t="shared" si="12"/>
        <v>9402</v>
      </c>
      <c r="V17" s="671">
        <f t="shared" si="12"/>
        <v>9527</v>
      </c>
      <c r="W17" s="671">
        <f t="shared" si="12"/>
        <v>7715</v>
      </c>
      <c r="X17" s="671">
        <f t="shared" si="12"/>
        <v>9371</v>
      </c>
      <c r="Y17" s="671">
        <f t="shared" si="12"/>
        <v>10213</v>
      </c>
      <c r="Z17" s="671">
        <f t="shared" si="12"/>
        <v>8627</v>
      </c>
      <c r="AA17" s="671">
        <f t="shared" si="12"/>
        <v>10565</v>
      </c>
      <c r="AB17" s="671">
        <f t="shared" si="12"/>
        <v>11252</v>
      </c>
      <c r="AC17" s="671">
        <f t="shared" si="12"/>
        <v>10827</v>
      </c>
      <c r="AD17" s="671">
        <f t="shared" si="12"/>
        <v>18627</v>
      </c>
      <c r="AE17" s="671">
        <f t="shared" si="12"/>
        <v>13378</v>
      </c>
      <c r="AF17" s="671">
        <f t="shared" si="12"/>
        <v>14150</v>
      </c>
      <c r="AG17" s="671">
        <f t="shared" si="12"/>
        <v>16115</v>
      </c>
      <c r="AH17" s="671">
        <f t="shared" si="12"/>
        <v>0</v>
      </c>
    </row>
    <row r="18" spans="1:36">
      <c r="B18" s="709" t="s">
        <v>346</v>
      </c>
      <c r="C18" s="984" t="s">
        <v>331</v>
      </c>
      <c r="D18" s="985"/>
      <c r="E18" s="690">
        <f t="shared" si="10"/>
        <v>0.15111931625935016</v>
      </c>
      <c r="F18" s="683">
        <f t="shared" ref="F18:F25" si="13">G18*10%+H18*20%+I18*30%+J18*40%</f>
        <v>1788.0100000000002</v>
      </c>
      <c r="G18" s="675">
        <f t="shared" ref="G18:G25" si="14">AVERAGE(K18:P18)</f>
        <v>996.33333333333337</v>
      </c>
      <c r="H18" s="675">
        <f t="shared" ref="H18:H25" si="15">AVERAGE(Q18:V18)</f>
        <v>1843.3333333333333</v>
      </c>
      <c r="I18" s="675">
        <f t="shared" ref="I18:I25" si="16">AVERAGE(W18:AB18)</f>
        <v>1577.1666666666667</v>
      </c>
      <c r="J18" s="675">
        <f t="shared" ref="J18:J25" si="17">AVERAGE(AC18:AG18)</f>
        <v>2116.4</v>
      </c>
      <c r="K18" s="673"/>
      <c r="L18" s="673"/>
      <c r="M18" s="673"/>
      <c r="N18" s="673">
        <f t="shared" ref="N18:AA25" si="18">SUMIF($B$31:$B$86,$C18,N$31:N$86)</f>
        <v>785</v>
      </c>
      <c r="O18" s="673">
        <f t="shared" si="18"/>
        <v>1056</v>
      </c>
      <c r="P18" s="673">
        <f t="shared" si="18"/>
        <v>1148</v>
      </c>
      <c r="Q18" s="673">
        <f t="shared" si="18"/>
        <v>1556</v>
      </c>
      <c r="R18" s="673">
        <f t="shared" si="18"/>
        <v>2674</v>
      </c>
      <c r="S18" s="673">
        <f t="shared" si="18"/>
        <v>2102</v>
      </c>
      <c r="T18" s="673">
        <f t="shared" si="18"/>
        <v>1956</v>
      </c>
      <c r="U18" s="673">
        <f t="shared" si="18"/>
        <v>1394</v>
      </c>
      <c r="V18" s="673">
        <f t="shared" si="18"/>
        <v>1378</v>
      </c>
      <c r="W18" s="673">
        <f t="shared" si="18"/>
        <v>1129</v>
      </c>
      <c r="X18" s="673">
        <f t="shared" si="18"/>
        <v>1567</v>
      </c>
      <c r="Y18" s="673">
        <f t="shared" si="18"/>
        <v>1690</v>
      </c>
      <c r="Z18" s="673">
        <f t="shared" si="18"/>
        <v>1312</v>
      </c>
      <c r="AA18" s="673">
        <f t="shared" si="18"/>
        <v>1959</v>
      </c>
      <c r="AB18" s="673">
        <f t="shared" ref="AB18:AG25" si="19">SUMIF($B$31:$B$86,$C18,AB$31:AB$86)</f>
        <v>1806</v>
      </c>
      <c r="AC18" s="673">
        <f t="shared" si="19"/>
        <v>1626</v>
      </c>
      <c r="AD18" s="673">
        <f t="shared" si="19"/>
        <v>2636</v>
      </c>
      <c r="AE18" s="673">
        <f t="shared" si="19"/>
        <v>2011</v>
      </c>
      <c r="AF18" s="673">
        <f t="shared" si="19"/>
        <v>1965</v>
      </c>
      <c r="AG18" s="673">
        <f t="shared" si="19"/>
        <v>2344</v>
      </c>
      <c r="AH18" s="673"/>
      <c r="AI18" s="666"/>
      <c r="AJ18" s="664"/>
    </row>
    <row r="19" spans="1:36">
      <c r="B19" s="709" t="s">
        <v>346</v>
      </c>
      <c r="C19" s="984" t="s">
        <v>347</v>
      </c>
      <c r="D19" s="985"/>
      <c r="E19" s="690">
        <f t="shared" si="10"/>
        <v>5.7182170161539543E-2</v>
      </c>
      <c r="F19" s="683">
        <f t="shared" si="13"/>
        <v>676.56666666666661</v>
      </c>
      <c r="G19" s="675">
        <f t="shared" si="14"/>
        <v>286.66666666666669</v>
      </c>
      <c r="H19" s="675">
        <f t="shared" si="15"/>
        <v>562</v>
      </c>
      <c r="I19" s="675">
        <f t="shared" si="16"/>
        <v>590.33333333333337</v>
      </c>
      <c r="J19" s="675">
        <f t="shared" si="17"/>
        <v>896</v>
      </c>
      <c r="K19" s="673"/>
      <c r="L19" s="673"/>
      <c r="M19" s="673"/>
      <c r="N19" s="673">
        <f t="shared" si="18"/>
        <v>184</v>
      </c>
      <c r="O19" s="673">
        <f t="shared" si="18"/>
        <v>352</v>
      </c>
      <c r="P19" s="673">
        <f t="shared" si="18"/>
        <v>324</v>
      </c>
      <c r="Q19" s="673">
        <f t="shared" si="18"/>
        <v>461</v>
      </c>
      <c r="R19" s="673">
        <f t="shared" si="18"/>
        <v>706</v>
      </c>
      <c r="S19" s="673">
        <f t="shared" si="18"/>
        <v>680</v>
      </c>
      <c r="T19" s="673">
        <f t="shared" si="18"/>
        <v>687</v>
      </c>
      <c r="U19" s="673">
        <f t="shared" si="18"/>
        <v>409</v>
      </c>
      <c r="V19" s="673">
        <f t="shared" si="18"/>
        <v>429</v>
      </c>
      <c r="W19" s="673">
        <f t="shared" si="18"/>
        <v>478</v>
      </c>
      <c r="X19" s="673">
        <f t="shared" si="18"/>
        <v>560</v>
      </c>
      <c r="Y19" s="673">
        <f t="shared" si="18"/>
        <v>566</v>
      </c>
      <c r="Z19" s="673">
        <f t="shared" si="18"/>
        <v>569</v>
      </c>
      <c r="AA19" s="673">
        <f t="shared" si="18"/>
        <v>639</v>
      </c>
      <c r="AB19" s="673">
        <f t="shared" si="19"/>
        <v>730</v>
      </c>
      <c r="AC19" s="673">
        <f t="shared" si="19"/>
        <v>612</v>
      </c>
      <c r="AD19" s="673">
        <f t="shared" si="19"/>
        <v>1162</v>
      </c>
      <c r="AE19" s="673">
        <f t="shared" si="19"/>
        <v>841</v>
      </c>
      <c r="AF19" s="673">
        <f t="shared" si="19"/>
        <v>887</v>
      </c>
      <c r="AG19" s="673">
        <f t="shared" si="19"/>
        <v>978</v>
      </c>
      <c r="AH19" s="673"/>
      <c r="AI19" s="666"/>
      <c r="AJ19" s="664"/>
    </row>
    <row r="20" spans="1:36">
      <c r="B20" s="709" t="s">
        <v>348</v>
      </c>
      <c r="C20" s="984" t="s">
        <v>349</v>
      </c>
      <c r="D20" s="985"/>
      <c r="E20" s="690">
        <f t="shared" si="10"/>
        <v>0.16283691403911443</v>
      </c>
      <c r="F20" s="683">
        <f t="shared" si="13"/>
        <v>1926.65</v>
      </c>
      <c r="G20" s="675">
        <f t="shared" si="14"/>
        <v>1195</v>
      </c>
      <c r="H20" s="675">
        <f t="shared" si="15"/>
        <v>1965.5</v>
      </c>
      <c r="I20" s="675">
        <f t="shared" si="16"/>
        <v>1616.1666666666667</v>
      </c>
      <c r="J20" s="675">
        <f t="shared" si="17"/>
        <v>2323</v>
      </c>
      <c r="K20" s="673"/>
      <c r="L20" s="673"/>
      <c r="M20" s="673"/>
      <c r="N20" s="673">
        <f t="shared" si="18"/>
        <v>739</v>
      </c>
      <c r="O20" s="673">
        <f t="shared" si="18"/>
        <v>1392</v>
      </c>
      <c r="P20" s="673">
        <f t="shared" si="18"/>
        <v>1454</v>
      </c>
      <c r="Q20" s="673">
        <f t="shared" si="18"/>
        <v>1765</v>
      </c>
      <c r="R20" s="673">
        <f t="shared" si="18"/>
        <v>2964</v>
      </c>
      <c r="S20" s="673">
        <f t="shared" si="18"/>
        <v>2313</v>
      </c>
      <c r="T20" s="673">
        <f t="shared" si="18"/>
        <v>2035</v>
      </c>
      <c r="U20" s="673">
        <f t="shared" si="18"/>
        <v>1358</v>
      </c>
      <c r="V20" s="673">
        <f t="shared" si="18"/>
        <v>1358</v>
      </c>
      <c r="W20" s="673">
        <f t="shared" si="18"/>
        <v>1078</v>
      </c>
      <c r="X20" s="673">
        <f t="shared" si="18"/>
        <v>1446</v>
      </c>
      <c r="Y20" s="673">
        <f t="shared" si="18"/>
        <v>1771</v>
      </c>
      <c r="Z20" s="673">
        <f t="shared" si="18"/>
        <v>1564</v>
      </c>
      <c r="AA20" s="673">
        <f t="shared" si="18"/>
        <v>1680</v>
      </c>
      <c r="AB20" s="673">
        <f t="shared" si="19"/>
        <v>2158</v>
      </c>
      <c r="AC20" s="673">
        <f t="shared" si="19"/>
        <v>2110</v>
      </c>
      <c r="AD20" s="673">
        <f t="shared" si="19"/>
        <v>3190</v>
      </c>
      <c r="AE20" s="673">
        <f t="shared" si="19"/>
        <v>2143</v>
      </c>
      <c r="AF20" s="673">
        <f t="shared" si="19"/>
        <v>1892</v>
      </c>
      <c r="AG20" s="673">
        <f t="shared" si="19"/>
        <v>2280</v>
      </c>
      <c r="AH20" s="673"/>
      <c r="AI20" s="666"/>
      <c r="AJ20" s="664"/>
    </row>
    <row r="21" spans="1:36">
      <c r="B21" s="709" t="s">
        <v>348</v>
      </c>
      <c r="C21" s="984" t="s">
        <v>334</v>
      </c>
      <c r="D21" s="985"/>
      <c r="E21" s="690">
        <f t="shared" si="10"/>
        <v>0.13818014933232059</v>
      </c>
      <c r="F21" s="683">
        <f t="shared" si="13"/>
        <v>1634.9166666666667</v>
      </c>
      <c r="G21" s="675">
        <f t="shared" si="14"/>
        <v>872</v>
      </c>
      <c r="H21" s="675">
        <f t="shared" si="15"/>
        <v>1630.8333333333333</v>
      </c>
      <c r="I21" s="675">
        <f t="shared" si="16"/>
        <v>1258.5</v>
      </c>
      <c r="J21" s="675">
        <f t="shared" si="17"/>
        <v>2110</v>
      </c>
      <c r="K21" s="673"/>
      <c r="L21" s="673"/>
      <c r="M21" s="673"/>
      <c r="N21" s="673">
        <f t="shared" si="18"/>
        <v>647</v>
      </c>
      <c r="O21" s="673">
        <f t="shared" si="18"/>
        <v>942</v>
      </c>
      <c r="P21" s="673">
        <f t="shared" si="18"/>
        <v>1027</v>
      </c>
      <c r="Q21" s="673">
        <f t="shared" si="18"/>
        <v>1363</v>
      </c>
      <c r="R21" s="673">
        <f t="shared" si="18"/>
        <v>2486</v>
      </c>
      <c r="S21" s="673">
        <f t="shared" si="18"/>
        <v>1809</v>
      </c>
      <c r="T21" s="673">
        <f t="shared" si="18"/>
        <v>1519</v>
      </c>
      <c r="U21" s="673">
        <f t="shared" si="18"/>
        <v>1348</v>
      </c>
      <c r="V21" s="673">
        <f t="shared" si="18"/>
        <v>1260</v>
      </c>
      <c r="W21" s="673">
        <f t="shared" si="18"/>
        <v>985</v>
      </c>
      <c r="X21" s="673">
        <f t="shared" si="18"/>
        <v>1075</v>
      </c>
      <c r="Y21" s="673">
        <f t="shared" si="18"/>
        <v>1242</v>
      </c>
      <c r="Z21" s="673">
        <f t="shared" si="18"/>
        <v>1099</v>
      </c>
      <c r="AA21" s="673">
        <f t="shared" si="18"/>
        <v>1442</v>
      </c>
      <c r="AB21" s="673">
        <f t="shared" si="19"/>
        <v>1708</v>
      </c>
      <c r="AC21" s="673">
        <f t="shared" si="19"/>
        <v>1618</v>
      </c>
      <c r="AD21" s="673">
        <f t="shared" si="19"/>
        <v>2757</v>
      </c>
      <c r="AE21" s="673">
        <f t="shared" si="19"/>
        <v>2162</v>
      </c>
      <c r="AF21" s="673">
        <f t="shared" si="19"/>
        <v>1858</v>
      </c>
      <c r="AG21" s="673">
        <f t="shared" si="19"/>
        <v>2155</v>
      </c>
      <c r="AH21" s="673"/>
      <c r="AI21" s="666"/>
      <c r="AJ21" s="664"/>
    </row>
    <row r="22" spans="1:36">
      <c r="B22" s="709" t="s">
        <v>350</v>
      </c>
      <c r="C22" s="984" t="s">
        <v>351</v>
      </c>
      <c r="D22" s="985"/>
      <c r="E22" s="690">
        <f t="shared" si="10"/>
        <v>0.14818090154394958</v>
      </c>
      <c r="F22" s="683">
        <f t="shared" si="13"/>
        <v>1753.2433333333336</v>
      </c>
      <c r="G22" s="675">
        <f t="shared" si="14"/>
        <v>1006</v>
      </c>
      <c r="H22" s="675">
        <f t="shared" si="15"/>
        <v>1804.1666666666667</v>
      </c>
      <c r="I22" s="675">
        <f t="shared" si="16"/>
        <v>1334.8333333333333</v>
      </c>
      <c r="J22" s="675">
        <f t="shared" si="17"/>
        <v>2228.4</v>
      </c>
      <c r="K22" s="673"/>
      <c r="L22" s="673"/>
      <c r="M22" s="673"/>
      <c r="N22" s="673">
        <f t="shared" si="18"/>
        <v>714</v>
      </c>
      <c r="O22" s="673">
        <f t="shared" si="18"/>
        <v>1042</v>
      </c>
      <c r="P22" s="673">
        <f t="shared" si="18"/>
        <v>1262</v>
      </c>
      <c r="Q22" s="673">
        <f t="shared" si="18"/>
        <v>1545</v>
      </c>
      <c r="R22" s="673">
        <f t="shared" si="18"/>
        <v>2555</v>
      </c>
      <c r="S22" s="673">
        <f t="shared" si="18"/>
        <v>1730</v>
      </c>
      <c r="T22" s="673">
        <f t="shared" si="18"/>
        <v>1527</v>
      </c>
      <c r="U22" s="673">
        <f t="shared" si="18"/>
        <v>1594</v>
      </c>
      <c r="V22" s="673">
        <f t="shared" si="18"/>
        <v>1874</v>
      </c>
      <c r="W22" s="673">
        <f t="shared" si="18"/>
        <v>1258</v>
      </c>
      <c r="X22" s="673">
        <f t="shared" si="18"/>
        <v>1381</v>
      </c>
      <c r="Y22" s="673">
        <f t="shared" si="18"/>
        <v>1599</v>
      </c>
      <c r="Z22" s="673">
        <f t="shared" si="18"/>
        <v>1107</v>
      </c>
      <c r="AA22" s="673">
        <f t="shared" si="18"/>
        <v>1172</v>
      </c>
      <c r="AB22" s="673">
        <f t="shared" si="19"/>
        <v>1492</v>
      </c>
      <c r="AC22" s="673">
        <f t="shared" si="19"/>
        <v>1672</v>
      </c>
      <c r="AD22" s="673">
        <f t="shared" si="19"/>
        <v>2661</v>
      </c>
      <c r="AE22" s="673">
        <f t="shared" si="19"/>
        <v>1964</v>
      </c>
      <c r="AF22" s="673">
        <f t="shared" si="19"/>
        <v>2375</v>
      </c>
      <c r="AG22" s="673">
        <f t="shared" si="19"/>
        <v>2470</v>
      </c>
      <c r="AH22" s="673"/>
      <c r="AI22" s="666"/>
      <c r="AJ22" s="664"/>
    </row>
    <row r="23" spans="1:36">
      <c r="B23" s="709" t="s">
        <v>350</v>
      </c>
      <c r="C23" s="984" t="s">
        <v>352</v>
      </c>
      <c r="D23" s="985"/>
      <c r="E23" s="690">
        <f t="shared" si="10"/>
        <v>0.10464052595087861</v>
      </c>
      <c r="F23" s="683">
        <f t="shared" si="13"/>
        <v>1238.0833333333335</v>
      </c>
      <c r="G23" s="675">
        <f t="shared" si="14"/>
        <v>771</v>
      </c>
      <c r="H23" s="675">
        <f t="shared" si="15"/>
        <v>1331.6666666666667</v>
      </c>
      <c r="I23" s="675">
        <f t="shared" si="16"/>
        <v>1006.1666666666666</v>
      </c>
      <c r="J23" s="675">
        <f t="shared" si="17"/>
        <v>1482</v>
      </c>
      <c r="K23" s="673"/>
      <c r="L23" s="673"/>
      <c r="M23" s="673"/>
      <c r="N23" s="673">
        <f t="shared" si="18"/>
        <v>587</v>
      </c>
      <c r="O23" s="673">
        <f t="shared" si="18"/>
        <v>816</v>
      </c>
      <c r="P23" s="673">
        <f t="shared" si="18"/>
        <v>910</v>
      </c>
      <c r="Q23" s="673">
        <f t="shared" si="18"/>
        <v>1158</v>
      </c>
      <c r="R23" s="673">
        <f t="shared" si="18"/>
        <v>2040</v>
      </c>
      <c r="S23" s="673">
        <f t="shared" si="18"/>
        <v>1409</v>
      </c>
      <c r="T23" s="673">
        <f t="shared" si="18"/>
        <v>1255</v>
      </c>
      <c r="U23" s="673">
        <f t="shared" si="18"/>
        <v>1071</v>
      </c>
      <c r="V23" s="673">
        <f t="shared" si="18"/>
        <v>1057</v>
      </c>
      <c r="W23" s="673">
        <f t="shared" si="18"/>
        <v>987</v>
      </c>
      <c r="X23" s="673">
        <f t="shared" si="18"/>
        <v>1021</v>
      </c>
      <c r="Y23" s="673">
        <f t="shared" si="18"/>
        <v>950</v>
      </c>
      <c r="Z23" s="673">
        <f t="shared" si="18"/>
        <v>853</v>
      </c>
      <c r="AA23" s="673">
        <f t="shared" si="18"/>
        <v>1129</v>
      </c>
      <c r="AB23" s="673">
        <f t="shared" si="19"/>
        <v>1097</v>
      </c>
      <c r="AC23" s="673">
        <f t="shared" si="19"/>
        <v>885</v>
      </c>
      <c r="AD23" s="673">
        <f t="shared" si="19"/>
        <v>2014</v>
      </c>
      <c r="AE23" s="673">
        <f t="shared" si="19"/>
        <v>1332</v>
      </c>
      <c r="AF23" s="673">
        <f t="shared" si="19"/>
        <v>1509</v>
      </c>
      <c r="AG23" s="673">
        <f t="shared" si="19"/>
        <v>1670</v>
      </c>
      <c r="AH23" s="673"/>
      <c r="AI23" s="666"/>
      <c r="AJ23" s="664"/>
    </row>
    <row r="24" spans="1:36">
      <c r="B24" s="709" t="s">
        <v>353</v>
      </c>
      <c r="C24" s="984" t="s">
        <v>354</v>
      </c>
      <c r="D24" s="985"/>
      <c r="E24" s="690">
        <f t="shared" si="10"/>
        <v>0.12969114528587281</v>
      </c>
      <c r="F24" s="683">
        <f t="shared" si="13"/>
        <v>1534.4766666666667</v>
      </c>
      <c r="G24" s="675">
        <f t="shared" si="14"/>
        <v>1008</v>
      </c>
      <c r="H24" s="675">
        <f t="shared" si="15"/>
        <v>1637.8333333333333</v>
      </c>
      <c r="I24" s="675">
        <f t="shared" si="16"/>
        <v>1217.1666666666667</v>
      </c>
      <c r="J24" s="675">
        <f t="shared" si="17"/>
        <v>1852.4</v>
      </c>
      <c r="K24" s="673"/>
      <c r="L24" s="673"/>
      <c r="M24" s="673"/>
      <c r="N24" s="673">
        <f t="shared" si="18"/>
        <v>667</v>
      </c>
      <c r="O24" s="673">
        <f t="shared" si="18"/>
        <v>976</v>
      </c>
      <c r="P24" s="673">
        <f t="shared" si="18"/>
        <v>1381</v>
      </c>
      <c r="Q24" s="673">
        <f t="shared" si="18"/>
        <v>1576</v>
      </c>
      <c r="R24" s="673">
        <f t="shared" si="18"/>
        <v>2470</v>
      </c>
      <c r="S24" s="673">
        <f t="shared" si="18"/>
        <v>1796</v>
      </c>
      <c r="T24" s="673">
        <f t="shared" si="18"/>
        <v>1464</v>
      </c>
      <c r="U24" s="673">
        <f t="shared" si="18"/>
        <v>1262</v>
      </c>
      <c r="V24" s="673">
        <f t="shared" si="18"/>
        <v>1259</v>
      </c>
      <c r="W24" s="673">
        <f t="shared" si="18"/>
        <v>1057</v>
      </c>
      <c r="X24" s="673">
        <f t="shared" si="18"/>
        <v>1280</v>
      </c>
      <c r="Y24" s="673">
        <f t="shared" si="18"/>
        <v>1317</v>
      </c>
      <c r="Z24" s="673">
        <f t="shared" si="18"/>
        <v>1129</v>
      </c>
      <c r="AA24" s="673">
        <f t="shared" si="18"/>
        <v>1391</v>
      </c>
      <c r="AB24" s="673">
        <f t="shared" si="19"/>
        <v>1129</v>
      </c>
      <c r="AC24" s="673">
        <f t="shared" si="19"/>
        <v>1177</v>
      </c>
      <c r="AD24" s="673">
        <f t="shared" si="19"/>
        <v>2281</v>
      </c>
      <c r="AE24" s="673">
        <f t="shared" si="19"/>
        <v>1505</v>
      </c>
      <c r="AF24" s="673">
        <f t="shared" si="19"/>
        <v>1993</v>
      </c>
      <c r="AG24" s="673">
        <f t="shared" si="19"/>
        <v>2306</v>
      </c>
      <c r="AH24" s="673"/>
      <c r="AI24" s="666"/>
      <c r="AJ24" s="664"/>
    </row>
    <row r="25" spans="1:36">
      <c r="B25" s="709" t="s">
        <v>353</v>
      </c>
      <c r="C25" s="984" t="s">
        <v>355</v>
      </c>
      <c r="D25" s="985"/>
      <c r="E25" s="690">
        <f t="shared" si="10"/>
        <v>0.10816887742697419</v>
      </c>
      <c r="F25" s="683">
        <f t="shared" si="13"/>
        <v>1279.8300000000002</v>
      </c>
      <c r="G25" s="675">
        <f t="shared" si="14"/>
        <v>768.66666666666663</v>
      </c>
      <c r="H25" s="675">
        <f t="shared" si="15"/>
        <v>1257.1666666666667</v>
      </c>
      <c r="I25" s="675">
        <f t="shared" si="16"/>
        <v>1023.5</v>
      </c>
      <c r="J25" s="675">
        <f t="shared" si="17"/>
        <v>1611.2</v>
      </c>
      <c r="K25" s="676"/>
      <c r="L25" s="676"/>
      <c r="M25" s="676"/>
      <c r="N25" s="676">
        <f t="shared" si="18"/>
        <v>671</v>
      </c>
      <c r="O25" s="676">
        <f t="shared" si="18"/>
        <v>801</v>
      </c>
      <c r="P25" s="676">
        <f t="shared" si="18"/>
        <v>834</v>
      </c>
      <c r="Q25" s="676">
        <f t="shared" si="18"/>
        <v>1216</v>
      </c>
      <c r="R25" s="676">
        <f t="shared" si="18"/>
        <v>1990</v>
      </c>
      <c r="S25" s="676">
        <f t="shared" si="18"/>
        <v>1209</v>
      </c>
      <c r="T25" s="676">
        <f t="shared" si="18"/>
        <v>1250</v>
      </c>
      <c r="U25" s="676">
        <f t="shared" si="18"/>
        <v>966</v>
      </c>
      <c r="V25" s="676">
        <f t="shared" si="18"/>
        <v>912</v>
      </c>
      <c r="W25" s="676">
        <f t="shared" si="18"/>
        <v>743</v>
      </c>
      <c r="X25" s="676">
        <f t="shared" si="18"/>
        <v>1041</v>
      </c>
      <c r="Y25" s="676">
        <f t="shared" si="18"/>
        <v>1078</v>
      </c>
      <c r="Z25" s="676">
        <f t="shared" si="18"/>
        <v>994</v>
      </c>
      <c r="AA25" s="676">
        <f t="shared" si="18"/>
        <v>1153</v>
      </c>
      <c r="AB25" s="676">
        <f t="shared" si="19"/>
        <v>1132</v>
      </c>
      <c r="AC25" s="676">
        <f t="shared" si="19"/>
        <v>1127</v>
      </c>
      <c r="AD25" s="676">
        <f t="shared" si="19"/>
        <v>1926</v>
      </c>
      <c r="AE25" s="676">
        <f t="shared" si="19"/>
        <v>1420</v>
      </c>
      <c r="AF25" s="676">
        <f t="shared" si="19"/>
        <v>1671</v>
      </c>
      <c r="AG25" s="676">
        <f t="shared" si="19"/>
        <v>1912</v>
      </c>
      <c r="AH25" s="676"/>
      <c r="AI25" s="66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11831.776666666665</v>
      </c>
      <c r="G30" s="678">
        <f>SUM(G31:G86)</f>
        <v>6903.6666666666661</v>
      </c>
      <c r="H30" s="678">
        <f t="shared" ref="H30:J30" si="20">SUM(H31:H86)</f>
        <v>12032.5</v>
      </c>
      <c r="I30" s="678">
        <f t="shared" si="20"/>
        <v>9623.8333333333339</v>
      </c>
      <c r="J30" s="678">
        <f t="shared" si="20"/>
        <v>14619.399999999996</v>
      </c>
      <c r="K30" s="671">
        <f>SUM(K31:K86)</f>
        <v>0</v>
      </c>
      <c r="L30" s="671">
        <f t="shared" ref="L30:AH30" si="21">SUM(L31:L86)</f>
        <v>0</v>
      </c>
      <c r="M30" s="671">
        <f t="shared" si="21"/>
        <v>0</v>
      </c>
      <c r="N30" s="671">
        <f t="shared" si="21"/>
        <v>4994</v>
      </c>
      <c r="O30" s="671">
        <f t="shared" si="21"/>
        <v>7377</v>
      </c>
      <c r="P30" s="671">
        <f t="shared" si="21"/>
        <v>8340</v>
      </c>
      <c r="Q30" s="671">
        <f t="shared" si="21"/>
        <v>10640</v>
      </c>
      <c r="R30" s="671">
        <f t="shared" si="21"/>
        <v>17885</v>
      </c>
      <c r="S30" s="671">
        <f t="shared" si="21"/>
        <v>13048</v>
      </c>
      <c r="T30" s="671">
        <f t="shared" si="21"/>
        <v>11693</v>
      </c>
      <c r="U30" s="671">
        <f t="shared" si="21"/>
        <v>9402</v>
      </c>
      <c r="V30" s="671">
        <f t="shared" si="21"/>
        <v>9527</v>
      </c>
      <c r="W30" s="671">
        <f t="shared" si="21"/>
        <v>7715</v>
      </c>
      <c r="X30" s="671">
        <f t="shared" si="21"/>
        <v>9371</v>
      </c>
      <c r="Y30" s="671">
        <f t="shared" si="21"/>
        <v>10213</v>
      </c>
      <c r="Z30" s="671">
        <f t="shared" si="21"/>
        <v>8627</v>
      </c>
      <c r="AA30" s="671">
        <f t="shared" si="21"/>
        <v>10565</v>
      </c>
      <c r="AB30" s="671">
        <f t="shared" si="21"/>
        <v>11252</v>
      </c>
      <c r="AC30" s="671">
        <f t="shared" si="21"/>
        <v>10827</v>
      </c>
      <c r="AD30" s="671">
        <f t="shared" si="21"/>
        <v>18627</v>
      </c>
      <c r="AE30" s="671">
        <f t="shared" si="21"/>
        <v>13378</v>
      </c>
      <c r="AF30" s="671">
        <f t="shared" si="21"/>
        <v>14150</v>
      </c>
      <c r="AG30" s="671">
        <f t="shared" si="21"/>
        <v>16115</v>
      </c>
      <c r="AH30" s="671">
        <f t="shared" si="21"/>
        <v>0</v>
      </c>
    </row>
    <row r="31" spans="1:36">
      <c r="A31" s="658" t="s">
        <v>331</v>
      </c>
      <c r="B31" s="709" t="s">
        <v>346</v>
      </c>
      <c r="C31" s="681" t="s">
        <v>366</v>
      </c>
      <c r="D31" s="681" t="s">
        <v>367</v>
      </c>
      <c r="E31" s="691">
        <f>F31/VLOOKUP($B31,$C$18:$F$25,4,0)</f>
        <v>9.580296903634021E-2</v>
      </c>
      <c r="F31" s="680">
        <f>G31*10%+H31*20%+I31*30%+J31*40%</f>
        <v>171.29666666666668</v>
      </c>
      <c r="G31" s="680">
        <f>AVERAGE(K31:P31)</f>
        <v>98</v>
      </c>
      <c r="H31" s="679">
        <f>AVERAGE(Q31:V31)</f>
        <v>196.83333333333334</v>
      </c>
      <c r="I31" s="679">
        <f>AVERAGE(W31:AB31)</f>
        <v>157.5</v>
      </c>
      <c r="J31" s="679">
        <f>AVERAGE(AC31:AG31)</f>
        <v>187.2</v>
      </c>
      <c r="K31" s="673"/>
      <c r="L31" s="673"/>
      <c r="M31" s="673"/>
      <c r="N31" s="673">
        <v>80</v>
      </c>
      <c r="O31" s="673">
        <v>105</v>
      </c>
      <c r="P31" s="673">
        <v>109</v>
      </c>
      <c r="Q31" s="673">
        <v>196</v>
      </c>
      <c r="R31" s="673">
        <v>272</v>
      </c>
      <c r="S31" s="673">
        <v>222</v>
      </c>
      <c r="T31" s="673">
        <v>179</v>
      </c>
      <c r="U31" s="673">
        <v>154</v>
      </c>
      <c r="V31" s="665">
        <v>158</v>
      </c>
      <c r="W31" s="665">
        <v>146</v>
      </c>
      <c r="X31" s="665">
        <v>158</v>
      </c>
      <c r="Y31" s="665">
        <v>180</v>
      </c>
      <c r="Z31" s="665">
        <v>112</v>
      </c>
      <c r="AA31" s="665">
        <v>203</v>
      </c>
      <c r="AB31" s="665">
        <v>146</v>
      </c>
      <c r="AC31" s="665">
        <v>161</v>
      </c>
      <c r="AD31" s="665">
        <v>220</v>
      </c>
      <c r="AE31" s="665">
        <v>163</v>
      </c>
      <c r="AF31" s="665">
        <v>161</v>
      </c>
      <c r="AG31" s="665">
        <v>231</v>
      </c>
      <c r="AH31" s="665"/>
      <c r="AI31" s="666"/>
    </row>
    <row r="32" spans="1:36">
      <c r="A32" s="658" t="s">
        <v>331</v>
      </c>
      <c r="B32" s="709" t="s">
        <v>346</v>
      </c>
      <c r="C32" s="681" t="s">
        <v>368</v>
      </c>
      <c r="D32" s="681" t="s">
        <v>369</v>
      </c>
      <c r="E32" s="691">
        <f t="shared" ref="E32:E86" si="22">F32/VLOOKUP($B32,$C$18:$F$25,4,0)</f>
        <v>4.914774898723534E-2</v>
      </c>
      <c r="F32" s="680">
        <f t="shared" ref="F32:F86" si="23">G32*10%+H32*20%+I32*30%+J32*40%</f>
        <v>87.876666666666665</v>
      </c>
      <c r="G32" s="680">
        <f>AVERAGE(K32:P32)</f>
        <v>53</v>
      </c>
      <c r="H32" s="679">
        <f t="shared" ref="H32:H86" si="24">AVERAGE(Q32:V32)</f>
        <v>85.333333333333329</v>
      </c>
      <c r="I32" s="679">
        <f t="shared" ref="I32:I86" si="25">AVERAGE(W32:AB32)</f>
        <v>89.833333333333329</v>
      </c>
      <c r="J32" s="679">
        <f t="shared" ref="J32:J86" si="26">AVERAGE(AC32:AG32)</f>
        <v>96.4</v>
      </c>
      <c r="K32" s="673"/>
      <c r="L32" s="673"/>
      <c r="M32" s="673"/>
      <c r="N32" s="673">
        <v>50</v>
      </c>
      <c r="O32" s="673">
        <v>53</v>
      </c>
      <c r="P32" s="673">
        <v>56</v>
      </c>
      <c r="Q32" s="673">
        <v>81</v>
      </c>
      <c r="R32" s="673">
        <v>152</v>
      </c>
      <c r="S32" s="673">
        <v>74</v>
      </c>
      <c r="T32" s="673">
        <v>96</v>
      </c>
      <c r="U32" s="673">
        <v>47</v>
      </c>
      <c r="V32" s="665">
        <v>62</v>
      </c>
      <c r="W32" s="665">
        <v>51</v>
      </c>
      <c r="X32" s="665">
        <v>134</v>
      </c>
      <c r="Y32" s="665">
        <v>91</v>
      </c>
      <c r="Z32" s="665">
        <v>81</v>
      </c>
      <c r="AA32" s="665">
        <v>94</v>
      </c>
      <c r="AB32" s="665">
        <v>88</v>
      </c>
      <c r="AC32" s="665">
        <v>68</v>
      </c>
      <c r="AD32" s="665">
        <v>114</v>
      </c>
      <c r="AE32" s="665">
        <v>96</v>
      </c>
      <c r="AF32" s="665">
        <v>84</v>
      </c>
      <c r="AG32" s="665">
        <v>120</v>
      </c>
      <c r="AH32" s="665"/>
      <c r="AI32" s="666"/>
    </row>
    <row r="33" spans="1:35">
      <c r="A33" s="658" t="s">
        <v>331</v>
      </c>
      <c r="B33" s="709" t="s">
        <v>346</v>
      </c>
      <c r="C33" s="681" t="s">
        <v>370</v>
      </c>
      <c r="D33" s="681" t="s">
        <v>371</v>
      </c>
      <c r="E33" s="691">
        <f t="shared" si="22"/>
        <v>0.13457419141951107</v>
      </c>
      <c r="F33" s="680">
        <f t="shared" si="23"/>
        <v>240.62</v>
      </c>
      <c r="G33" s="680">
        <f t="shared" ref="G33:G86" si="27">AVERAGE(K33:P33)</f>
        <v>154</v>
      </c>
      <c r="H33" s="679">
        <f t="shared" si="24"/>
        <v>225.5</v>
      </c>
      <c r="I33" s="679">
        <f t="shared" si="25"/>
        <v>231.33333333333334</v>
      </c>
      <c r="J33" s="679">
        <f t="shared" si="26"/>
        <v>276.8</v>
      </c>
      <c r="K33" s="673"/>
      <c r="L33" s="673"/>
      <c r="M33" s="673"/>
      <c r="N33" s="673">
        <v>132</v>
      </c>
      <c r="O33" s="673">
        <v>158</v>
      </c>
      <c r="P33" s="673">
        <v>172</v>
      </c>
      <c r="Q33" s="673">
        <v>206</v>
      </c>
      <c r="R33" s="673">
        <v>343</v>
      </c>
      <c r="S33" s="673">
        <v>267</v>
      </c>
      <c r="T33" s="673">
        <v>222</v>
      </c>
      <c r="U33" s="673">
        <v>158</v>
      </c>
      <c r="V33" s="665">
        <v>157</v>
      </c>
      <c r="W33" s="665">
        <v>135</v>
      </c>
      <c r="X33" s="665">
        <v>189</v>
      </c>
      <c r="Y33" s="665">
        <v>249</v>
      </c>
      <c r="Z33" s="665">
        <v>221</v>
      </c>
      <c r="AA33" s="665">
        <v>346</v>
      </c>
      <c r="AB33" s="665">
        <v>248</v>
      </c>
      <c r="AC33" s="665">
        <v>185</v>
      </c>
      <c r="AD33" s="665">
        <v>281</v>
      </c>
      <c r="AE33" s="665">
        <v>209</v>
      </c>
      <c r="AF33" s="665">
        <v>318</v>
      </c>
      <c r="AG33" s="665">
        <v>391</v>
      </c>
      <c r="AH33" s="665"/>
      <c r="AI33" s="666"/>
    </row>
    <row r="34" spans="1:35">
      <c r="A34" s="658" t="s">
        <v>331</v>
      </c>
      <c r="B34" s="709" t="s">
        <v>346</v>
      </c>
      <c r="C34" s="681" t="s">
        <v>372</v>
      </c>
      <c r="D34" s="681" t="s">
        <v>373</v>
      </c>
      <c r="E34" s="691">
        <f t="shared" si="22"/>
        <v>9.5269787827435698E-2</v>
      </c>
      <c r="F34" s="680">
        <f t="shared" si="23"/>
        <v>170.34333333333333</v>
      </c>
      <c r="G34" s="680">
        <f t="shared" si="27"/>
        <v>100</v>
      </c>
      <c r="H34" s="679">
        <f t="shared" si="24"/>
        <v>177.66666666666666</v>
      </c>
      <c r="I34" s="679">
        <f t="shared" si="25"/>
        <v>158.16666666666666</v>
      </c>
      <c r="J34" s="679">
        <f t="shared" si="26"/>
        <v>193.4</v>
      </c>
      <c r="K34" s="673"/>
      <c r="L34" s="673"/>
      <c r="M34" s="673"/>
      <c r="N34" s="673">
        <v>87</v>
      </c>
      <c r="O34" s="673">
        <v>113</v>
      </c>
      <c r="P34" s="673">
        <v>100</v>
      </c>
      <c r="Q34" s="673">
        <v>183</v>
      </c>
      <c r="R34" s="673">
        <v>231</v>
      </c>
      <c r="S34" s="673">
        <v>256</v>
      </c>
      <c r="T34" s="673">
        <v>156</v>
      </c>
      <c r="U34" s="673">
        <v>112</v>
      </c>
      <c r="V34" s="665">
        <v>128</v>
      </c>
      <c r="W34" s="665">
        <v>118</v>
      </c>
      <c r="X34" s="665">
        <v>132</v>
      </c>
      <c r="Y34" s="665">
        <v>170</v>
      </c>
      <c r="Z34" s="665">
        <v>124</v>
      </c>
      <c r="AA34" s="665">
        <v>173</v>
      </c>
      <c r="AB34" s="665">
        <v>232</v>
      </c>
      <c r="AC34" s="665">
        <v>219</v>
      </c>
      <c r="AD34" s="665">
        <v>234</v>
      </c>
      <c r="AE34" s="665">
        <v>229</v>
      </c>
      <c r="AF34" s="665">
        <v>120</v>
      </c>
      <c r="AG34" s="665">
        <v>165</v>
      </c>
      <c r="AH34" s="665"/>
      <c r="AI34" s="666"/>
    </row>
    <row r="35" spans="1:35">
      <c r="A35" s="658" t="s">
        <v>331</v>
      </c>
      <c r="B35" s="709" t="s">
        <v>346</v>
      </c>
      <c r="C35" s="681" t="s">
        <v>374</v>
      </c>
      <c r="D35" s="681" t="s">
        <v>375</v>
      </c>
      <c r="E35" s="691">
        <f t="shared" si="22"/>
        <v>0.21858192441131011</v>
      </c>
      <c r="F35" s="680">
        <f t="shared" si="23"/>
        <v>390.82666666666665</v>
      </c>
      <c r="G35" s="680">
        <f t="shared" si="27"/>
        <v>247</v>
      </c>
      <c r="H35" s="679">
        <f t="shared" si="24"/>
        <v>437.83333333333331</v>
      </c>
      <c r="I35" s="679">
        <f t="shared" si="25"/>
        <v>320</v>
      </c>
      <c r="J35" s="679">
        <f t="shared" si="26"/>
        <v>456.4</v>
      </c>
      <c r="K35" s="673"/>
      <c r="L35" s="673"/>
      <c r="M35" s="673"/>
      <c r="N35" s="673">
        <v>160</v>
      </c>
      <c r="O35" s="673">
        <v>260</v>
      </c>
      <c r="P35" s="673">
        <v>321</v>
      </c>
      <c r="Q35" s="673">
        <v>296</v>
      </c>
      <c r="R35" s="673">
        <v>623</v>
      </c>
      <c r="S35" s="673">
        <v>396</v>
      </c>
      <c r="T35" s="673">
        <v>619</v>
      </c>
      <c r="U35" s="673">
        <v>387</v>
      </c>
      <c r="V35" s="665">
        <v>306</v>
      </c>
      <c r="W35" s="665">
        <v>247</v>
      </c>
      <c r="X35" s="665">
        <v>371</v>
      </c>
      <c r="Y35" s="665">
        <v>346</v>
      </c>
      <c r="Z35" s="665">
        <v>219</v>
      </c>
      <c r="AA35" s="665">
        <v>402</v>
      </c>
      <c r="AB35" s="665">
        <v>335</v>
      </c>
      <c r="AC35" s="665">
        <v>319</v>
      </c>
      <c r="AD35" s="665">
        <v>674</v>
      </c>
      <c r="AE35" s="665">
        <v>464</v>
      </c>
      <c r="AF35" s="665">
        <v>415</v>
      </c>
      <c r="AG35" s="665">
        <v>410</v>
      </c>
      <c r="AH35" s="665"/>
      <c r="AI35" s="666"/>
    </row>
    <row r="36" spans="1:35">
      <c r="A36" s="658" t="s">
        <v>376</v>
      </c>
      <c r="B36" s="709" t="s">
        <v>346</v>
      </c>
      <c r="C36" s="681" t="s">
        <v>377</v>
      </c>
      <c r="D36" s="681" t="s">
        <v>378</v>
      </c>
      <c r="E36" s="691">
        <f t="shared" si="22"/>
        <v>0.11333642802146893</v>
      </c>
      <c r="F36" s="680">
        <f t="shared" si="23"/>
        <v>202.64666666666668</v>
      </c>
      <c r="G36" s="680">
        <f t="shared" si="27"/>
        <v>75.333333333333329</v>
      </c>
      <c r="H36" s="679">
        <f t="shared" si="24"/>
        <v>185.66666666666666</v>
      </c>
      <c r="I36" s="679">
        <f t="shared" si="25"/>
        <v>187.66666666666666</v>
      </c>
      <c r="J36" s="679">
        <f t="shared" si="26"/>
        <v>254.2</v>
      </c>
      <c r="K36" s="673"/>
      <c r="L36" s="673"/>
      <c r="M36" s="673"/>
      <c r="N36" s="673">
        <v>63</v>
      </c>
      <c r="O36" s="673">
        <v>85</v>
      </c>
      <c r="P36" s="673">
        <v>78</v>
      </c>
      <c r="Q36" s="673">
        <v>124</v>
      </c>
      <c r="R36" s="673">
        <v>246</v>
      </c>
      <c r="S36" s="673">
        <v>307</v>
      </c>
      <c r="T36" s="673">
        <v>183</v>
      </c>
      <c r="U36" s="673">
        <v>134</v>
      </c>
      <c r="V36" s="665">
        <v>120</v>
      </c>
      <c r="W36" s="665">
        <v>99</v>
      </c>
      <c r="X36" s="665">
        <v>159</v>
      </c>
      <c r="Y36" s="665">
        <v>209</v>
      </c>
      <c r="Z36" s="665">
        <v>172</v>
      </c>
      <c r="AA36" s="665">
        <v>220</v>
      </c>
      <c r="AB36" s="665">
        <v>267</v>
      </c>
      <c r="AC36" s="665">
        <v>235</v>
      </c>
      <c r="AD36" s="665">
        <v>291</v>
      </c>
      <c r="AE36" s="665">
        <v>260</v>
      </c>
      <c r="AF36" s="665">
        <v>228</v>
      </c>
      <c r="AG36" s="665">
        <v>257</v>
      </c>
      <c r="AH36" s="665"/>
      <c r="AI36" s="666"/>
    </row>
    <row r="37" spans="1:35">
      <c r="A37" s="658" t="s">
        <v>331</v>
      </c>
      <c r="B37" s="709" t="s">
        <v>346</v>
      </c>
      <c r="C37" s="681" t="s">
        <v>379</v>
      </c>
      <c r="D37" s="681" t="s">
        <v>380</v>
      </c>
      <c r="E37" s="691">
        <f t="shared" si="22"/>
        <v>0.11732596573844666</v>
      </c>
      <c r="F37" s="680">
        <f t="shared" si="23"/>
        <v>209.78000000000003</v>
      </c>
      <c r="G37" s="680">
        <f t="shared" si="27"/>
        <v>117.66666666666667</v>
      </c>
      <c r="H37" s="679">
        <f t="shared" si="24"/>
        <v>226.66666666666666</v>
      </c>
      <c r="I37" s="679">
        <f t="shared" si="25"/>
        <v>167.33333333333334</v>
      </c>
      <c r="J37" s="679">
        <f t="shared" si="26"/>
        <v>256.2</v>
      </c>
      <c r="K37" s="673"/>
      <c r="L37" s="673"/>
      <c r="M37" s="673"/>
      <c r="N37" s="673">
        <v>91</v>
      </c>
      <c r="O37" s="673">
        <v>141</v>
      </c>
      <c r="P37" s="673">
        <v>121</v>
      </c>
      <c r="Q37" s="673">
        <v>194</v>
      </c>
      <c r="R37" s="673">
        <v>326</v>
      </c>
      <c r="S37" s="673">
        <v>246</v>
      </c>
      <c r="T37" s="673">
        <v>220</v>
      </c>
      <c r="U37" s="673">
        <v>178</v>
      </c>
      <c r="V37" s="665">
        <v>196</v>
      </c>
      <c r="W37" s="665">
        <v>143</v>
      </c>
      <c r="X37" s="665">
        <v>175</v>
      </c>
      <c r="Y37" s="665">
        <v>175</v>
      </c>
      <c r="Z37" s="665">
        <v>134</v>
      </c>
      <c r="AA37" s="665">
        <v>205</v>
      </c>
      <c r="AB37" s="665">
        <v>172</v>
      </c>
      <c r="AC37" s="665">
        <v>186</v>
      </c>
      <c r="AD37" s="665">
        <v>289</v>
      </c>
      <c r="AE37" s="665">
        <v>222</v>
      </c>
      <c r="AF37" s="665">
        <v>281</v>
      </c>
      <c r="AG37" s="665">
        <v>303</v>
      </c>
      <c r="AH37" s="665"/>
      <c r="AI37" s="666"/>
    </row>
    <row r="38" spans="1:35">
      <c r="A38" s="658" t="s">
        <v>331</v>
      </c>
      <c r="B38" s="709" t="s">
        <v>346</v>
      </c>
      <c r="C38" s="681" t="s">
        <v>381</v>
      </c>
      <c r="D38" s="681" t="s">
        <v>382</v>
      </c>
      <c r="E38" s="691">
        <f t="shared" si="22"/>
        <v>0.1759609845582519</v>
      </c>
      <c r="F38" s="680">
        <f t="shared" si="23"/>
        <v>314.62</v>
      </c>
      <c r="G38" s="680">
        <f t="shared" si="27"/>
        <v>151.33333333333334</v>
      </c>
      <c r="H38" s="679">
        <f t="shared" si="24"/>
        <v>307.83333333333331</v>
      </c>
      <c r="I38" s="679">
        <f t="shared" si="25"/>
        <v>265.33333333333331</v>
      </c>
      <c r="J38" s="679">
        <f t="shared" si="26"/>
        <v>395.8</v>
      </c>
      <c r="K38" s="673"/>
      <c r="L38" s="673"/>
      <c r="M38" s="673"/>
      <c r="N38" s="673">
        <v>122</v>
      </c>
      <c r="O38" s="673">
        <v>141</v>
      </c>
      <c r="P38" s="673">
        <v>191</v>
      </c>
      <c r="Q38" s="673">
        <v>276</v>
      </c>
      <c r="R38" s="673">
        <v>481</v>
      </c>
      <c r="S38" s="673">
        <v>334</v>
      </c>
      <c r="T38" s="673">
        <v>281</v>
      </c>
      <c r="U38" s="673">
        <v>224</v>
      </c>
      <c r="V38" s="665">
        <v>251</v>
      </c>
      <c r="W38" s="665">
        <v>190</v>
      </c>
      <c r="X38" s="665">
        <v>249</v>
      </c>
      <c r="Y38" s="665">
        <v>270</v>
      </c>
      <c r="Z38" s="665">
        <v>249</v>
      </c>
      <c r="AA38" s="665">
        <v>316</v>
      </c>
      <c r="AB38" s="665">
        <v>318</v>
      </c>
      <c r="AC38" s="665">
        <v>253</v>
      </c>
      <c r="AD38" s="665">
        <v>533</v>
      </c>
      <c r="AE38" s="665">
        <v>368</v>
      </c>
      <c r="AF38" s="665">
        <v>358</v>
      </c>
      <c r="AG38" s="665">
        <v>467</v>
      </c>
      <c r="AH38" s="665"/>
      <c r="AI38" s="666"/>
    </row>
    <row r="39" spans="1:35">
      <c r="A39" s="658" t="s">
        <v>331</v>
      </c>
      <c r="B39" s="709" t="s">
        <v>357</v>
      </c>
      <c r="C39" s="681" t="s">
        <v>383</v>
      </c>
      <c r="D39" s="681" t="s">
        <v>384</v>
      </c>
      <c r="E39" s="691">
        <f t="shared" si="22"/>
        <v>0.38218948613095544</v>
      </c>
      <c r="F39" s="680">
        <f t="shared" si="23"/>
        <v>258.57666666666671</v>
      </c>
      <c r="G39" s="680">
        <f t="shared" si="27"/>
        <v>118.33333333333333</v>
      </c>
      <c r="H39" s="679">
        <f t="shared" si="24"/>
        <v>182.66666666666666</v>
      </c>
      <c r="I39" s="679">
        <f t="shared" si="25"/>
        <v>217.5</v>
      </c>
      <c r="J39" s="679">
        <f t="shared" si="26"/>
        <v>362.4</v>
      </c>
      <c r="K39" s="673"/>
      <c r="L39" s="673"/>
      <c r="M39" s="673"/>
      <c r="N39" s="673">
        <v>75</v>
      </c>
      <c r="O39" s="673">
        <v>152</v>
      </c>
      <c r="P39" s="673">
        <v>128</v>
      </c>
      <c r="Q39" s="673">
        <v>160</v>
      </c>
      <c r="R39" s="673">
        <v>267</v>
      </c>
      <c r="S39" s="673">
        <v>218</v>
      </c>
      <c r="T39" s="673">
        <v>160</v>
      </c>
      <c r="U39" s="673">
        <v>128</v>
      </c>
      <c r="V39" s="665">
        <v>163</v>
      </c>
      <c r="W39" s="665">
        <v>170</v>
      </c>
      <c r="X39" s="665">
        <v>185</v>
      </c>
      <c r="Y39" s="665">
        <v>229</v>
      </c>
      <c r="Z39" s="665">
        <v>198</v>
      </c>
      <c r="AA39" s="665">
        <v>245</v>
      </c>
      <c r="AB39" s="665">
        <v>278</v>
      </c>
      <c r="AC39" s="665">
        <v>228</v>
      </c>
      <c r="AD39" s="665">
        <v>507</v>
      </c>
      <c r="AE39" s="665">
        <v>355</v>
      </c>
      <c r="AF39" s="665">
        <v>352</v>
      </c>
      <c r="AG39" s="665">
        <v>370</v>
      </c>
      <c r="AH39" s="665"/>
      <c r="AI39" s="666"/>
    </row>
    <row r="40" spans="1:35">
      <c r="A40" s="658" t="s">
        <v>331</v>
      </c>
      <c r="B40" s="709" t="s">
        <v>357</v>
      </c>
      <c r="C40" s="681" t="s">
        <v>385</v>
      </c>
      <c r="D40" s="681" t="s">
        <v>386</v>
      </c>
      <c r="E40" s="691">
        <f t="shared" si="22"/>
        <v>0.27832191949549201</v>
      </c>
      <c r="F40" s="680">
        <f t="shared" si="23"/>
        <v>188.30333333333334</v>
      </c>
      <c r="G40" s="680">
        <f t="shared" si="27"/>
        <v>79.333333333333329</v>
      </c>
      <c r="H40" s="679">
        <f t="shared" si="24"/>
        <v>140</v>
      </c>
      <c r="I40" s="679">
        <f t="shared" si="25"/>
        <v>176.16666666666666</v>
      </c>
      <c r="J40" s="679">
        <f t="shared" si="26"/>
        <v>248.8</v>
      </c>
      <c r="K40" s="673"/>
      <c r="L40" s="673"/>
      <c r="M40" s="673"/>
      <c r="N40" s="673">
        <v>52</v>
      </c>
      <c r="O40" s="673">
        <v>100</v>
      </c>
      <c r="P40" s="673">
        <v>86</v>
      </c>
      <c r="Q40" s="673">
        <v>124</v>
      </c>
      <c r="R40" s="673">
        <v>190</v>
      </c>
      <c r="S40" s="673">
        <v>161</v>
      </c>
      <c r="T40" s="673">
        <v>144</v>
      </c>
      <c r="U40" s="673">
        <v>119</v>
      </c>
      <c r="V40" s="665">
        <v>102</v>
      </c>
      <c r="W40" s="665">
        <v>134</v>
      </c>
      <c r="X40" s="665">
        <v>155</v>
      </c>
      <c r="Y40" s="665">
        <v>131</v>
      </c>
      <c r="Z40" s="665">
        <v>187</v>
      </c>
      <c r="AA40" s="665">
        <v>207</v>
      </c>
      <c r="AB40" s="665">
        <v>243</v>
      </c>
      <c r="AC40" s="665">
        <v>187</v>
      </c>
      <c r="AD40" s="665">
        <v>323</v>
      </c>
      <c r="AE40" s="665">
        <v>238</v>
      </c>
      <c r="AF40" s="665">
        <v>227</v>
      </c>
      <c r="AG40" s="665">
        <v>269</v>
      </c>
      <c r="AH40" s="665"/>
      <c r="AI40" s="666"/>
    </row>
    <row r="41" spans="1:35">
      <c r="A41" s="658" t="s">
        <v>331</v>
      </c>
      <c r="B41" s="709" t="s">
        <v>357</v>
      </c>
      <c r="C41" s="681" t="s">
        <v>387</v>
      </c>
      <c r="D41" s="681" t="s">
        <v>388</v>
      </c>
      <c r="E41" s="691">
        <f t="shared" si="22"/>
        <v>0.33948859437355278</v>
      </c>
      <c r="F41" s="680">
        <f t="shared" si="23"/>
        <v>229.68666666666667</v>
      </c>
      <c r="G41" s="680">
        <f t="shared" si="27"/>
        <v>89</v>
      </c>
      <c r="H41" s="679">
        <f t="shared" si="24"/>
        <v>239.33333333333334</v>
      </c>
      <c r="I41" s="679">
        <f t="shared" si="25"/>
        <v>196.66666666666666</v>
      </c>
      <c r="J41" s="679">
        <f t="shared" si="26"/>
        <v>284.8</v>
      </c>
      <c r="K41" s="673"/>
      <c r="L41" s="673"/>
      <c r="M41" s="673"/>
      <c r="N41" s="673">
        <v>57</v>
      </c>
      <c r="O41" s="673">
        <v>100</v>
      </c>
      <c r="P41" s="673">
        <v>110</v>
      </c>
      <c r="Q41" s="673">
        <v>177</v>
      </c>
      <c r="R41" s="673">
        <v>249</v>
      </c>
      <c r="S41" s="673">
        <v>301</v>
      </c>
      <c r="T41" s="673">
        <v>383</v>
      </c>
      <c r="U41" s="673">
        <v>162</v>
      </c>
      <c r="V41" s="665">
        <v>164</v>
      </c>
      <c r="W41" s="665">
        <v>174</v>
      </c>
      <c r="X41" s="665">
        <v>220</v>
      </c>
      <c r="Y41" s="665">
        <v>206</v>
      </c>
      <c r="Z41" s="665">
        <v>184</v>
      </c>
      <c r="AA41" s="665">
        <v>187</v>
      </c>
      <c r="AB41" s="665">
        <v>209</v>
      </c>
      <c r="AC41" s="665">
        <v>197</v>
      </c>
      <c r="AD41" s="665">
        <v>332</v>
      </c>
      <c r="AE41" s="665">
        <v>248</v>
      </c>
      <c r="AF41" s="665">
        <v>308</v>
      </c>
      <c r="AG41" s="665">
        <v>339</v>
      </c>
      <c r="AH41" s="665"/>
      <c r="AI41" s="666"/>
    </row>
    <row r="42" spans="1:35">
      <c r="A42" s="658" t="s">
        <v>332</v>
      </c>
      <c r="B42" s="709" t="s">
        <v>358</v>
      </c>
      <c r="C42" s="681" t="s">
        <v>389</v>
      </c>
      <c r="D42" s="681" t="s">
        <v>348</v>
      </c>
      <c r="E42" s="691">
        <f t="shared" si="22"/>
        <v>0.17641848112872946</v>
      </c>
      <c r="F42" s="680">
        <f t="shared" si="23"/>
        <v>339.89666666666665</v>
      </c>
      <c r="G42" s="680">
        <f t="shared" si="27"/>
        <v>246</v>
      </c>
      <c r="H42" s="679">
        <f t="shared" si="24"/>
        <v>355.33333333333331</v>
      </c>
      <c r="I42" s="679">
        <f t="shared" si="25"/>
        <v>275.16666666666669</v>
      </c>
      <c r="J42" s="679">
        <f t="shared" si="26"/>
        <v>404.2</v>
      </c>
      <c r="K42" s="673"/>
      <c r="L42" s="673"/>
      <c r="M42" s="673"/>
      <c r="N42" s="673">
        <v>109</v>
      </c>
      <c r="O42" s="673">
        <v>318</v>
      </c>
      <c r="P42" s="673">
        <v>311</v>
      </c>
      <c r="Q42" s="673">
        <v>364</v>
      </c>
      <c r="R42" s="673">
        <v>472</v>
      </c>
      <c r="S42" s="673">
        <v>443</v>
      </c>
      <c r="T42" s="673">
        <v>338</v>
      </c>
      <c r="U42" s="673">
        <v>264</v>
      </c>
      <c r="V42" s="665">
        <v>251</v>
      </c>
      <c r="W42" s="665">
        <v>223</v>
      </c>
      <c r="X42" s="665">
        <v>251</v>
      </c>
      <c r="Y42" s="665">
        <v>274</v>
      </c>
      <c r="Z42" s="665">
        <v>267</v>
      </c>
      <c r="AA42" s="665">
        <v>251</v>
      </c>
      <c r="AB42" s="665">
        <v>385</v>
      </c>
      <c r="AC42" s="665">
        <v>337</v>
      </c>
      <c r="AD42" s="665">
        <v>574</v>
      </c>
      <c r="AE42" s="665">
        <v>330</v>
      </c>
      <c r="AF42" s="665">
        <v>395</v>
      </c>
      <c r="AG42" s="665">
        <v>385</v>
      </c>
      <c r="AH42" s="665"/>
      <c r="AI42" s="666"/>
    </row>
    <row r="43" spans="1:35">
      <c r="A43" s="658" t="s">
        <v>332</v>
      </c>
      <c r="B43" s="709" t="s">
        <v>358</v>
      </c>
      <c r="C43" s="681" t="s">
        <v>390</v>
      </c>
      <c r="D43" s="681" t="s">
        <v>391</v>
      </c>
      <c r="E43" s="691">
        <f t="shared" si="22"/>
        <v>0.13632989904756959</v>
      </c>
      <c r="F43" s="680">
        <f t="shared" si="23"/>
        <v>262.65999999999997</v>
      </c>
      <c r="G43" s="680">
        <f t="shared" si="27"/>
        <v>175.66666666666666</v>
      </c>
      <c r="H43" s="679">
        <f t="shared" si="24"/>
        <v>328.16666666666669</v>
      </c>
      <c r="I43" s="679">
        <f t="shared" si="25"/>
        <v>225.66666666666666</v>
      </c>
      <c r="J43" s="679">
        <f t="shared" si="26"/>
        <v>279.39999999999998</v>
      </c>
      <c r="K43" s="673"/>
      <c r="L43" s="673"/>
      <c r="M43" s="673"/>
      <c r="N43" s="673">
        <v>121</v>
      </c>
      <c r="O43" s="673">
        <v>191</v>
      </c>
      <c r="P43" s="673">
        <v>215</v>
      </c>
      <c r="Q43" s="673">
        <v>204</v>
      </c>
      <c r="R43" s="673">
        <v>546</v>
      </c>
      <c r="S43" s="673">
        <v>358</v>
      </c>
      <c r="T43" s="673">
        <v>418</v>
      </c>
      <c r="U43" s="673">
        <v>237</v>
      </c>
      <c r="V43" s="665">
        <v>206</v>
      </c>
      <c r="W43" s="665">
        <v>172</v>
      </c>
      <c r="X43" s="665">
        <v>291</v>
      </c>
      <c r="Y43" s="665">
        <v>247</v>
      </c>
      <c r="Z43" s="665">
        <v>229</v>
      </c>
      <c r="AA43" s="665">
        <v>183</v>
      </c>
      <c r="AB43" s="665">
        <v>232</v>
      </c>
      <c r="AC43" s="665">
        <v>233</v>
      </c>
      <c r="AD43" s="665">
        <v>375</v>
      </c>
      <c r="AE43" s="665">
        <v>250</v>
      </c>
      <c r="AF43" s="665">
        <v>242</v>
      </c>
      <c r="AG43" s="665">
        <v>297</v>
      </c>
      <c r="AH43" s="665"/>
      <c r="AI43" s="666"/>
    </row>
    <row r="44" spans="1:35">
      <c r="A44" s="658" t="s">
        <v>332</v>
      </c>
      <c r="B44" s="709" t="s">
        <v>358</v>
      </c>
      <c r="C44" s="681" t="s">
        <v>392</v>
      </c>
      <c r="D44" s="681" t="s">
        <v>393</v>
      </c>
      <c r="E44" s="691">
        <f t="shared" si="22"/>
        <v>0.18692722255382829</v>
      </c>
      <c r="F44" s="680">
        <f t="shared" si="23"/>
        <v>360.14333333333332</v>
      </c>
      <c r="G44" s="680">
        <f t="shared" si="27"/>
        <v>222.33333333333334</v>
      </c>
      <c r="H44" s="679">
        <f t="shared" si="24"/>
        <v>358.5</v>
      </c>
      <c r="I44" s="679">
        <f t="shared" si="25"/>
        <v>332.16666666666669</v>
      </c>
      <c r="J44" s="679">
        <f t="shared" si="26"/>
        <v>416.4</v>
      </c>
      <c r="K44" s="673"/>
      <c r="L44" s="673"/>
      <c r="M44" s="673"/>
      <c r="N44" s="673">
        <v>112</v>
      </c>
      <c r="O44" s="673">
        <v>255</v>
      </c>
      <c r="P44" s="673">
        <v>300</v>
      </c>
      <c r="Q44" s="673">
        <v>417</v>
      </c>
      <c r="R44" s="673">
        <v>434</v>
      </c>
      <c r="S44" s="673">
        <v>457</v>
      </c>
      <c r="T44" s="673">
        <v>297</v>
      </c>
      <c r="U44" s="673">
        <v>230</v>
      </c>
      <c r="V44" s="665">
        <v>316</v>
      </c>
      <c r="W44" s="665">
        <v>137</v>
      </c>
      <c r="X44" s="665">
        <v>186</v>
      </c>
      <c r="Y44" s="665">
        <v>429</v>
      </c>
      <c r="Z44" s="665">
        <v>303</v>
      </c>
      <c r="AA44" s="665">
        <v>436</v>
      </c>
      <c r="AB44" s="665">
        <v>502</v>
      </c>
      <c r="AC44" s="665">
        <v>531</v>
      </c>
      <c r="AD44" s="665">
        <v>500</v>
      </c>
      <c r="AE44" s="665">
        <v>481</v>
      </c>
      <c r="AF44" s="665">
        <v>253</v>
      </c>
      <c r="AG44" s="665">
        <v>317</v>
      </c>
      <c r="AH44" s="665"/>
      <c r="AI44" s="666"/>
    </row>
    <row r="45" spans="1:35">
      <c r="A45" s="658" t="s">
        <v>394</v>
      </c>
      <c r="B45" s="709" t="s">
        <v>358</v>
      </c>
      <c r="C45" s="681" t="s">
        <v>395</v>
      </c>
      <c r="D45" s="681" t="s">
        <v>396</v>
      </c>
      <c r="E45" s="691">
        <f t="shared" si="22"/>
        <v>9.2905647972733318E-2</v>
      </c>
      <c r="F45" s="680">
        <f t="shared" si="23"/>
        <v>178.99666666666667</v>
      </c>
      <c r="G45" s="680">
        <f t="shared" si="27"/>
        <v>92</v>
      </c>
      <c r="H45" s="679">
        <f t="shared" si="24"/>
        <v>161.83333333333334</v>
      </c>
      <c r="I45" s="679">
        <f t="shared" si="25"/>
        <v>148.5</v>
      </c>
      <c r="J45" s="679">
        <f t="shared" si="26"/>
        <v>232.2</v>
      </c>
      <c r="K45" s="673"/>
      <c r="L45" s="673"/>
      <c r="M45" s="673"/>
      <c r="N45" s="673">
        <v>57</v>
      </c>
      <c r="O45" s="673">
        <v>108</v>
      </c>
      <c r="P45" s="673">
        <v>111</v>
      </c>
      <c r="Q45" s="673">
        <v>151</v>
      </c>
      <c r="R45" s="673">
        <v>250</v>
      </c>
      <c r="S45" s="673">
        <v>167</v>
      </c>
      <c r="T45" s="673">
        <v>168</v>
      </c>
      <c r="U45" s="673">
        <v>131</v>
      </c>
      <c r="V45" s="665">
        <v>104</v>
      </c>
      <c r="W45" s="665">
        <v>123</v>
      </c>
      <c r="X45" s="665">
        <v>161</v>
      </c>
      <c r="Y45" s="665">
        <v>168</v>
      </c>
      <c r="Z45" s="665">
        <v>123</v>
      </c>
      <c r="AA45" s="665">
        <v>152</v>
      </c>
      <c r="AB45" s="665">
        <v>164</v>
      </c>
      <c r="AC45" s="665">
        <v>194</v>
      </c>
      <c r="AD45" s="665">
        <v>343</v>
      </c>
      <c r="AE45" s="665">
        <v>214</v>
      </c>
      <c r="AF45" s="665">
        <v>170</v>
      </c>
      <c r="AG45" s="665">
        <v>240</v>
      </c>
      <c r="AH45" s="665"/>
      <c r="AI45" s="666"/>
    </row>
    <row r="46" spans="1:35">
      <c r="A46" s="658" t="s">
        <v>332</v>
      </c>
      <c r="B46" s="709" t="s">
        <v>358</v>
      </c>
      <c r="C46" s="681" t="s">
        <v>397</v>
      </c>
      <c r="D46" s="681" t="s">
        <v>398</v>
      </c>
      <c r="E46" s="691">
        <f t="shared" si="22"/>
        <v>0.10713933511535567</v>
      </c>
      <c r="F46" s="680">
        <f t="shared" si="23"/>
        <v>206.42000000000002</v>
      </c>
      <c r="G46" s="680">
        <f t="shared" si="27"/>
        <v>129.33333333333334</v>
      </c>
      <c r="H46" s="679">
        <f t="shared" si="24"/>
        <v>235.33333333333334</v>
      </c>
      <c r="I46" s="679">
        <f t="shared" si="25"/>
        <v>173.66666666666666</v>
      </c>
      <c r="J46" s="679">
        <f t="shared" si="26"/>
        <v>235.8</v>
      </c>
      <c r="K46" s="673"/>
      <c r="L46" s="673"/>
      <c r="M46" s="673"/>
      <c r="N46" s="673">
        <v>86</v>
      </c>
      <c r="O46" s="673">
        <v>152</v>
      </c>
      <c r="P46" s="673">
        <v>150</v>
      </c>
      <c r="Q46" s="673">
        <v>200</v>
      </c>
      <c r="R46" s="673">
        <v>348</v>
      </c>
      <c r="S46" s="673">
        <v>297</v>
      </c>
      <c r="T46" s="673">
        <v>247</v>
      </c>
      <c r="U46" s="673">
        <v>176</v>
      </c>
      <c r="V46" s="665">
        <v>144</v>
      </c>
      <c r="W46" s="665">
        <v>117</v>
      </c>
      <c r="X46" s="665">
        <v>158</v>
      </c>
      <c r="Y46" s="665">
        <v>151</v>
      </c>
      <c r="Z46" s="665">
        <v>199</v>
      </c>
      <c r="AA46" s="665">
        <v>211</v>
      </c>
      <c r="AB46" s="665">
        <v>206</v>
      </c>
      <c r="AC46" s="665">
        <v>204</v>
      </c>
      <c r="AD46" s="665">
        <v>292</v>
      </c>
      <c r="AE46" s="665">
        <v>216</v>
      </c>
      <c r="AF46" s="665">
        <v>200</v>
      </c>
      <c r="AG46" s="665">
        <v>267</v>
      </c>
      <c r="AH46" s="665"/>
      <c r="AI46" s="666"/>
    </row>
    <row r="47" spans="1:35">
      <c r="A47" s="658" t="s">
        <v>332</v>
      </c>
      <c r="B47" s="709" t="s">
        <v>358</v>
      </c>
      <c r="C47" s="681" t="s">
        <v>399</v>
      </c>
      <c r="D47" s="681" t="s">
        <v>400</v>
      </c>
      <c r="E47" s="691">
        <f t="shared" si="22"/>
        <v>0.12875716917966418</v>
      </c>
      <c r="F47" s="680">
        <f t="shared" si="23"/>
        <v>248.07000000000002</v>
      </c>
      <c r="G47" s="680">
        <f t="shared" si="27"/>
        <v>156.33333333333334</v>
      </c>
      <c r="H47" s="679">
        <f t="shared" si="24"/>
        <v>252.33333333333334</v>
      </c>
      <c r="I47" s="679">
        <f t="shared" si="25"/>
        <v>181.5</v>
      </c>
      <c r="J47" s="679">
        <f t="shared" si="26"/>
        <v>318.8</v>
      </c>
      <c r="K47" s="673"/>
      <c r="L47" s="673"/>
      <c r="M47" s="673"/>
      <c r="N47" s="673">
        <v>128</v>
      </c>
      <c r="O47" s="673">
        <v>147</v>
      </c>
      <c r="P47" s="673">
        <v>194</v>
      </c>
      <c r="Q47" s="673">
        <v>200</v>
      </c>
      <c r="R47" s="673">
        <v>477</v>
      </c>
      <c r="S47" s="673">
        <v>278</v>
      </c>
      <c r="T47" s="673">
        <v>263</v>
      </c>
      <c r="U47" s="673">
        <v>151</v>
      </c>
      <c r="V47" s="665">
        <v>145</v>
      </c>
      <c r="W47" s="665">
        <v>138</v>
      </c>
      <c r="X47" s="665">
        <v>165</v>
      </c>
      <c r="Y47" s="665">
        <v>193</v>
      </c>
      <c r="Z47" s="665">
        <v>165</v>
      </c>
      <c r="AA47" s="665">
        <v>141</v>
      </c>
      <c r="AB47" s="665">
        <v>287</v>
      </c>
      <c r="AC47" s="665">
        <v>267</v>
      </c>
      <c r="AD47" s="665">
        <v>460</v>
      </c>
      <c r="AE47" s="665">
        <v>250</v>
      </c>
      <c r="AF47" s="665">
        <v>261</v>
      </c>
      <c r="AG47" s="665">
        <v>356</v>
      </c>
      <c r="AH47" s="665"/>
      <c r="AI47" s="666"/>
    </row>
    <row r="48" spans="1:35">
      <c r="A48" s="658" t="s">
        <v>332</v>
      </c>
      <c r="B48" s="709" t="s">
        <v>358</v>
      </c>
      <c r="C48" s="681" t="s">
        <v>401</v>
      </c>
      <c r="D48" s="681" t="s">
        <v>402</v>
      </c>
      <c r="E48" s="691">
        <f t="shared" si="22"/>
        <v>0.1057396690282788</v>
      </c>
      <c r="F48" s="680">
        <f t="shared" si="23"/>
        <v>203.72333333333336</v>
      </c>
      <c r="G48" s="680">
        <f t="shared" si="27"/>
        <v>108.66666666666667</v>
      </c>
      <c r="H48" s="679">
        <f t="shared" si="24"/>
        <v>150.83333333333334</v>
      </c>
      <c r="I48" s="679">
        <f t="shared" si="25"/>
        <v>181.5</v>
      </c>
      <c r="J48" s="679">
        <f t="shared" si="26"/>
        <v>270.60000000000002</v>
      </c>
      <c r="K48" s="673"/>
      <c r="L48" s="673"/>
      <c r="M48" s="673"/>
      <c r="N48" s="673">
        <v>75</v>
      </c>
      <c r="O48" s="673">
        <v>156</v>
      </c>
      <c r="P48" s="673">
        <v>95</v>
      </c>
      <c r="Q48" s="673">
        <v>128</v>
      </c>
      <c r="R48" s="673">
        <v>198</v>
      </c>
      <c r="S48" s="673">
        <v>197</v>
      </c>
      <c r="T48" s="673">
        <v>180</v>
      </c>
      <c r="U48" s="673">
        <v>90</v>
      </c>
      <c r="V48" s="665">
        <v>112</v>
      </c>
      <c r="W48" s="665">
        <v>85</v>
      </c>
      <c r="X48" s="665">
        <v>145</v>
      </c>
      <c r="Y48" s="665">
        <v>196</v>
      </c>
      <c r="Z48" s="665">
        <v>183</v>
      </c>
      <c r="AA48" s="665">
        <v>217</v>
      </c>
      <c r="AB48" s="665">
        <v>263</v>
      </c>
      <c r="AC48" s="665">
        <v>237</v>
      </c>
      <c r="AD48" s="665">
        <v>385</v>
      </c>
      <c r="AE48" s="665">
        <v>255</v>
      </c>
      <c r="AF48" s="665">
        <v>218</v>
      </c>
      <c r="AG48" s="665">
        <v>258</v>
      </c>
      <c r="AH48" s="665"/>
      <c r="AI48" s="666"/>
    </row>
    <row r="49" spans="1:35">
      <c r="A49" s="658" t="s">
        <v>332</v>
      </c>
      <c r="B49" s="709" t="s">
        <v>358</v>
      </c>
      <c r="C49" s="681" t="s">
        <v>403</v>
      </c>
      <c r="D49" s="681" t="s">
        <v>404</v>
      </c>
      <c r="E49" s="691">
        <f t="shared" si="22"/>
        <v>6.5782575973840601E-2</v>
      </c>
      <c r="F49" s="680">
        <f t="shared" si="23"/>
        <v>126.74</v>
      </c>
      <c r="G49" s="680">
        <f t="shared" si="27"/>
        <v>64.666666666666671</v>
      </c>
      <c r="H49" s="679">
        <f t="shared" si="24"/>
        <v>123.16666666666667</v>
      </c>
      <c r="I49" s="679">
        <f t="shared" si="25"/>
        <v>98</v>
      </c>
      <c r="J49" s="679">
        <f t="shared" si="26"/>
        <v>165.6</v>
      </c>
      <c r="K49" s="673"/>
      <c r="L49" s="673"/>
      <c r="M49" s="673"/>
      <c r="N49" s="673">
        <v>51</v>
      </c>
      <c r="O49" s="673">
        <v>65</v>
      </c>
      <c r="P49" s="673">
        <v>78</v>
      </c>
      <c r="Q49" s="673">
        <v>101</v>
      </c>
      <c r="R49" s="673">
        <v>239</v>
      </c>
      <c r="S49" s="673">
        <v>116</v>
      </c>
      <c r="T49" s="673">
        <v>124</v>
      </c>
      <c r="U49" s="673">
        <v>79</v>
      </c>
      <c r="V49" s="665">
        <v>80</v>
      </c>
      <c r="W49" s="665">
        <v>83</v>
      </c>
      <c r="X49" s="665">
        <v>89</v>
      </c>
      <c r="Y49" s="665">
        <v>113</v>
      </c>
      <c r="Z49" s="665">
        <v>95</v>
      </c>
      <c r="AA49" s="665">
        <v>89</v>
      </c>
      <c r="AB49" s="665">
        <v>119</v>
      </c>
      <c r="AC49" s="665">
        <v>107</v>
      </c>
      <c r="AD49" s="665">
        <v>261</v>
      </c>
      <c r="AE49" s="665">
        <v>147</v>
      </c>
      <c r="AF49" s="665">
        <v>153</v>
      </c>
      <c r="AG49" s="665">
        <v>160</v>
      </c>
      <c r="AH49" s="665"/>
      <c r="AI49" s="666"/>
    </row>
    <row r="50" spans="1:35">
      <c r="A50" s="658" t="s">
        <v>332</v>
      </c>
      <c r="B50" s="709" t="s">
        <v>353</v>
      </c>
      <c r="C50" s="681" t="s">
        <v>405</v>
      </c>
      <c r="D50" s="681" t="s">
        <v>406</v>
      </c>
      <c r="E50" s="691">
        <f t="shared" si="22"/>
        <v>0.11692746827055406</v>
      </c>
      <c r="F50" s="680">
        <f t="shared" si="23"/>
        <v>191.16666666666669</v>
      </c>
      <c r="G50" s="680">
        <f t="shared" si="27"/>
        <v>93</v>
      </c>
      <c r="H50" s="679">
        <f t="shared" si="24"/>
        <v>195.83333333333334</v>
      </c>
      <c r="I50" s="679">
        <f t="shared" si="25"/>
        <v>163.66666666666666</v>
      </c>
      <c r="J50" s="679">
        <f t="shared" si="26"/>
        <v>234</v>
      </c>
      <c r="K50" s="673"/>
      <c r="L50" s="673"/>
      <c r="M50" s="673"/>
      <c r="N50" s="673">
        <v>72</v>
      </c>
      <c r="O50" s="673">
        <v>107</v>
      </c>
      <c r="P50" s="673">
        <v>100</v>
      </c>
      <c r="Q50" s="673">
        <v>122</v>
      </c>
      <c r="R50" s="673">
        <v>254</v>
      </c>
      <c r="S50" s="673">
        <v>227</v>
      </c>
      <c r="T50" s="673">
        <v>212</v>
      </c>
      <c r="U50" s="673">
        <v>205</v>
      </c>
      <c r="V50" s="665">
        <v>155</v>
      </c>
      <c r="W50" s="665">
        <v>91</v>
      </c>
      <c r="X50" s="665">
        <v>133</v>
      </c>
      <c r="Y50" s="665">
        <v>149</v>
      </c>
      <c r="Z50" s="665">
        <v>142</v>
      </c>
      <c r="AA50" s="665">
        <v>212</v>
      </c>
      <c r="AB50" s="665">
        <v>255</v>
      </c>
      <c r="AC50" s="665">
        <v>204</v>
      </c>
      <c r="AD50" s="665">
        <v>302</v>
      </c>
      <c r="AE50" s="665">
        <v>204</v>
      </c>
      <c r="AF50" s="665">
        <v>214</v>
      </c>
      <c r="AG50" s="665">
        <v>246</v>
      </c>
      <c r="AH50" s="665"/>
      <c r="AI50" s="666"/>
    </row>
    <row r="51" spans="1:35">
      <c r="A51" s="658" t="s">
        <v>332</v>
      </c>
      <c r="B51" s="709" t="s">
        <v>353</v>
      </c>
      <c r="C51" s="681" t="s">
        <v>407</v>
      </c>
      <c r="D51" s="681" t="s">
        <v>408</v>
      </c>
      <c r="E51" s="691">
        <f t="shared" si="22"/>
        <v>9.8614608287884209E-2</v>
      </c>
      <c r="F51" s="680">
        <f t="shared" si="23"/>
        <v>161.22666666666669</v>
      </c>
      <c r="G51" s="680">
        <f t="shared" si="27"/>
        <v>66.333333333333329</v>
      </c>
      <c r="H51" s="679">
        <f t="shared" si="24"/>
        <v>138.16666666666666</v>
      </c>
      <c r="I51" s="679">
        <f t="shared" si="25"/>
        <v>132</v>
      </c>
      <c r="J51" s="679">
        <f t="shared" si="26"/>
        <v>218.4</v>
      </c>
      <c r="K51" s="673"/>
      <c r="L51" s="673"/>
      <c r="M51" s="673"/>
      <c r="N51" s="673">
        <v>68</v>
      </c>
      <c r="O51" s="673">
        <v>66</v>
      </c>
      <c r="P51" s="673">
        <v>65</v>
      </c>
      <c r="Q51" s="673">
        <v>109</v>
      </c>
      <c r="R51" s="673">
        <v>221</v>
      </c>
      <c r="S51" s="673">
        <v>153</v>
      </c>
      <c r="T51" s="673">
        <v>122</v>
      </c>
      <c r="U51" s="673">
        <v>116</v>
      </c>
      <c r="V51" s="665">
        <v>108</v>
      </c>
      <c r="W51" s="665">
        <v>109</v>
      </c>
      <c r="X51" s="665">
        <v>113</v>
      </c>
      <c r="Y51" s="665">
        <v>147</v>
      </c>
      <c r="Z51" s="665">
        <v>117</v>
      </c>
      <c r="AA51" s="665">
        <v>131</v>
      </c>
      <c r="AB51" s="665">
        <v>175</v>
      </c>
      <c r="AC51" s="665">
        <v>158</v>
      </c>
      <c r="AD51" s="665">
        <v>290</v>
      </c>
      <c r="AE51" s="665">
        <v>203</v>
      </c>
      <c r="AF51" s="665">
        <v>178</v>
      </c>
      <c r="AG51" s="665">
        <v>263</v>
      </c>
      <c r="AH51" s="665"/>
      <c r="AI51" s="666"/>
    </row>
    <row r="52" spans="1:35">
      <c r="A52" s="658" t="s">
        <v>332</v>
      </c>
      <c r="B52" s="709" t="s">
        <v>353</v>
      </c>
      <c r="C52" s="681" t="s">
        <v>409</v>
      </c>
      <c r="D52" s="681" t="s">
        <v>410</v>
      </c>
      <c r="E52" s="691">
        <f t="shared" si="22"/>
        <v>0.10113257556450381</v>
      </c>
      <c r="F52" s="680">
        <f t="shared" si="23"/>
        <v>165.34333333333336</v>
      </c>
      <c r="G52" s="680">
        <f t="shared" si="27"/>
        <v>72</v>
      </c>
      <c r="H52" s="679">
        <f t="shared" si="24"/>
        <v>173.16666666666666</v>
      </c>
      <c r="I52" s="679">
        <f t="shared" si="25"/>
        <v>97.833333333333329</v>
      </c>
      <c r="J52" s="679">
        <f t="shared" si="26"/>
        <v>235.4</v>
      </c>
      <c r="K52" s="673"/>
      <c r="L52" s="673"/>
      <c r="M52" s="673"/>
      <c r="N52" s="673">
        <v>45</v>
      </c>
      <c r="O52" s="673">
        <v>76</v>
      </c>
      <c r="P52" s="673">
        <v>95</v>
      </c>
      <c r="Q52" s="673">
        <v>162</v>
      </c>
      <c r="R52" s="673">
        <v>314</v>
      </c>
      <c r="S52" s="673">
        <v>219</v>
      </c>
      <c r="T52" s="673">
        <v>113</v>
      </c>
      <c r="U52" s="673">
        <v>118</v>
      </c>
      <c r="V52" s="665">
        <v>113</v>
      </c>
      <c r="W52" s="665">
        <v>63</v>
      </c>
      <c r="X52" s="665">
        <v>64</v>
      </c>
      <c r="Y52" s="665">
        <v>70</v>
      </c>
      <c r="Z52" s="665">
        <v>85</v>
      </c>
      <c r="AA52" s="665">
        <v>149</v>
      </c>
      <c r="AB52" s="665">
        <v>156</v>
      </c>
      <c r="AC52" s="665">
        <v>190</v>
      </c>
      <c r="AD52" s="665">
        <v>283</v>
      </c>
      <c r="AE52" s="665">
        <v>215</v>
      </c>
      <c r="AF52" s="665">
        <v>213</v>
      </c>
      <c r="AG52" s="665">
        <v>276</v>
      </c>
      <c r="AH52" s="665"/>
      <c r="AI52" s="666"/>
    </row>
    <row r="53" spans="1:35">
      <c r="A53" s="658" t="s">
        <v>394</v>
      </c>
      <c r="B53" s="709" t="s">
        <v>353</v>
      </c>
      <c r="C53" s="681" t="s">
        <v>411</v>
      </c>
      <c r="D53" s="681" t="s">
        <v>412</v>
      </c>
      <c r="E53" s="691">
        <f t="shared" si="22"/>
        <v>8.089912839594271E-2</v>
      </c>
      <c r="F53" s="680">
        <f t="shared" si="23"/>
        <v>132.26333333333335</v>
      </c>
      <c r="G53" s="680">
        <f t="shared" si="27"/>
        <v>83.666666666666671</v>
      </c>
      <c r="H53" s="679">
        <f t="shared" si="24"/>
        <v>143.33333333333334</v>
      </c>
      <c r="I53" s="679">
        <f t="shared" si="25"/>
        <v>105.16666666666667</v>
      </c>
      <c r="J53" s="679">
        <f t="shared" si="26"/>
        <v>159.19999999999999</v>
      </c>
      <c r="K53" s="673"/>
      <c r="L53" s="673"/>
      <c r="M53" s="673"/>
      <c r="N53" s="673">
        <v>94</v>
      </c>
      <c r="O53" s="673">
        <v>83</v>
      </c>
      <c r="P53" s="673">
        <v>74</v>
      </c>
      <c r="Q53" s="673">
        <v>116</v>
      </c>
      <c r="R53" s="673">
        <v>224</v>
      </c>
      <c r="S53" s="673">
        <v>178</v>
      </c>
      <c r="T53" s="673">
        <v>133</v>
      </c>
      <c r="U53" s="673">
        <v>83</v>
      </c>
      <c r="V53" s="665">
        <v>126</v>
      </c>
      <c r="W53" s="665">
        <v>79</v>
      </c>
      <c r="X53" s="665">
        <v>74</v>
      </c>
      <c r="Y53" s="665">
        <v>82</v>
      </c>
      <c r="Z53" s="665">
        <v>99</v>
      </c>
      <c r="AA53" s="665">
        <v>143</v>
      </c>
      <c r="AB53" s="665">
        <v>154</v>
      </c>
      <c r="AC53" s="665">
        <v>124</v>
      </c>
      <c r="AD53" s="665">
        <v>239</v>
      </c>
      <c r="AE53" s="665">
        <v>162</v>
      </c>
      <c r="AF53" s="665">
        <v>126</v>
      </c>
      <c r="AG53" s="665">
        <v>145</v>
      </c>
      <c r="AH53" s="665"/>
      <c r="AI53" s="666"/>
    </row>
    <row r="54" spans="1:35">
      <c r="A54" s="658" t="s">
        <v>332</v>
      </c>
      <c r="B54" s="709" t="s">
        <v>353</v>
      </c>
      <c r="C54" s="681" t="s">
        <v>413</v>
      </c>
      <c r="D54" s="681" t="s">
        <v>414</v>
      </c>
      <c r="E54" s="691">
        <f t="shared" si="22"/>
        <v>0.13824150058616647</v>
      </c>
      <c r="F54" s="680">
        <f t="shared" si="23"/>
        <v>226.01333333333332</v>
      </c>
      <c r="G54" s="680">
        <f t="shared" si="27"/>
        <v>147.33333333333334</v>
      </c>
      <c r="H54" s="679">
        <f t="shared" si="24"/>
        <v>247.5</v>
      </c>
      <c r="I54" s="679">
        <f t="shared" si="25"/>
        <v>153.66666666666666</v>
      </c>
      <c r="J54" s="679">
        <f t="shared" si="26"/>
        <v>289.2</v>
      </c>
      <c r="K54" s="673"/>
      <c r="L54" s="673"/>
      <c r="M54" s="673"/>
      <c r="N54" s="673">
        <v>107</v>
      </c>
      <c r="O54" s="673">
        <v>163</v>
      </c>
      <c r="P54" s="673">
        <v>172</v>
      </c>
      <c r="Q54" s="673">
        <v>219</v>
      </c>
      <c r="R54" s="673">
        <v>386</v>
      </c>
      <c r="S54" s="673">
        <v>228</v>
      </c>
      <c r="T54" s="673">
        <v>255</v>
      </c>
      <c r="U54" s="673">
        <v>208</v>
      </c>
      <c r="V54" s="665">
        <v>189</v>
      </c>
      <c r="W54" s="665">
        <v>161</v>
      </c>
      <c r="X54" s="665">
        <v>150</v>
      </c>
      <c r="Y54" s="665">
        <v>113</v>
      </c>
      <c r="Z54" s="665">
        <v>132</v>
      </c>
      <c r="AA54" s="665">
        <v>201</v>
      </c>
      <c r="AB54" s="665">
        <v>165</v>
      </c>
      <c r="AC54" s="665">
        <v>224</v>
      </c>
      <c r="AD54" s="665">
        <v>392</v>
      </c>
      <c r="AE54" s="665">
        <v>292</v>
      </c>
      <c r="AF54" s="665">
        <v>262</v>
      </c>
      <c r="AG54" s="665">
        <v>276</v>
      </c>
      <c r="AH54" s="665"/>
      <c r="AI54" s="666"/>
    </row>
    <row r="55" spans="1:35">
      <c r="A55" s="658" t="s">
        <v>332</v>
      </c>
      <c r="B55" s="709" t="s">
        <v>353</v>
      </c>
      <c r="C55" s="681" t="s">
        <v>415</v>
      </c>
      <c r="D55" s="681" t="s">
        <v>416</v>
      </c>
      <c r="E55" s="691">
        <f t="shared" si="22"/>
        <v>0.13688974973240225</v>
      </c>
      <c r="F55" s="680">
        <f t="shared" si="23"/>
        <v>223.80333333333334</v>
      </c>
      <c r="G55" s="680">
        <f t="shared" si="27"/>
        <v>134.66666666666666</v>
      </c>
      <c r="H55" s="679">
        <f t="shared" si="24"/>
        <v>225.83333333333334</v>
      </c>
      <c r="I55" s="679">
        <f t="shared" si="25"/>
        <v>166.83333333333334</v>
      </c>
      <c r="J55" s="679">
        <f t="shared" si="26"/>
        <v>287.8</v>
      </c>
      <c r="K55" s="673"/>
      <c r="L55" s="673"/>
      <c r="M55" s="673"/>
      <c r="N55" s="673">
        <v>79</v>
      </c>
      <c r="O55" s="673">
        <v>167</v>
      </c>
      <c r="P55" s="673">
        <v>158</v>
      </c>
      <c r="Q55" s="673">
        <v>230</v>
      </c>
      <c r="R55" s="673">
        <v>382</v>
      </c>
      <c r="S55" s="673">
        <v>214</v>
      </c>
      <c r="T55" s="673">
        <v>188</v>
      </c>
      <c r="U55" s="673">
        <v>179</v>
      </c>
      <c r="V55" s="665">
        <v>162</v>
      </c>
      <c r="W55" s="665">
        <v>154</v>
      </c>
      <c r="X55" s="665">
        <v>172</v>
      </c>
      <c r="Y55" s="665">
        <v>171</v>
      </c>
      <c r="Z55" s="665">
        <v>147</v>
      </c>
      <c r="AA55" s="665">
        <v>164</v>
      </c>
      <c r="AB55" s="665">
        <v>193</v>
      </c>
      <c r="AC55" s="665">
        <v>206</v>
      </c>
      <c r="AD55" s="665">
        <v>360</v>
      </c>
      <c r="AE55" s="665">
        <v>344</v>
      </c>
      <c r="AF55" s="665">
        <v>254</v>
      </c>
      <c r="AG55" s="665">
        <v>275</v>
      </c>
      <c r="AH55" s="665"/>
      <c r="AI55" s="666"/>
    </row>
    <row r="56" spans="1:35">
      <c r="A56" s="658" t="s">
        <v>332</v>
      </c>
      <c r="B56" s="709" t="s">
        <v>353</v>
      </c>
      <c r="C56" s="681" t="s">
        <v>417</v>
      </c>
      <c r="D56" s="681" t="s">
        <v>418</v>
      </c>
      <c r="E56" s="691">
        <f t="shared" si="22"/>
        <v>0.16058514705132776</v>
      </c>
      <c r="F56" s="680">
        <f t="shared" si="23"/>
        <v>262.54333333333329</v>
      </c>
      <c r="G56" s="680">
        <f t="shared" si="27"/>
        <v>166</v>
      </c>
      <c r="H56" s="679">
        <f t="shared" si="24"/>
        <v>263.66666666666669</v>
      </c>
      <c r="I56" s="679">
        <f t="shared" si="25"/>
        <v>216.83333333333334</v>
      </c>
      <c r="J56" s="679">
        <f t="shared" si="26"/>
        <v>320.39999999999998</v>
      </c>
      <c r="K56" s="673"/>
      <c r="L56" s="673"/>
      <c r="M56" s="673"/>
      <c r="N56" s="673">
        <v>106</v>
      </c>
      <c r="O56" s="673">
        <v>151</v>
      </c>
      <c r="P56" s="673">
        <v>241</v>
      </c>
      <c r="Q56" s="673">
        <v>254</v>
      </c>
      <c r="R56" s="673">
        <v>323</v>
      </c>
      <c r="S56" s="673">
        <v>320</v>
      </c>
      <c r="T56" s="673">
        <v>267</v>
      </c>
      <c r="U56" s="673">
        <v>230</v>
      </c>
      <c r="V56" s="665">
        <v>188</v>
      </c>
      <c r="W56" s="665">
        <v>170</v>
      </c>
      <c r="X56" s="665">
        <v>207</v>
      </c>
      <c r="Y56" s="665">
        <v>254</v>
      </c>
      <c r="Z56" s="665">
        <v>156</v>
      </c>
      <c r="AA56" s="665">
        <v>200</v>
      </c>
      <c r="AB56" s="665">
        <v>314</v>
      </c>
      <c r="AC56" s="665">
        <v>241</v>
      </c>
      <c r="AD56" s="665">
        <v>447</v>
      </c>
      <c r="AE56" s="665">
        <v>371</v>
      </c>
      <c r="AF56" s="665">
        <v>231</v>
      </c>
      <c r="AG56" s="665">
        <v>312</v>
      </c>
      <c r="AH56" s="665"/>
      <c r="AI56" s="666"/>
    </row>
    <row r="57" spans="1:35">
      <c r="A57" s="658" t="s">
        <v>332</v>
      </c>
      <c r="B57" s="709" t="s">
        <v>353</v>
      </c>
      <c r="C57" s="681" t="s">
        <v>419</v>
      </c>
      <c r="D57" s="681" t="s">
        <v>420</v>
      </c>
      <c r="E57" s="691">
        <f t="shared" si="22"/>
        <v>0.16670982211121871</v>
      </c>
      <c r="F57" s="680">
        <f t="shared" si="23"/>
        <v>272.55666666666667</v>
      </c>
      <c r="G57" s="680">
        <f t="shared" si="27"/>
        <v>109</v>
      </c>
      <c r="H57" s="679">
        <f t="shared" si="24"/>
        <v>243.33333333333334</v>
      </c>
      <c r="I57" s="679">
        <f t="shared" si="25"/>
        <v>222.5</v>
      </c>
      <c r="J57" s="679">
        <f t="shared" si="26"/>
        <v>365.6</v>
      </c>
      <c r="K57" s="673"/>
      <c r="L57" s="673"/>
      <c r="M57" s="673"/>
      <c r="N57" s="673">
        <v>76</v>
      </c>
      <c r="O57" s="673">
        <v>129</v>
      </c>
      <c r="P57" s="673">
        <v>122</v>
      </c>
      <c r="Q57" s="673">
        <v>151</v>
      </c>
      <c r="R57" s="673">
        <v>382</v>
      </c>
      <c r="S57" s="673">
        <v>270</v>
      </c>
      <c r="T57" s="673">
        <v>229</v>
      </c>
      <c r="U57" s="673">
        <v>209</v>
      </c>
      <c r="V57" s="665">
        <v>219</v>
      </c>
      <c r="W57" s="665">
        <v>158</v>
      </c>
      <c r="X57" s="665">
        <v>162</v>
      </c>
      <c r="Y57" s="665">
        <v>256</v>
      </c>
      <c r="Z57" s="665">
        <v>221</v>
      </c>
      <c r="AA57" s="665">
        <v>242</v>
      </c>
      <c r="AB57" s="665">
        <v>296</v>
      </c>
      <c r="AC57" s="665">
        <v>271</v>
      </c>
      <c r="AD57" s="665">
        <v>444</v>
      </c>
      <c r="AE57" s="665">
        <v>371</v>
      </c>
      <c r="AF57" s="665">
        <v>380</v>
      </c>
      <c r="AG57" s="665">
        <v>362</v>
      </c>
      <c r="AH57" s="665"/>
      <c r="AI57" s="666"/>
    </row>
    <row r="58" spans="1:35">
      <c r="A58" s="658" t="s">
        <v>333</v>
      </c>
      <c r="B58" s="709" t="s">
        <v>359</v>
      </c>
      <c r="C58" s="681" t="s">
        <v>421</v>
      </c>
      <c r="D58" s="681" t="s">
        <v>422</v>
      </c>
      <c r="E58" s="691">
        <f t="shared" si="22"/>
        <v>0.13114171259741469</v>
      </c>
      <c r="F58" s="680">
        <f t="shared" si="23"/>
        <v>229.92333333333335</v>
      </c>
      <c r="G58" s="680">
        <f t="shared" si="27"/>
        <v>118.33333333333333</v>
      </c>
      <c r="H58" s="679">
        <f t="shared" si="24"/>
        <v>239.5</v>
      </c>
      <c r="I58" s="679">
        <f t="shared" si="25"/>
        <v>166.5</v>
      </c>
      <c r="J58" s="679">
        <f t="shared" si="26"/>
        <v>300.60000000000002</v>
      </c>
      <c r="K58" s="673"/>
      <c r="L58" s="673"/>
      <c r="M58" s="673"/>
      <c r="N58" s="673">
        <v>74</v>
      </c>
      <c r="O58" s="673">
        <v>131</v>
      </c>
      <c r="P58" s="673">
        <v>150</v>
      </c>
      <c r="Q58" s="673">
        <v>185</v>
      </c>
      <c r="R58" s="673">
        <v>320</v>
      </c>
      <c r="S58" s="673">
        <v>245</v>
      </c>
      <c r="T58" s="673">
        <v>231</v>
      </c>
      <c r="U58" s="673">
        <v>189</v>
      </c>
      <c r="V58" s="665">
        <v>267</v>
      </c>
      <c r="W58" s="665">
        <v>156</v>
      </c>
      <c r="X58" s="665">
        <v>196</v>
      </c>
      <c r="Y58" s="665">
        <v>141</v>
      </c>
      <c r="Z58" s="665">
        <v>117</v>
      </c>
      <c r="AA58" s="665">
        <v>175</v>
      </c>
      <c r="AB58" s="665">
        <v>214</v>
      </c>
      <c r="AC58" s="665">
        <v>233</v>
      </c>
      <c r="AD58" s="665">
        <v>417</v>
      </c>
      <c r="AE58" s="665">
        <v>271</v>
      </c>
      <c r="AF58" s="665">
        <v>287</v>
      </c>
      <c r="AG58" s="665">
        <v>295</v>
      </c>
      <c r="AH58" s="665"/>
      <c r="AI58" s="666"/>
    </row>
    <row r="59" spans="1:35">
      <c r="A59" s="658" t="s">
        <v>333</v>
      </c>
      <c r="B59" s="709" t="s">
        <v>359</v>
      </c>
      <c r="C59" s="681" t="s">
        <v>423</v>
      </c>
      <c r="D59" s="681" t="s">
        <v>424</v>
      </c>
      <c r="E59" s="691">
        <f t="shared" si="22"/>
        <v>0.15075488665768016</v>
      </c>
      <c r="F59" s="680">
        <f t="shared" si="23"/>
        <v>264.31000000000006</v>
      </c>
      <c r="G59" s="680">
        <f t="shared" si="27"/>
        <v>133.66666666666666</v>
      </c>
      <c r="H59" s="679">
        <f t="shared" si="24"/>
        <v>272.16666666666669</v>
      </c>
      <c r="I59" s="679">
        <f t="shared" si="25"/>
        <v>218.5</v>
      </c>
      <c r="J59" s="679">
        <f t="shared" si="26"/>
        <v>327.39999999999998</v>
      </c>
      <c r="K59" s="673"/>
      <c r="L59" s="673"/>
      <c r="M59" s="673"/>
      <c r="N59" s="673">
        <v>92</v>
      </c>
      <c r="O59" s="673">
        <v>121</v>
      </c>
      <c r="P59" s="673">
        <v>188</v>
      </c>
      <c r="Q59" s="673">
        <v>236</v>
      </c>
      <c r="R59" s="673">
        <v>315</v>
      </c>
      <c r="S59" s="673">
        <v>234</v>
      </c>
      <c r="T59" s="673">
        <v>214</v>
      </c>
      <c r="U59" s="673">
        <v>299</v>
      </c>
      <c r="V59" s="665">
        <v>335</v>
      </c>
      <c r="W59" s="665">
        <v>162</v>
      </c>
      <c r="X59" s="665">
        <v>210</v>
      </c>
      <c r="Y59" s="665">
        <v>236</v>
      </c>
      <c r="Z59" s="665">
        <v>214</v>
      </c>
      <c r="AA59" s="665">
        <v>241</v>
      </c>
      <c r="AB59" s="665">
        <v>248</v>
      </c>
      <c r="AC59" s="665">
        <v>218</v>
      </c>
      <c r="AD59" s="665">
        <v>410</v>
      </c>
      <c r="AE59" s="665">
        <v>279</v>
      </c>
      <c r="AF59" s="665">
        <v>393</v>
      </c>
      <c r="AG59" s="665">
        <v>337</v>
      </c>
      <c r="AH59" s="665"/>
      <c r="AI59" s="666"/>
    </row>
    <row r="60" spans="1:35">
      <c r="A60" s="658" t="s">
        <v>333</v>
      </c>
      <c r="B60" s="709" t="s">
        <v>359</v>
      </c>
      <c r="C60" s="681" t="s">
        <v>425</v>
      </c>
      <c r="D60" s="681" t="s">
        <v>426</v>
      </c>
      <c r="E60" s="691">
        <f t="shared" si="22"/>
        <v>9.6023940392377549E-2</v>
      </c>
      <c r="F60" s="680">
        <f t="shared" si="23"/>
        <v>168.35333333333335</v>
      </c>
      <c r="G60" s="680">
        <f t="shared" si="27"/>
        <v>99</v>
      </c>
      <c r="H60" s="679">
        <f t="shared" si="24"/>
        <v>168.16666666666666</v>
      </c>
      <c r="I60" s="679">
        <f t="shared" si="25"/>
        <v>113.66666666666667</v>
      </c>
      <c r="J60" s="679">
        <f t="shared" si="26"/>
        <v>226.8</v>
      </c>
      <c r="K60" s="673"/>
      <c r="L60" s="673"/>
      <c r="M60" s="673"/>
      <c r="N60" s="673">
        <v>70</v>
      </c>
      <c r="O60" s="673">
        <v>81</v>
      </c>
      <c r="P60" s="673">
        <v>146</v>
      </c>
      <c r="Q60" s="673">
        <v>133</v>
      </c>
      <c r="R60" s="673">
        <v>265</v>
      </c>
      <c r="S60" s="673">
        <v>164</v>
      </c>
      <c r="T60" s="673">
        <v>130</v>
      </c>
      <c r="U60" s="673">
        <v>114</v>
      </c>
      <c r="V60" s="665">
        <v>203</v>
      </c>
      <c r="W60" s="665">
        <v>117</v>
      </c>
      <c r="X60" s="665">
        <v>129</v>
      </c>
      <c r="Y60" s="665">
        <v>174</v>
      </c>
      <c r="Z60" s="665">
        <v>69</v>
      </c>
      <c r="AA60" s="665">
        <v>102</v>
      </c>
      <c r="AB60" s="665">
        <v>91</v>
      </c>
      <c r="AC60" s="665">
        <v>179</v>
      </c>
      <c r="AD60" s="665">
        <v>178</v>
      </c>
      <c r="AE60" s="665">
        <v>228</v>
      </c>
      <c r="AF60" s="665">
        <v>285</v>
      </c>
      <c r="AG60" s="665">
        <v>264</v>
      </c>
      <c r="AH60" s="665"/>
      <c r="AI60" s="666"/>
    </row>
    <row r="61" spans="1:35">
      <c r="A61" s="658" t="s">
        <v>333</v>
      </c>
      <c r="B61" s="709" t="s">
        <v>359</v>
      </c>
      <c r="C61" s="681" t="s">
        <v>427</v>
      </c>
      <c r="D61" s="681" t="s">
        <v>428</v>
      </c>
      <c r="E61" s="691">
        <f t="shared" si="22"/>
        <v>0.14851712920625201</v>
      </c>
      <c r="F61" s="680">
        <f t="shared" si="23"/>
        <v>260.38666666666666</v>
      </c>
      <c r="G61" s="680">
        <f t="shared" si="27"/>
        <v>117.33333333333333</v>
      </c>
      <c r="H61" s="679">
        <f t="shared" si="24"/>
        <v>269.16666666666669</v>
      </c>
      <c r="I61" s="679">
        <f t="shared" si="25"/>
        <v>213.66666666666666</v>
      </c>
      <c r="J61" s="679">
        <f t="shared" si="26"/>
        <v>326.8</v>
      </c>
      <c r="K61" s="673"/>
      <c r="L61" s="673"/>
      <c r="M61" s="673"/>
      <c r="N61" s="673">
        <v>75</v>
      </c>
      <c r="O61" s="673">
        <v>121</v>
      </c>
      <c r="P61" s="673">
        <v>156</v>
      </c>
      <c r="Q61" s="673">
        <v>212</v>
      </c>
      <c r="R61" s="673">
        <v>464</v>
      </c>
      <c r="S61" s="673">
        <v>292</v>
      </c>
      <c r="T61" s="673">
        <v>206</v>
      </c>
      <c r="U61" s="673">
        <v>178</v>
      </c>
      <c r="V61" s="665">
        <v>263</v>
      </c>
      <c r="W61" s="665">
        <v>186</v>
      </c>
      <c r="X61" s="665">
        <v>203</v>
      </c>
      <c r="Y61" s="665">
        <v>384</v>
      </c>
      <c r="Z61" s="665">
        <v>181</v>
      </c>
      <c r="AA61" s="665">
        <v>144</v>
      </c>
      <c r="AB61" s="665">
        <v>184</v>
      </c>
      <c r="AC61" s="665">
        <v>252</v>
      </c>
      <c r="AD61" s="665">
        <v>409</v>
      </c>
      <c r="AE61" s="665">
        <v>236</v>
      </c>
      <c r="AF61" s="665">
        <v>368</v>
      </c>
      <c r="AG61" s="665">
        <v>369</v>
      </c>
      <c r="AH61" s="665"/>
      <c r="AI61" s="666"/>
    </row>
    <row r="62" spans="1:35">
      <c r="A62" s="658" t="s">
        <v>333</v>
      </c>
      <c r="B62" s="709" t="s">
        <v>359</v>
      </c>
      <c r="C62" s="681" t="s">
        <v>429</v>
      </c>
      <c r="D62" s="681" t="s">
        <v>430</v>
      </c>
      <c r="E62" s="691">
        <f t="shared" si="22"/>
        <v>0.13471223808066191</v>
      </c>
      <c r="F62" s="680">
        <f t="shared" si="23"/>
        <v>236.18333333333334</v>
      </c>
      <c r="G62" s="680">
        <f t="shared" si="27"/>
        <v>185</v>
      </c>
      <c r="H62" s="679">
        <f t="shared" si="24"/>
        <v>283.16666666666669</v>
      </c>
      <c r="I62" s="679">
        <f t="shared" si="25"/>
        <v>192.83333333333334</v>
      </c>
      <c r="J62" s="679">
        <f t="shared" si="26"/>
        <v>258</v>
      </c>
      <c r="K62" s="673"/>
      <c r="L62" s="673"/>
      <c r="M62" s="673"/>
      <c r="N62" s="673">
        <v>123</v>
      </c>
      <c r="O62" s="673">
        <v>216</v>
      </c>
      <c r="P62" s="673">
        <v>216</v>
      </c>
      <c r="Q62" s="673">
        <v>282</v>
      </c>
      <c r="R62" s="673">
        <v>385</v>
      </c>
      <c r="S62" s="673">
        <v>289</v>
      </c>
      <c r="T62" s="673">
        <v>261</v>
      </c>
      <c r="U62" s="673">
        <v>230</v>
      </c>
      <c r="V62" s="665">
        <v>252</v>
      </c>
      <c r="W62" s="665">
        <v>196</v>
      </c>
      <c r="X62" s="665">
        <v>176</v>
      </c>
      <c r="Y62" s="665">
        <v>234</v>
      </c>
      <c r="Z62" s="665">
        <v>176</v>
      </c>
      <c r="AA62" s="665">
        <v>161</v>
      </c>
      <c r="AB62" s="665">
        <v>214</v>
      </c>
      <c r="AC62" s="665">
        <v>173</v>
      </c>
      <c r="AD62" s="665">
        <v>312</v>
      </c>
      <c r="AE62" s="665">
        <v>233</v>
      </c>
      <c r="AF62" s="665">
        <v>259</v>
      </c>
      <c r="AG62" s="665">
        <v>313</v>
      </c>
      <c r="AH62" s="665"/>
      <c r="AI62" s="666"/>
    </row>
    <row r="63" spans="1:35">
      <c r="A63" s="658" t="s">
        <v>333</v>
      </c>
      <c r="B63" s="709" t="s">
        <v>359</v>
      </c>
      <c r="C63" s="681" t="s">
        <v>431</v>
      </c>
      <c r="D63" s="681" t="s">
        <v>432</v>
      </c>
      <c r="E63" s="691">
        <f t="shared" si="22"/>
        <v>7.9966081909147405E-2</v>
      </c>
      <c r="F63" s="680">
        <f t="shared" si="23"/>
        <v>140.19999999999999</v>
      </c>
      <c r="G63" s="680">
        <f t="shared" si="27"/>
        <v>92.333333333333329</v>
      </c>
      <c r="H63" s="679">
        <f t="shared" si="24"/>
        <v>145.83333333333334</v>
      </c>
      <c r="I63" s="679">
        <f t="shared" si="25"/>
        <v>95.333333333333329</v>
      </c>
      <c r="J63" s="679">
        <f t="shared" si="26"/>
        <v>183</v>
      </c>
      <c r="K63" s="673"/>
      <c r="L63" s="673"/>
      <c r="M63" s="673"/>
      <c r="N63" s="673">
        <v>81</v>
      </c>
      <c r="O63" s="673">
        <v>86</v>
      </c>
      <c r="P63" s="673">
        <v>110</v>
      </c>
      <c r="Q63" s="673">
        <v>138</v>
      </c>
      <c r="R63" s="673">
        <v>232</v>
      </c>
      <c r="S63" s="673">
        <v>131</v>
      </c>
      <c r="T63" s="673">
        <v>104</v>
      </c>
      <c r="U63" s="673">
        <v>159</v>
      </c>
      <c r="V63" s="665">
        <v>111</v>
      </c>
      <c r="W63" s="665">
        <v>118</v>
      </c>
      <c r="X63" s="665">
        <v>118</v>
      </c>
      <c r="Y63" s="665">
        <v>87</v>
      </c>
      <c r="Z63" s="665">
        <v>71</v>
      </c>
      <c r="AA63" s="665">
        <v>58</v>
      </c>
      <c r="AB63" s="665">
        <v>120</v>
      </c>
      <c r="AC63" s="665">
        <v>106</v>
      </c>
      <c r="AD63" s="665">
        <v>231</v>
      </c>
      <c r="AE63" s="665">
        <v>190</v>
      </c>
      <c r="AF63" s="665">
        <v>185</v>
      </c>
      <c r="AG63" s="665">
        <v>203</v>
      </c>
      <c r="AH63" s="665"/>
      <c r="AI63" s="666"/>
    </row>
    <row r="64" spans="1:35">
      <c r="A64" s="658" t="s">
        <v>333</v>
      </c>
      <c r="B64" s="709" t="s">
        <v>359</v>
      </c>
      <c r="C64" s="681" t="s">
        <v>433</v>
      </c>
      <c r="D64" s="681" t="s">
        <v>434</v>
      </c>
      <c r="E64" s="691">
        <f t="shared" si="22"/>
        <v>8.9188988788397872E-2</v>
      </c>
      <c r="F64" s="680">
        <f t="shared" si="23"/>
        <v>156.37</v>
      </c>
      <c r="G64" s="680">
        <f t="shared" si="27"/>
        <v>91</v>
      </c>
      <c r="H64" s="679">
        <f t="shared" si="24"/>
        <v>150</v>
      </c>
      <c r="I64" s="679">
        <f t="shared" si="25"/>
        <v>128.5</v>
      </c>
      <c r="J64" s="679">
        <f t="shared" si="26"/>
        <v>196.8</v>
      </c>
      <c r="K64" s="673"/>
      <c r="L64" s="673"/>
      <c r="M64" s="673"/>
      <c r="N64" s="673">
        <v>65</v>
      </c>
      <c r="O64" s="673">
        <v>108</v>
      </c>
      <c r="P64" s="673">
        <v>100</v>
      </c>
      <c r="Q64" s="673">
        <v>93</v>
      </c>
      <c r="R64" s="673">
        <v>160</v>
      </c>
      <c r="S64" s="673">
        <v>119</v>
      </c>
      <c r="T64" s="673">
        <v>134</v>
      </c>
      <c r="U64" s="673">
        <v>190</v>
      </c>
      <c r="V64" s="665">
        <v>204</v>
      </c>
      <c r="W64" s="665">
        <v>130</v>
      </c>
      <c r="X64" s="665">
        <v>112</v>
      </c>
      <c r="Y64" s="665">
        <v>104</v>
      </c>
      <c r="Z64" s="665">
        <v>136</v>
      </c>
      <c r="AA64" s="665">
        <v>110</v>
      </c>
      <c r="AB64" s="665">
        <v>179</v>
      </c>
      <c r="AC64" s="665">
        <v>209</v>
      </c>
      <c r="AD64" s="665">
        <v>218</v>
      </c>
      <c r="AE64" s="665">
        <v>176</v>
      </c>
      <c r="AF64" s="665">
        <v>176</v>
      </c>
      <c r="AG64" s="665">
        <v>205</v>
      </c>
      <c r="AH64" s="665"/>
      <c r="AI64" s="666"/>
    </row>
    <row r="65" spans="1:35">
      <c r="A65" s="658" t="s">
        <v>333</v>
      </c>
      <c r="B65" s="709" t="s">
        <v>359</v>
      </c>
      <c r="C65" s="681" t="s">
        <v>435</v>
      </c>
      <c r="D65" s="681" t="s">
        <v>436</v>
      </c>
      <c r="E65" s="691">
        <f t="shared" si="22"/>
        <v>7.2328807752489191E-2</v>
      </c>
      <c r="F65" s="680">
        <f t="shared" si="23"/>
        <v>126.81</v>
      </c>
      <c r="G65" s="680">
        <f t="shared" si="27"/>
        <v>91</v>
      </c>
      <c r="H65" s="679">
        <f t="shared" si="24"/>
        <v>136.5</v>
      </c>
      <c r="I65" s="679">
        <f t="shared" si="25"/>
        <v>95.5</v>
      </c>
      <c r="J65" s="679">
        <f t="shared" si="26"/>
        <v>154.4</v>
      </c>
      <c r="K65" s="673"/>
      <c r="L65" s="673"/>
      <c r="M65" s="673"/>
      <c r="N65" s="673">
        <v>69</v>
      </c>
      <c r="O65" s="673">
        <v>108</v>
      </c>
      <c r="P65" s="673">
        <v>96</v>
      </c>
      <c r="Q65" s="673">
        <v>140</v>
      </c>
      <c r="R65" s="673">
        <v>209</v>
      </c>
      <c r="S65" s="673">
        <v>131</v>
      </c>
      <c r="T65" s="673">
        <v>112</v>
      </c>
      <c r="U65" s="673">
        <v>92</v>
      </c>
      <c r="V65" s="665">
        <v>135</v>
      </c>
      <c r="W65" s="665">
        <v>119</v>
      </c>
      <c r="X65" s="665">
        <v>122</v>
      </c>
      <c r="Y65" s="665">
        <v>113</v>
      </c>
      <c r="Z65" s="665">
        <v>54</v>
      </c>
      <c r="AA65" s="665">
        <v>72</v>
      </c>
      <c r="AB65" s="665">
        <v>93</v>
      </c>
      <c r="AC65" s="665">
        <v>109</v>
      </c>
      <c r="AD65" s="665">
        <v>195</v>
      </c>
      <c r="AE65" s="665">
        <v>109</v>
      </c>
      <c r="AF65" s="665">
        <v>159</v>
      </c>
      <c r="AG65" s="665">
        <v>200</v>
      </c>
      <c r="AH65" s="665"/>
      <c r="AI65" s="666"/>
    </row>
    <row r="66" spans="1:35">
      <c r="A66" s="658" t="s">
        <v>437</v>
      </c>
      <c r="B66" s="709" t="s">
        <v>359</v>
      </c>
      <c r="C66" s="681" t="s">
        <v>438</v>
      </c>
      <c r="D66" s="681" t="s">
        <v>439</v>
      </c>
      <c r="E66" s="691">
        <f t="shared" si="22"/>
        <v>9.7366214615579108E-2</v>
      </c>
      <c r="F66" s="680">
        <f t="shared" si="23"/>
        <v>170.70666666666665</v>
      </c>
      <c r="G66" s="680">
        <f t="shared" si="27"/>
        <v>78.333333333333329</v>
      </c>
      <c r="H66" s="679">
        <f t="shared" si="24"/>
        <v>139.66666666666666</v>
      </c>
      <c r="I66" s="679">
        <f t="shared" si="25"/>
        <v>110.33333333333333</v>
      </c>
      <c r="J66" s="679">
        <f t="shared" si="26"/>
        <v>254.6</v>
      </c>
      <c r="K66" s="673"/>
      <c r="L66" s="673"/>
      <c r="M66" s="673"/>
      <c r="N66" s="673">
        <v>65</v>
      </c>
      <c r="O66" s="673">
        <v>70</v>
      </c>
      <c r="P66" s="673">
        <v>100</v>
      </c>
      <c r="Q66" s="673">
        <v>126</v>
      </c>
      <c r="R66" s="673">
        <v>205</v>
      </c>
      <c r="S66" s="673">
        <v>125</v>
      </c>
      <c r="T66" s="673">
        <v>135</v>
      </c>
      <c r="U66" s="673">
        <v>143</v>
      </c>
      <c r="V66" s="665">
        <v>104</v>
      </c>
      <c r="W66" s="665">
        <v>74</v>
      </c>
      <c r="X66" s="665">
        <v>115</v>
      </c>
      <c r="Y66" s="665">
        <v>126</v>
      </c>
      <c r="Z66" s="665">
        <v>89</v>
      </c>
      <c r="AA66" s="665">
        <v>109</v>
      </c>
      <c r="AB66" s="665">
        <v>149</v>
      </c>
      <c r="AC66" s="665">
        <v>193</v>
      </c>
      <c r="AD66" s="665">
        <v>291</v>
      </c>
      <c r="AE66" s="665">
        <v>242</v>
      </c>
      <c r="AF66" s="665">
        <v>263</v>
      </c>
      <c r="AG66" s="665">
        <v>284</v>
      </c>
      <c r="AH66" s="665"/>
      <c r="AI66" s="666"/>
    </row>
    <row r="67" spans="1:35">
      <c r="A67" s="658" t="s">
        <v>333</v>
      </c>
      <c r="B67" s="709" t="s">
        <v>360</v>
      </c>
      <c r="C67" s="681" t="s">
        <v>440</v>
      </c>
      <c r="D67" s="681" t="s">
        <v>441</v>
      </c>
      <c r="E67" s="691">
        <f t="shared" si="22"/>
        <v>0.17688900854815909</v>
      </c>
      <c r="F67" s="680">
        <f t="shared" si="23"/>
        <v>219.00333333333333</v>
      </c>
      <c r="G67" s="680">
        <f t="shared" si="27"/>
        <v>108.33333333333333</v>
      </c>
      <c r="H67" s="679">
        <f t="shared" si="24"/>
        <v>197</v>
      </c>
      <c r="I67" s="679">
        <f t="shared" si="25"/>
        <v>181.5</v>
      </c>
      <c r="J67" s="679">
        <f t="shared" si="26"/>
        <v>285.8</v>
      </c>
      <c r="K67" s="673"/>
      <c r="L67" s="673"/>
      <c r="M67" s="673"/>
      <c r="N67" s="673">
        <v>85</v>
      </c>
      <c r="O67" s="673">
        <v>115</v>
      </c>
      <c r="P67" s="673">
        <v>125</v>
      </c>
      <c r="Q67" s="673">
        <v>213</v>
      </c>
      <c r="R67" s="673">
        <v>251</v>
      </c>
      <c r="S67" s="673">
        <v>176</v>
      </c>
      <c r="T67" s="673">
        <v>170</v>
      </c>
      <c r="U67" s="673">
        <v>184</v>
      </c>
      <c r="V67" s="665">
        <v>188</v>
      </c>
      <c r="W67" s="665">
        <v>161</v>
      </c>
      <c r="X67" s="665">
        <v>192</v>
      </c>
      <c r="Y67" s="665">
        <v>173</v>
      </c>
      <c r="Z67" s="665">
        <v>170</v>
      </c>
      <c r="AA67" s="665">
        <v>210</v>
      </c>
      <c r="AB67" s="665">
        <v>183</v>
      </c>
      <c r="AC67" s="665">
        <v>161</v>
      </c>
      <c r="AD67" s="665">
        <v>425</v>
      </c>
      <c r="AE67" s="665">
        <v>267</v>
      </c>
      <c r="AF67" s="665">
        <v>266</v>
      </c>
      <c r="AG67" s="665">
        <v>310</v>
      </c>
      <c r="AH67" s="665"/>
      <c r="AI67" s="666"/>
    </row>
    <row r="68" spans="1:35">
      <c r="A68" s="658" t="s">
        <v>333</v>
      </c>
      <c r="B68" s="709" t="s">
        <v>360</v>
      </c>
      <c r="C68" s="681" t="s">
        <v>442</v>
      </c>
      <c r="D68" s="681" t="s">
        <v>443</v>
      </c>
      <c r="E68" s="691">
        <f t="shared" si="22"/>
        <v>0.17951672612236658</v>
      </c>
      <c r="F68" s="680">
        <f t="shared" si="23"/>
        <v>222.25666666666672</v>
      </c>
      <c r="G68" s="680">
        <f t="shared" si="27"/>
        <v>157.33333333333334</v>
      </c>
      <c r="H68" s="679">
        <f t="shared" si="24"/>
        <v>257.66666666666669</v>
      </c>
      <c r="I68" s="679">
        <f t="shared" si="25"/>
        <v>159.83333333333334</v>
      </c>
      <c r="J68" s="679">
        <f t="shared" si="26"/>
        <v>267.60000000000002</v>
      </c>
      <c r="K68" s="673"/>
      <c r="L68" s="673"/>
      <c r="M68" s="673"/>
      <c r="N68" s="673">
        <v>135</v>
      </c>
      <c r="O68" s="673">
        <v>156</v>
      </c>
      <c r="P68" s="673">
        <v>181</v>
      </c>
      <c r="Q68" s="673">
        <v>234</v>
      </c>
      <c r="R68" s="673">
        <v>387</v>
      </c>
      <c r="S68" s="673">
        <v>288</v>
      </c>
      <c r="T68" s="673">
        <v>248</v>
      </c>
      <c r="U68" s="673">
        <v>190</v>
      </c>
      <c r="V68" s="665">
        <v>199</v>
      </c>
      <c r="W68" s="665">
        <v>205</v>
      </c>
      <c r="X68" s="665">
        <v>171</v>
      </c>
      <c r="Y68" s="665">
        <v>128</v>
      </c>
      <c r="Z68" s="665">
        <v>122</v>
      </c>
      <c r="AA68" s="665">
        <v>167</v>
      </c>
      <c r="AB68" s="665">
        <v>166</v>
      </c>
      <c r="AC68" s="665">
        <v>143</v>
      </c>
      <c r="AD68" s="665">
        <v>358</v>
      </c>
      <c r="AE68" s="665">
        <v>199</v>
      </c>
      <c r="AF68" s="665">
        <v>316</v>
      </c>
      <c r="AG68" s="665">
        <v>322</v>
      </c>
      <c r="AH68" s="665"/>
      <c r="AI68" s="666"/>
    </row>
    <row r="69" spans="1:35">
      <c r="A69" s="658" t="s">
        <v>333</v>
      </c>
      <c r="B69" s="709" t="s">
        <v>360</v>
      </c>
      <c r="C69" s="681" t="s">
        <v>444</v>
      </c>
      <c r="D69" s="681" t="s">
        <v>445</v>
      </c>
      <c r="E69" s="691">
        <f t="shared" si="22"/>
        <v>0.13267550649525472</v>
      </c>
      <c r="F69" s="680">
        <f t="shared" si="23"/>
        <v>164.26333333333332</v>
      </c>
      <c r="G69" s="680">
        <f t="shared" si="27"/>
        <v>99.333333333333329</v>
      </c>
      <c r="H69" s="679">
        <f t="shared" si="24"/>
        <v>180.5</v>
      </c>
      <c r="I69" s="679">
        <f t="shared" si="25"/>
        <v>151.16666666666666</v>
      </c>
      <c r="J69" s="679">
        <f t="shared" si="26"/>
        <v>182.2</v>
      </c>
      <c r="K69" s="673"/>
      <c r="L69" s="673"/>
      <c r="M69" s="673"/>
      <c r="N69" s="673">
        <v>72</v>
      </c>
      <c r="O69" s="673">
        <v>93</v>
      </c>
      <c r="P69" s="673">
        <v>133</v>
      </c>
      <c r="Q69" s="673">
        <v>160</v>
      </c>
      <c r="R69" s="673">
        <v>336</v>
      </c>
      <c r="S69" s="673">
        <v>187</v>
      </c>
      <c r="T69" s="673">
        <v>138</v>
      </c>
      <c r="U69" s="673">
        <v>133</v>
      </c>
      <c r="V69" s="665">
        <v>129</v>
      </c>
      <c r="W69" s="665">
        <v>150</v>
      </c>
      <c r="X69" s="665">
        <v>162</v>
      </c>
      <c r="Y69" s="665">
        <v>155</v>
      </c>
      <c r="Z69" s="665">
        <v>97</v>
      </c>
      <c r="AA69" s="665">
        <v>127</v>
      </c>
      <c r="AB69" s="665">
        <v>216</v>
      </c>
      <c r="AC69" s="665">
        <v>85</v>
      </c>
      <c r="AD69" s="665">
        <v>206</v>
      </c>
      <c r="AE69" s="665">
        <v>202</v>
      </c>
      <c r="AF69" s="665">
        <v>227</v>
      </c>
      <c r="AG69" s="665">
        <v>191</v>
      </c>
      <c r="AH69" s="665"/>
      <c r="AI69" s="666"/>
    </row>
    <row r="70" spans="1:35">
      <c r="A70" s="658" t="s">
        <v>333</v>
      </c>
      <c r="B70" s="709" t="s">
        <v>360</v>
      </c>
      <c r="C70" s="681" t="s">
        <v>446</v>
      </c>
      <c r="D70" s="681" t="s">
        <v>447</v>
      </c>
      <c r="E70" s="691">
        <f t="shared" si="22"/>
        <v>0.14767718920374234</v>
      </c>
      <c r="F70" s="680">
        <f t="shared" si="23"/>
        <v>182.83666666666667</v>
      </c>
      <c r="G70" s="680">
        <f t="shared" si="27"/>
        <v>129.66666666666666</v>
      </c>
      <c r="H70" s="679">
        <f t="shared" si="24"/>
        <v>210</v>
      </c>
      <c r="I70" s="679">
        <f t="shared" si="25"/>
        <v>138.5</v>
      </c>
      <c r="J70" s="679">
        <f t="shared" si="26"/>
        <v>215.8</v>
      </c>
      <c r="K70" s="673"/>
      <c r="L70" s="673"/>
      <c r="M70" s="673"/>
      <c r="N70" s="673">
        <v>81</v>
      </c>
      <c r="O70" s="673">
        <v>164</v>
      </c>
      <c r="P70" s="673">
        <v>144</v>
      </c>
      <c r="Q70" s="673">
        <v>157</v>
      </c>
      <c r="R70" s="673">
        <v>350</v>
      </c>
      <c r="S70" s="673">
        <v>244</v>
      </c>
      <c r="T70" s="673">
        <v>237</v>
      </c>
      <c r="U70" s="673">
        <v>131</v>
      </c>
      <c r="V70" s="665">
        <v>141</v>
      </c>
      <c r="W70" s="665">
        <v>151</v>
      </c>
      <c r="X70" s="665">
        <v>139</v>
      </c>
      <c r="Y70" s="665">
        <v>146</v>
      </c>
      <c r="Z70" s="665">
        <v>97</v>
      </c>
      <c r="AA70" s="665">
        <v>150</v>
      </c>
      <c r="AB70" s="665">
        <v>148</v>
      </c>
      <c r="AC70" s="665">
        <v>148</v>
      </c>
      <c r="AD70" s="665">
        <v>309</v>
      </c>
      <c r="AE70" s="665">
        <v>194</v>
      </c>
      <c r="AF70" s="665">
        <v>193</v>
      </c>
      <c r="AG70" s="665">
        <v>235</v>
      </c>
      <c r="AH70" s="665"/>
      <c r="AI70" s="666"/>
    </row>
    <row r="71" spans="1:35">
      <c r="A71" s="658" t="s">
        <v>333</v>
      </c>
      <c r="B71" s="709" t="s">
        <v>360</v>
      </c>
      <c r="C71" s="681" t="s">
        <v>448</v>
      </c>
      <c r="D71" s="681" t="s">
        <v>449</v>
      </c>
      <c r="E71" s="691">
        <f t="shared" si="22"/>
        <v>0.17748401426936797</v>
      </c>
      <c r="F71" s="680">
        <f t="shared" si="23"/>
        <v>219.74</v>
      </c>
      <c r="G71" s="680">
        <f t="shared" si="27"/>
        <v>136.33333333333334</v>
      </c>
      <c r="H71" s="679">
        <f t="shared" si="24"/>
        <v>238.33333333333334</v>
      </c>
      <c r="I71" s="679">
        <f t="shared" si="25"/>
        <v>184.66666666666666</v>
      </c>
      <c r="J71" s="679">
        <f t="shared" si="26"/>
        <v>257.60000000000002</v>
      </c>
      <c r="K71" s="673"/>
      <c r="L71" s="673"/>
      <c r="M71" s="673"/>
      <c r="N71" s="673">
        <v>126</v>
      </c>
      <c r="O71" s="673">
        <v>129</v>
      </c>
      <c r="P71" s="673">
        <v>154</v>
      </c>
      <c r="Q71" s="673">
        <v>202</v>
      </c>
      <c r="R71" s="673">
        <v>343</v>
      </c>
      <c r="S71" s="673">
        <v>257</v>
      </c>
      <c r="T71" s="673">
        <v>233</v>
      </c>
      <c r="U71" s="673">
        <v>216</v>
      </c>
      <c r="V71" s="665">
        <v>179</v>
      </c>
      <c r="W71" s="665">
        <v>140</v>
      </c>
      <c r="X71" s="665">
        <v>168</v>
      </c>
      <c r="Y71" s="665">
        <v>165</v>
      </c>
      <c r="Z71" s="665">
        <v>187</v>
      </c>
      <c r="AA71" s="665">
        <v>244</v>
      </c>
      <c r="AB71" s="665">
        <v>204</v>
      </c>
      <c r="AC71" s="665">
        <v>140</v>
      </c>
      <c r="AD71" s="665">
        <v>328</v>
      </c>
      <c r="AE71" s="665">
        <v>238</v>
      </c>
      <c r="AF71" s="665">
        <v>270</v>
      </c>
      <c r="AG71" s="665">
        <v>312</v>
      </c>
      <c r="AH71" s="665"/>
      <c r="AI71" s="666"/>
    </row>
    <row r="72" spans="1:35">
      <c r="A72" s="658" t="s">
        <v>333</v>
      </c>
      <c r="B72" s="709" t="s">
        <v>360</v>
      </c>
      <c r="C72" s="681" t="s">
        <v>450</v>
      </c>
      <c r="D72" s="681" t="s">
        <v>451</v>
      </c>
      <c r="E72" s="691">
        <f t="shared" si="22"/>
        <v>0.18575755536110924</v>
      </c>
      <c r="F72" s="680">
        <f t="shared" si="23"/>
        <v>229.98333333333335</v>
      </c>
      <c r="G72" s="680">
        <f t="shared" si="27"/>
        <v>140</v>
      </c>
      <c r="H72" s="679">
        <f t="shared" si="24"/>
        <v>248.16666666666666</v>
      </c>
      <c r="I72" s="679">
        <f t="shared" si="25"/>
        <v>190.5</v>
      </c>
      <c r="J72" s="679">
        <f t="shared" si="26"/>
        <v>273</v>
      </c>
      <c r="K72" s="673"/>
      <c r="L72" s="673"/>
      <c r="M72" s="673"/>
      <c r="N72" s="673">
        <v>88</v>
      </c>
      <c r="O72" s="673">
        <v>159</v>
      </c>
      <c r="P72" s="673">
        <v>173</v>
      </c>
      <c r="Q72" s="673">
        <v>192</v>
      </c>
      <c r="R72" s="673">
        <v>373</v>
      </c>
      <c r="S72" s="673">
        <v>257</v>
      </c>
      <c r="T72" s="673">
        <v>229</v>
      </c>
      <c r="U72" s="673">
        <v>217</v>
      </c>
      <c r="V72" s="665">
        <v>221</v>
      </c>
      <c r="W72" s="665">
        <v>180</v>
      </c>
      <c r="X72" s="665">
        <v>189</v>
      </c>
      <c r="Y72" s="665">
        <v>183</v>
      </c>
      <c r="Z72" s="665">
        <v>180</v>
      </c>
      <c r="AA72" s="665">
        <v>231</v>
      </c>
      <c r="AB72" s="665">
        <v>180</v>
      </c>
      <c r="AC72" s="665">
        <v>208</v>
      </c>
      <c r="AD72" s="665">
        <v>388</v>
      </c>
      <c r="AE72" s="665">
        <v>232</v>
      </c>
      <c r="AF72" s="665">
        <v>237</v>
      </c>
      <c r="AG72" s="665">
        <v>300</v>
      </c>
      <c r="AH72" s="665"/>
      <c r="AI72" s="666"/>
    </row>
    <row r="73" spans="1:35">
      <c r="A73" s="658" t="s">
        <v>334</v>
      </c>
      <c r="B73" s="709" t="s">
        <v>361</v>
      </c>
      <c r="C73" s="681" t="s">
        <v>452</v>
      </c>
      <c r="D73" s="681" t="s">
        <v>453</v>
      </c>
      <c r="E73" s="691">
        <f t="shared" si="22"/>
        <v>6.0891552603167635E-2</v>
      </c>
      <c r="F73" s="680">
        <f t="shared" si="23"/>
        <v>93.436666666666667</v>
      </c>
      <c r="G73" s="680">
        <f t="shared" si="27"/>
        <v>62.666666666666664</v>
      </c>
      <c r="H73" s="679">
        <f t="shared" si="24"/>
        <v>96.5</v>
      </c>
      <c r="I73" s="679">
        <f t="shared" si="25"/>
        <v>75.833333333333329</v>
      </c>
      <c r="J73" s="679">
        <f t="shared" si="26"/>
        <v>112.8</v>
      </c>
      <c r="K73" s="673"/>
      <c r="L73" s="673"/>
      <c r="M73" s="673"/>
      <c r="N73" s="673">
        <v>40</v>
      </c>
      <c r="O73" s="673">
        <v>66</v>
      </c>
      <c r="P73" s="673">
        <v>82</v>
      </c>
      <c r="Q73" s="673">
        <v>113</v>
      </c>
      <c r="R73" s="673">
        <v>134</v>
      </c>
      <c r="S73" s="673">
        <v>96</v>
      </c>
      <c r="T73" s="673">
        <v>84</v>
      </c>
      <c r="U73" s="673">
        <v>68</v>
      </c>
      <c r="V73" s="665">
        <v>84</v>
      </c>
      <c r="W73" s="665">
        <v>64</v>
      </c>
      <c r="X73" s="665">
        <v>80</v>
      </c>
      <c r="Y73" s="665">
        <v>77</v>
      </c>
      <c r="Z73" s="665">
        <v>93</v>
      </c>
      <c r="AA73" s="665">
        <v>77</v>
      </c>
      <c r="AB73" s="665">
        <v>64</v>
      </c>
      <c r="AC73" s="665">
        <v>71</v>
      </c>
      <c r="AD73" s="665">
        <v>135</v>
      </c>
      <c r="AE73" s="665">
        <v>101</v>
      </c>
      <c r="AF73" s="665">
        <v>116</v>
      </c>
      <c r="AG73" s="665">
        <v>141</v>
      </c>
      <c r="AH73" s="665"/>
      <c r="AI73" s="666"/>
    </row>
    <row r="74" spans="1:35">
      <c r="A74" s="658" t="s">
        <v>454</v>
      </c>
      <c r="B74" s="709" t="s">
        <v>361</v>
      </c>
      <c r="C74" s="681" t="s">
        <v>455</v>
      </c>
      <c r="D74" s="681" t="s">
        <v>456</v>
      </c>
      <c r="E74" s="691">
        <f t="shared" si="22"/>
        <v>0.14549151393634746</v>
      </c>
      <c r="F74" s="680">
        <f t="shared" si="23"/>
        <v>223.25333333333333</v>
      </c>
      <c r="G74" s="680">
        <f t="shared" si="27"/>
        <v>142.66666666666666</v>
      </c>
      <c r="H74" s="679">
        <f t="shared" si="24"/>
        <v>220.83333333333334</v>
      </c>
      <c r="I74" s="679">
        <f t="shared" si="25"/>
        <v>161.66666666666666</v>
      </c>
      <c r="J74" s="679">
        <f t="shared" si="26"/>
        <v>290.8</v>
      </c>
      <c r="K74" s="673"/>
      <c r="L74" s="673"/>
      <c r="M74" s="673"/>
      <c r="N74" s="673">
        <v>118</v>
      </c>
      <c r="O74" s="673">
        <v>117</v>
      </c>
      <c r="P74" s="673">
        <v>193</v>
      </c>
      <c r="Q74" s="673">
        <v>222</v>
      </c>
      <c r="R74" s="673">
        <v>333</v>
      </c>
      <c r="S74" s="673">
        <v>249</v>
      </c>
      <c r="T74" s="673">
        <v>197</v>
      </c>
      <c r="U74" s="673">
        <v>174</v>
      </c>
      <c r="V74" s="665">
        <v>150</v>
      </c>
      <c r="W74" s="665">
        <v>151</v>
      </c>
      <c r="X74" s="665">
        <v>152</v>
      </c>
      <c r="Y74" s="665">
        <v>181</v>
      </c>
      <c r="Z74" s="665">
        <v>157</v>
      </c>
      <c r="AA74" s="665">
        <v>185</v>
      </c>
      <c r="AB74" s="665">
        <v>144</v>
      </c>
      <c r="AC74" s="665">
        <v>191</v>
      </c>
      <c r="AD74" s="665">
        <v>365</v>
      </c>
      <c r="AE74" s="665">
        <v>219</v>
      </c>
      <c r="AF74" s="665">
        <v>293</v>
      </c>
      <c r="AG74" s="665">
        <v>386</v>
      </c>
      <c r="AH74" s="665"/>
      <c r="AI74" s="666"/>
    </row>
    <row r="75" spans="1:35">
      <c r="A75" s="658" t="s">
        <v>334</v>
      </c>
      <c r="B75" s="709" t="s">
        <v>361</v>
      </c>
      <c r="C75" s="681" t="s">
        <v>457</v>
      </c>
      <c r="D75" s="681" t="s">
        <v>458</v>
      </c>
      <c r="E75" s="691">
        <f t="shared" si="22"/>
        <v>0.14160093669285728</v>
      </c>
      <c r="F75" s="680">
        <f t="shared" si="23"/>
        <v>217.28333333333333</v>
      </c>
      <c r="G75" s="680">
        <f t="shared" si="27"/>
        <v>179.33333333333334</v>
      </c>
      <c r="H75" s="679">
        <f t="shared" si="24"/>
        <v>250.5</v>
      </c>
      <c r="I75" s="679">
        <f t="shared" si="25"/>
        <v>141.5</v>
      </c>
      <c r="J75" s="679">
        <f t="shared" si="26"/>
        <v>267</v>
      </c>
      <c r="K75" s="673"/>
      <c r="L75" s="673"/>
      <c r="M75" s="673"/>
      <c r="N75" s="673">
        <v>73</v>
      </c>
      <c r="O75" s="673">
        <v>162</v>
      </c>
      <c r="P75" s="673">
        <v>303</v>
      </c>
      <c r="Q75" s="673">
        <v>297</v>
      </c>
      <c r="R75" s="673">
        <v>380</v>
      </c>
      <c r="S75" s="673">
        <v>335</v>
      </c>
      <c r="T75" s="673">
        <v>171</v>
      </c>
      <c r="U75" s="673">
        <v>157</v>
      </c>
      <c r="V75" s="665">
        <v>163</v>
      </c>
      <c r="W75" s="665">
        <v>117</v>
      </c>
      <c r="X75" s="665">
        <v>139</v>
      </c>
      <c r="Y75" s="665">
        <v>144</v>
      </c>
      <c r="Z75" s="665">
        <v>138</v>
      </c>
      <c r="AA75" s="665">
        <v>151</v>
      </c>
      <c r="AB75" s="665">
        <v>160</v>
      </c>
      <c r="AC75" s="665">
        <v>192</v>
      </c>
      <c r="AD75" s="665">
        <v>332</v>
      </c>
      <c r="AE75" s="665">
        <v>183</v>
      </c>
      <c r="AF75" s="665">
        <v>289</v>
      </c>
      <c r="AG75" s="665">
        <v>339</v>
      </c>
      <c r="AH75" s="665"/>
      <c r="AI75" s="666"/>
    </row>
    <row r="76" spans="1:35">
      <c r="A76" s="658" t="s">
        <v>334</v>
      </c>
      <c r="B76" s="709" t="s">
        <v>361</v>
      </c>
      <c r="C76" s="681" t="s">
        <v>459</v>
      </c>
      <c r="D76" s="681" t="s">
        <v>460</v>
      </c>
      <c r="E76" s="691">
        <f t="shared" si="22"/>
        <v>0.1321036705239354</v>
      </c>
      <c r="F76" s="680">
        <f t="shared" si="23"/>
        <v>202.70999999999998</v>
      </c>
      <c r="G76" s="680">
        <f t="shared" si="27"/>
        <v>114.33333333333333</v>
      </c>
      <c r="H76" s="679">
        <f t="shared" si="24"/>
        <v>193.33333333333334</v>
      </c>
      <c r="I76" s="679">
        <f t="shared" si="25"/>
        <v>165.5</v>
      </c>
      <c r="J76" s="679">
        <f t="shared" si="26"/>
        <v>257.39999999999998</v>
      </c>
      <c r="K76" s="673"/>
      <c r="L76" s="673"/>
      <c r="M76" s="673"/>
      <c r="N76" s="673">
        <v>90</v>
      </c>
      <c r="O76" s="673">
        <v>115</v>
      </c>
      <c r="P76" s="673">
        <v>138</v>
      </c>
      <c r="Q76" s="673">
        <v>166</v>
      </c>
      <c r="R76" s="673">
        <v>306</v>
      </c>
      <c r="S76" s="673">
        <v>187</v>
      </c>
      <c r="T76" s="673">
        <v>224</v>
      </c>
      <c r="U76" s="673">
        <v>177</v>
      </c>
      <c r="V76" s="665">
        <v>100</v>
      </c>
      <c r="W76" s="665">
        <v>130</v>
      </c>
      <c r="X76" s="665">
        <v>210</v>
      </c>
      <c r="Y76" s="665">
        <v>191</v>
      </c>
      <c r="Z76" s="665">
        <v>136</v>
      </c>
      <c r="AA76" s="665">
        <v>142</v>
      </c>
      <c r="AB76" s="665">
        <v>184</v>
      </c>
      <c r="AC76" s="665">
        <v>170</v>
      </c>
      <c r="AD76" s="665">
        <v>312</v>
      </c>
      <c r="AE76" s="665">
        <v>175</v>
      </c>
      <c r="AF76" s="665">
        <v>267</v>
      </c>
      <c r="AG76" s="665">
        <v>363</v>
      </c>
      <c r="AH76" s="665"/>
      <c r="AI76" s="666"/>
    </row>
    <row r="77" spans="1:35">
      <c r="A77" s="658" t="s">
        <v>334</v>
      </c>
      <c r="B77" s="709" t="s">
        <v>361</v>
      </c>
      <c r="C77" s="681" t="s">
        <v>461</v>
      </c>
      <c r="D77" s="681" t="s">
        <v>462</v>
      </c>
      <c r="E77" s="691">
        <f t="shared" si="22"/>
        <v>0.2250278596611657</v>
      </c>
      <c r="F77" s="680">
        <f t="shared" si="23"/>
        <v>345.3</v>
      </c>
      <c r="G77" s="680">
        <f t="shared" si="27"/>
        <v>162.66666666666666</v>
      </c>
      <c r="H77" s="679">
        <f t="shared" si="24"/>
        <v>346.66666666666669</v>
      </c>
      <c r="I77" s="679">
        <f t="shared" si="25"/>
        <v>299</v>
      </c>
      <c r="J77" s="679">
        <f t="shared" si="26"/>
        <v>425</v>
      </c>
      <c r="K77" s="673"/>
      <c r="L77" s="673"/>
      <c r="M77" s="673"/>
      <c r="N77" s="673">
        <v>100</v>
      </c>
      <c r="O77" s="673">
        <v>136</v>
      </c>
      <c r="P77" s="673">
        <v>252</v>
      </c>
      <c r="Q77" s="673">
        <v>284</v>
      </c>
      <c r="R77" s="673">
        <v>522</v>
      </c>
      <c r="S77" s="673">
        <v>330</v>
      </c>
      <c r="T77" s="673">
        <v>320</v>
      </c>
      <c r="U77" s="673">
        <v>275</v>
      </c>
      <c r="V77" s="665">
        <v>349</v>
      </c>
      <c r="W77" s="665">
        <v>249</v>
      </c>
      <c r="X77" s="665">
        <v>287</v>
      </c>
      <c r="Y77" s="665">
        <v>295</v>
      </c>
      <c r="Z77" s="665">
        <v>280</v>
      </c>
      <c r="AA77" s="665">
        <v>398</v>
      </c>
      <c r="AB77" s="665">
        <v>285</v>
      </c>
      <c r="AC77" s="665">
        <v>270</v>
      </c>
      <c r="AD77" s="665">
        <v>577</v>
      </c>
      <c r="AE77" s="665">
        <v>368</v>
      </c>
      <c r="AF77" s="665">
        <v>459</v>
      </c>
      <c r="AG77" s="665">
        <v>451</v>
      </c>
      <c r="AH77" s="665"/>
      <c r="AI77" s="666"/>
    </row>
    <row r="78" spans="1:35">
      <c r="A78" s="658" t="s">
        <v>334</v>
      </c>
      <c r="B78" s="709" t="s">
        <v>361</v>
      </c>
      <c r="C78" s="681" t="s">
        <v>463</v>
      </c>
      <c r="D78" s="681" t="s">
        <v>464</v>
      </c>
      <c r="E78" s="691">
        <f t="shared" si="22"/>
        <v>0.17654227391314739</v>
      </c>
      <c r="F78" s="680">
        <f t="shared" si="23"/>
        <v>270.90000000000003</v>
      </c>
      <c r="G78" s="680">
        <f t="shared" si="27"/>
        <v>185.33333333333334</v>
      </c>
      <c r="H78" s="679">
        <f t="shared" si="24"/>
        <v>295.83333333333331</v>
      </c>
      <c r="I78" s="679">
        <f t="shared" si="25"/>
        <v>221.33333333333334</v>
      </c>
      <c r="J78" s="679">
        <f t="shared" si="26"/>
        <v>317</v>
      </c>
      <c r="K78" s="673"/>
      <c r="L78" s="673"/>
      <c r="M78" s="673"/>
      <c r="N78" s="673">
        <v>119</v>
      </c>
      <c r="O78" s="673">
        <v>204</v>
      </c>
      <c r="P78" s="673">
        <v>233</v>
      </c>
      <c r="Q78" s="673">
        <v>259</v>
      </c>
      <c r="R78" s="673">
        <v>410</v>
      </c>
      <c r="S78" s="673">
        <v>378</v>
      </c>
      <c r="T78" s="673">
        <v>258</v>
      </c>
      <c r="U78" s="673">
        <v>227</v>
      </c>
      <c r="V78" s="665">
        <v>243</v>
      </c>
      <c r="W78" s="665">
        <v>199</v>
      </c>
      <c r="X78" s="665">
        <v>255</v>
      </c>
      <c r="Y78" s="665">
        <v>253</v>
      </c>
      <c r="Z78" s="665">
        <v>188</v>
      </c>
      <c r="AA78" s="665">
        <v>271</v>
      </c>
      <c r="AB78" s="665">
        <v>162</v>
      </c>
      <c r="AC78" s="665">
        <v>159</v>
      </c>
      <c r="AD78" s="665">
        <v>375</v>
      </c>
      <c r="AE78" s="665">
        <v>265</v>
      </c>
      <c r="AF78" s="665">
        <v>375</v>
      </c>
      <c r="AG78" s="665">
        <v>411</v>
      </c>
      <c r="AH78" s="665"/>
      <c r="AI78" s="666"/>
    </row>
    <row r="79" spans="1:35">
      <c r="A79" s="658" t="s">
        <v>454</v>
      </c>
      <c r="B79" s="709" t="s">
        <v>361</v>
      </c>
      <c r="C79" s="681" t="s">
        <v>465</v>
      </c>
      <c r="D79" s="681" t="s">
        <v>466</v>
      </c>
      <c r="E79" s="691">
        <f t="shared" si="22"/>
        <v>0.11834219266937915</v>
      </c>
      <c r="F79" s="680">
        <f t="shared" si="23"/>
        <v>181.59333333333336</v>
      </c>
      <c r="G79" s="680">
        <f t="shared" si="27"/>
        <v>161</v>
      </c>
      <c r="H79" s="679">
        <f t="shared" si="24"/>
        <v>234.16666666666666</v>
      </c>
      <c r="I79" s="679">
        <f t="shared" si="25"/>
        <v>152.33333333333334</v>
      </c>
      <c r="J79" s="679">
        <f t="shared" si="26"/>
        <v>182.4</v>
      </c>
      <c r="K79" s="673"/>
      <c r="L79" s="673"/>
      <c r="M79" s="673"/>
      <c r="N79" s="673">
        <v>127</v>
      </c>
      <c r="O79" s="673">
        <v>176</v>
      </c>
      <c r="P79" s="673">
        <v>180</v>
      </c>
      <c r="Q79" s="673">
        <v>235</v>
      </c>
      <c r="R79" s="673">
        <v>385</v>
      </c>
      <c r="S79" s="673">
        <v>221</v>
      </c>
      <c r="T79" s="673">
        <v>210</v>
      </c>
      <c r="U79" s="673">
        <v>184</v>
      </c>
      <c r="V79" s="665">
        <v>170</v>
      </c>
      <c r="W79" s="665">
        <v>147</v>
      </c>
      <c r="X79" s="665">
        <v>157</v>
      </c>
      <c r="Y79" s="665">
        <v>176</v>
      </c>
      <c r="Z79" s="665">
        <v>137</v>
      </c>
      <c r="AA79" s="665">
        <v>167</v>
      </c>
      <c r="AB79" s="665">
        <v>130</v>
      </c>
      <c r="AC79" s="665">
        <v>124</v>
      </c>
      <c r="AD79" s="665">
        <v>185</v>
      </c>
      <c r="AE79" s="665">
        <v>194</v>
      </c>
      <c r="AF79" s="665">
        <v>194</v>
      </c>
      <c r="AG79" s="665">
        <v>215</v>
      </c>
      <c r="AH79" s="665"/>
      <c r="AI79" s="666"/>
    </row>
    <row r="80" spans="1:35">
      <c r="A80" s="658" t="s">
        <v>334</v>
      </c>
      <c r="B80" s="709" t="s">
        <v>362</v>
      </c>
      <c r="C80" s="681" t="s">
        <v>467</v>
      </c>
      <c r="D80" s="681" t="s">
        <v>468</v>
      </c>
      <c r="E80" s="691">
        <f t="shared" si="22"/>
        <v>9.2845664398136185E-2</v>
      </c>
      <c r="F80" s="680">
        <f t="shared" si="23"/>
        <v>118.82666666666665</v>
      </c>
      <c r="G80" s="680">
        <f t="shared" si="27"/>
        <v>82.333333333333329</v>
      </c>
      <c r="H80" s="679">
        <f t="shared" si="24"/>
        <v>145.16666666666666</v>
      </c>
      <c r="I80" s="679">
        <f t="shared" si="25"/>
        <v>91.333333333333329</v>
      </c>
      <c r="J80" s="679">
        <f t="shared" si="26"/>
        <v>135.4</v>
      </c>
      <c r="K80" s="673"/>
      <c r="L80" s="673"/>
      <c r="M80" s="673"/>
      <c r="N80" s="673">
        <v>78</v>
      </c>
      <c r="O80" s="673">
        <v>86</v>
      </c>
      <c r="P80" s="673">
        <v>83</v>
      </c>
      <c r="Q80" s="673">
        <v>150</v>
      </c>
      <c r="R80" s="673">
        <v>194</v>
      </c>
      <c r="S80" s="673">
        <v>128</v>
      </c>
      <c r="T80" s="673">
        <v>152</v>
      </c>
      <c r="U80" s="673">
        <v>119</v>
      </c>
      <c r="V80" s="665">
        <v>128</v>
      </c>
      <c r="W80" s="665">
        <v>88</v>
      </c>
      <c r="X80" s="665">
        <v>84</v>
      </c>
      <c r="Y80" s="665">
        <v>99</v>
      </c>
      <c r="Z80" s="665">
        <v>81</v>
      </c>
      <c r="AA80" s="665">
        <v>103</v>
      </c>
      <c r="AB80" s="665">
        <v>93</v>
      </c>
      <c r="AC80" s="665">
        <v>118</v>
      </c>
      <c r="AD80" s="665">
        <v>159</v>
      </c>
      <c r="AE80" s="665">
        <v>109</v>
      </c>
      <c r="AF80" s="665">
        <v>131</v>
      </c>
      <c r="AG80" s="665">
        <v>160</v>
      </c>
      <c r="AH80" s="665"/>
      <c r="AI80" s="666"/>
    </row>
    <row r="81" spans="1:35">
      <c r="A81" s="658" t="s">
        <v>334</v>
      </c>
      <c r="B81" s="709" t="s">
        <v>362</v>
      </c>
      <c r="C81" s="681" t="s">
        <v>469</v>
      </c>
      <c r="D81" s="681" t="s">
        <v>470</v>
      </c>
      <c r="E81" s="691">
        <f t="shared" si="22"/>
        <v>0.16302425582564348</v>
      </c>
      <c r="F81" s="680">
        <f t="shared" si="23"/>
        <v>208.64333333333332</v>
      </c>
      <c r="G81" s="680">
        <f t="shared" si="27"/>
        <v>110.33333333333333</v>
      </c>
      <c r="H81" s="679">
        <f t="shared" si="24"/>
        <v>199</v>
      </c>
      <c r="I81" s="679">
        <f t="shared" si="25"/>
        <v>161.5</v>
      </c>
      <c r="J81" s="679">
        <f t="shared" si="26"/>
        <v>273.39999999999998</v>
      </c>
      <c r="K81" s="673"/>
      <c r="L81" s="673"/>
      <c r="M81" s="673"/>
      <c r="N81" s="673">
        <v>105</v>
      </c>
      <c r="O81" s="673">
        <v>110</v>
      </c>
      <c r="P81" s="673">
        <v>116</v>
      </c>
      <c r="Q81" s="673">
        <v>161</v>
      </c>
      <c r="R81" s="673">
        <v>377</v>
      </c>
      <c r="S81" s="673">
        <v>179</v>
      </c>
      <c r="T81" s="673">
        <v>216</v>
      </c>
      <c r="U81" s="673">
        <v>149</v>
      </c>
      <c r="V81" s="665">
        <v>112</v>
      </c>
      <c r="W81" s="665">
        <v>95</v>
      </c>
      <c r="X81" s="665">
        <v>168</v>
      </c>
      <c r="Y81" s="665">
        <v>172</v>
      </c>
      <c r="Z81" s="665">
        <v>156</v>
      </c>
      <c r="AA81" s="665">
        <v>164</v>
      </c>
      <c r="AB81" s="665">
        <v>214</v>
      </c>
      <c r="AC81" s="665">
        <v>154</v>
      </c>
      <c r="AD81" s="665">
        <v>312</v>
      </c>
      <c r="AE81" s="665">
        <v>218</v>
      </c>
      <c r="AF81" s="665">
        <v>283</v>
      </c>
      <c r="AG81" s="665">
        <v>400</v>
      </c>
      <c r="AH81" s="665"/>
      <c r="AI81" s="666"/>
    </row>
    <row r="82" spans="1:35">
      <c r="A82" s="658" t="s">
        <v>334</v>
      </c>
      <c r="B82" s="709" t="s">
        <v>362</v>
      </c>
      <c r="C82" s="681" t="s">
        <v>471</v>
      </c>
      <c r="D82" s="681" t="s">
        <v>472</v>
      </c>
      <c r="E82" s="691">
        <f t="shared" si="22"/>
        <v>0.1448395490026019</v>
      </c>
      <c r="F82" s="680">
        <f t="shared" si="23"/>
        <v>185.37</v>
      </c>
      <c r="G82" s="680">
        <f t="shared" si="27"/>
        <v>85.666666666666671</v>
      </c>
      <c r="H82" s="679">
        <f t="shared" si="24"/>
        <v>161.66666666666666</v>
      </c>
      <c r="I82" s="679">
        <f t="shared" si="25"/>
        <v>152.5</v>
      </c>
      <c r="J82" s="679">
        <f t="shared" si="26"/>
        <v>246.8</v>
      </c>
      <c r="K82" s="673"/>
      <c r="L82" s="673"/>
      <c r="M82" s="673"/>
      <c r="N82" s="673">
        <v>86</v>
      </c>
      <c r="O82" s="673">
        <v>86</v>
      </c>
      <c r="P82" s="673">
        <v>85</v>
      </c>
      <c r="Q82" s="673">
        <v>144</v>
      </c>
      <c r="R82" s="673">
        <v>261</v>
      </c>
      <c r="S82" s="673">
        <v>170</v>
      </c>
      <c r="T82" s="673">
        <v>156</v>
      </c>
      <c r="U82" s="673">
        <v>125</v>
      </c>
      <c r="V82" s="665">
        <v>114</v>
      </c>
      <c r="W82" s="665">
        <v>119</v>
      </c>
      <c r="X82" s="665">
        <v>150</v>
      </c>
      <c r="Y82" s="665">
        <v>156</v>
      </c>
      <c r="Z82" s="665">
        <v>148</v>
      </c>
      <c r="AA82" s="665">
        <v>163</v>
      </c>
      <c r="AB82" s="665">
        <v>179</v>
      </c>
      <c r="AC82" s="665">
        <v>183</v>
      </c>
      <c r="AD82" s="665">
        <v>288</v>
      </c>
      <c r="AE82" s="665">
        <v>227</v>
      </c>
      <c r="AF82" s="665">
        <v>225</v>
      </c>
      <c r="AG82" s="665">
        <v>311</v>
      </c>
      <c r="AH82" s="665"/>
      <c r="AI82" s="666"/>
    </row>
    <row r="83" spans="1:35">
      <c r="A83" s="658" t="s">
        <v>334</v>
      </c>
      <c r="B83" s="709" t="s">
        <v>362</v>
      </c>
      <c r="C83" s="681" t="s">
        <v>473</v>
      </c>
      <c r="D83" s="681" t="s">
        <v>474</v>
      </c>
      <c r="E83" s="691">
        <f t="shared" si="22"/>
        <v>0.1046232702780838</v>
      </c>
      <c r="F83" s="680">
        <f t="shared" si="23"/>
        <v>133.9</v>
      </c>
      <c r="G83" s="680">
        <f t="shared" si="27"/>
        <v>59.666666666666664</v>
      </c>
      <c r="H83" s="679">
        <f t="shared" si="24"/>
        <v>108.16666666666667</v>
      </c>
      <c r="I83" s="679">
        <f t="shared" si="25"/>
        <v>121</v>
      </c>
      <c r="J83" s="679">
        <f t="shared" si="26"/>
        <v>175</v>
      </c>
      <c r="K83" s="673"/>
      <c r="L83" s="673"/>
      <c r="M83" s="673"/>
      <c r="N83" s="673">
        <v>69</v>
      </c>
      <c r="O83" s="673">
        <v>55</v>
      </c>
      <c r="P83" s="673">
        <v>55</v>
      </c>
      <c r="Q83" s="673">
        <v>107</v>
      </c>
      <c r="R83" s="673">
        <v>164</v>
      </c>
      <c r="S83" s="673">
        <v>72</v>
      </c>
      <c r="T83" s="673">
        <v>113</v>
      </c>
      <c r="U83" s="673">
        <v>103</v>
      </c>
      <c r="V83" s="665">
        <v>90</v>
      </c>
      <c r="W83" s="665">
        <v>85</v>
      </c>
      <c r="X83" s="665">
        <v>141</v>
      </c>
      <c r="Y83" s="665">
        <v>102</v>
      </c>
      <c r="Z83" s="665">
        <v>104</v>
      </c>
      <c r="AA83" s="665">
        <v>167</v>
      </c>
      <c r="AB83" s="665">
        <v>127</v>
      </c>
      <c r="AC83" s="665">
        <v>126</v>
      </c>
      <c r="AD83" s="665">
        <v>184</v>
      </c>
      <c r="AE83" s="665">
        <v>175</v>
      </c>
      <c r="AF83" s="665">
        <v>210</v>
      </c>
      <c r="AG83" s="665">
        <v>180</v>
      </c>
      <c r="AH83" s="665"/>
      <c r="AI83" s="666"/>
    </row>
    <row r="84" spans="1:35">
      <c r="A84" s="658" t="s">
        <v>334</v>
      </c>
      <c r="B84" s="709" t="s">
        <v>362</v>
      </c>
      <c r="C84" s="681" t="s">
        <v>475</v>
      </c>
      <c r="D84" s="681" t="s">
        <v>476</v>
      </c>
      <c r="E84" s="691">
        <f t="shared" si="22"/>
        <v>0.15190559162805475</v>
      </c>
      <c r="F84" s="680">
        <f t="shared" si="23"/>
        <v>194.41333333333333</v>
      </c>
      <c r="G84" s="680">
        <f t="shared" si="27"/>
        <v>152</v>
      </c>
      <c r="H84" s="679">
        <f t="shared" si="24"/>
        <v>211.16666666666666</v>
      </c>
      <c r="I84" s="679">
        <f t="shared" si="25"/>
        <v>153.66666666666666</v>
      </c>
      <c r="J84" s="679">
        <f t="shared" si="26"/>
        <v>227.2</v>
      </c>
      <c r="K84" s="673"/>
      <c r="L84" s="673"/>
      <c r="M84" s="673"/>
      <c r="N84" s="673">
        <v>119</v>
      </c>
      <c r="O84" s="673">
        <v>169</v>
      </c>
      <c r="P84" s="673">
        <v>168</v>
      </c>
      <c r="Q84" s="673">
        <v>249</v>
      </c>
      <c r="R84" s="673">
        <v>310</v>
      </c>
      <c r="S84" s="673">
        <v>203</v>
      </c>
      <c r="T84" s="673">
        <v>204</v>
      </c>
      <c r="U84" s="673">
        <v>153</v>
      </c>
      <c r="V84" s="665">
        <v>148</v>
      </c>
      <c r="W84" s="665">
        <v>110</v>
      </c>
      <c r="X84" s="665">
        <v>185</v>
      </c>
      <c r="Y84" s="665">
        <v>158</v>
      </c>
      <c r="Z84" s="665">
        <v>159</v>
      </c>
      <c r="AA84" s="665">
        <v>169</v>
      </c>
      <c r="AB84" s="665">
        <v>141</v>
      </c>
      <c r="AC84" s="665">
        <v>161</v>
      </c>
      <c r="AD84" s="665">
        <v>277</v>
      </c>
      <c r="AE84" s="665">
        <v>221</v>
      </c>
      <c r="AF84" s="665">
        <v>219</v>
      </c>
      <c r="AG84" s="665">
        <v>258</v>
      </c>
      <c r="AH84" s="665"/>
      <c r="AI84" s="666"/>
    </row>
    <row r="85" spans="1:35">
      <c r="A85" s="658" t="s">
        <v>334</v>
      </c>
      <c r="B85" s="709" t="s">
        <v>362</v>
      </c>
      <c r="C85" s="681" t="s">
        <v>477</v>
      </c>
      <c r="D85" s="681" t="s">
        <v>478</v>
      </c>
      <c r="E85" s="691">
        <f t="shared" si="22"/>
        <v>0.14903541876655493</v>
      </c>
      <c r="F85" s="680">
        <f t="shared" si="23"/>
        <v>190.74</v>
      </c>
      <c r="G85" s="680">
        <f t="shared" si="27"/>
        <v>141</v>
      </c>
      <c r="H85" s="679">
        <f t="shared" si="24"/>
        <v>188</v>
      </c>
      <c r="I85" s="679">
        <f t="shared" si="25"/>
        <v>144</v>
      </c>
      <c r="J85" s="679">
        <f t="shared" si="26"/>
        <v>239.6</v>
      </c>
      <c r="K85" s="673"/>
      <c r="L85" s="673"/>
      <c r="M85" s="673"/>
      <c r="N85" s="673">
        <v>121</v>
      </c>
      <c r="O85" s="673">
        <v>141</v>
      </c>
      <c r="P85" s="673">
        <v>161</v>
      </c>
      <c r="Q85" s="673">
        <v>185</v>
      </c>
      <c r="R85" s="673">
        <v>271</v>
      </c>
      <c r="S85" s="673">
        <v>182</v>
      </c>
      <c r="T85" s="673">
        <v>190</v>
      </c>
      <c r="U85" s="673">
        <v>131</v>
      </c>
      <c r="V85" s="665">
        <v>169</v>
      </c>
      <c r="W85" s="665">
        <v>101</v>
      </c>
      <c r="X85" s="665">
        <v>149</v>
      </c>
      <c r="Y85" s="665">
        <v>124</v>
      </c>
      <c r="Z85" s="665">
        <v>156</v>
      </c>
      <c r="AA85" s="665">
        <v>184</v>
      </c>
      <c r="AB85" s="665">
        <v>150</v>
      </c>
      <c r="AC85" s="665">
        <v>135</v>
      </c>
      <c r="AD85" s="665">
        <v>304</v>
      </c>
      <c r="AE85" s="665">
        <v>209</v>
      </c>
      <c r="AF85" s="665">
        <v>295</v>
      </c>
      <c r="AG85" s="665">
        <v>255</v>
      </c>
      <c r="AH85" s="665"/>
      <c r="AI85" s="666"/>
    </row>
    <row r="86" spans="1:35">
      <c r="A86" s="658" t="s">
        <v>334</v>
      </c>
      <c r="B86" s="709" t="s">
        <v>489</v>
      </c>
      <c r="C86" s="681" t="s">
        <v>480</v>
      </c>
      <c r="D86" s="681" t="s">
        <v>479</v>
      </c>
      <c r="E86" s="691">
        <f t="shared" si="22"/>
        <v>0.19372625010092484</v>
      </c>
      <c r="F86" s="680">
        <f t="shared" si="23"/>
        <v>247.93666666666667</v>
      </c>
      <c r="G86" s="680">
        <f t="shared" si="27"/>
        <v>137.66666666666666</v>
      </c>
      <c r="H86" s="679">
        <f t="shared" si="24"/>
        <v>244</v>
      </c>
      <c r="I86" s="679">
        <f t="shared" si="25"/>
        <v>199.5</v>
      </c>
      <c r="J86" s="679">
        <f t="shared" si="26"/>
        <v>313.8</v>
      </c>
      <c r="K86" s="673"/>
      <c r="L86" s="673"/>
      <c r="M86" s="673"/>
      <c r="N86" s="673">
        <v>93</v>
      </c>
      <c r="O86" s="673">
        <v>154</v>
      </c>
      <c r="P86" s="673">
        <v>166</v>
      </c>
      <c r="Q86" s="673">
        <v>220</v>
      </c>
      <c r="R86" s="673">
        <v>413</v>
      </c>
      <c r="S86" s="673">
        <v>275</v>
      </c>
      <c r="T86" s="673">
        <v>219</v>
      </c>
      <c r="U86" s="673">
        <v>186</v>
      </c>
      <c r="V86" s="665">
        <v>151</v>
      </c>
      <c r="W86" s="665">
        <v>145</v>
      </c>
      <c r="X86" s="665">
        <v>164</v>
      </c>
      <c r="Y86" s="665">
        <v>267</v>
      </c>
      <c r="Z86" s="665">
        <v>190</v>
      </c>
      <c r="AA86" s="665">
        <v>203</v>
      </c>
      <c r="AB86" s="665">
        <v>228</v>
      </c>
      <c r="AC86" s="665">
        <v>250</v>
      </c>
      <c r="AD86" s="665">
        <v>402</v>
      </c>
      <c r="AE86" s="665">
        <v>261</v>
      </c>
      <c r="AF86" s="665">
        <v>308</v>
      </c>
      <c r="AG86" s="665">
        <v>348</v>
      </c>
      <c r="AH86" s="665"/>
      <c r="AI86" s="666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96" priority="11" operator="equal">
      <formula>0</formula>
    </cfRule>
  </conditionalFormatting>
  <conditionalFormatting sqref="K31:V86">
    <cfRule type="cellIs" dxfId="95" priority="10" operator="equal">
      <formula>0</formula>
    </cfRule>
  </conditionalFormatting>
  <conditionalFormatting sqref="G16:J16 G15 I15">
    <cfRule type="cellIs" dxfId="94" priority="9" operator="equal">
      <formula>0</formula>
    </cfRule>
  </conditionalFormatting>
  <conditionalFormatting sqref="G7:J7 G6 I6">
    <cfRule type="cellIs" dxfId="93" priority="8" operator="equal">
      <formula>0</formula>
    </cfRule>
  </conditionalFormatting>
  <conditionalFormatting sqref="F15">
    <cfRule type="cellIs" dxfId="92" priority="7" operator="equal">
      <formula>0</formula>
    </cfRule>
  </conditionalFormatting>
  <conditionalFormatting sqref="F28">
    <cfRule type="cellIs" dxfId="91" priority="6" operator="equal">
      <formula>0</formula>
    </cfRule>
  </conditionalFormatting>
  <conditionalFormatting sqref="E8:E14 E1:E6 E30:E1048576">
    <cfRule type="cellIs" dxfId="90" priority="5" operator="equal">
      <formula>0</formula>
    </cfRule>
  </conditionalFormatting>
  <conditionalFormatting sqref="E15">
    <cfRule type="cellIs" dxfId="89" priority="4" operator="equal">
      <formula>0</formula>
    </cfRule>
  </conditionalFormatting>
  <conditionalFormatting sqref="E28">
    <cfRule type="cellIs" dxfId="88" priority="3" operator="equal">
      <formula>0</formula>
    </cfRule>
  </conditionalFormatting>
  <conditionalFormatting sqref="C2:C3">
    <cfRule type="cellIs" dxfId="87" priority="1" operator="equal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J86"/>
  <sheetViews>
    <sheetView showGridLines="0" topLeftCell="A50" workbookViewId="0">
      <selection activeCell="E60" sqref="E6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92" t="s">
        <v>498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499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12429.81</v>
      </c>
      <c r="G8" s="678">
        <f>SUM(G9:G12)</f>
        <v>12870.500000000002</v>
      </c>
      <c r="H8" s="671">
        <f t="shared" ref="H8:J8" si="0">SUM(H9:H12)</f>
        <v>13543.500000000002</v>
      </c>
      <c r="I8" s="671">
        <f t="shared" si="0"/>
        <v>13861</v>
      </c>
      <c r="J8" s="671">
        <f t="shared" si="0"/>
        <v>10689.4</v>
      </c>
      <c r="K8" s="671">
        <f t="shared" ref="K8:AH8" si="1">SUM(K9:K12)</f>
        <v>14213</v>
      </c>
      <c r="L8" s="671">
        <f t="shared" si="1"/>
        <v>12995</v>
      </c>
      <c r="M8" s="671">
        <f t="shared" si="1"/>
        <v>14622</v>
      </c>
      <c r="N8" s="671">
        <f t="shared" si="1"/>
        <v>12261</v>
      </c>
      <c r="O8" s="671">
        <f t="shared" si="1"/>
        <v>12778</v>
      </c>
      <c r="P8" s="671">
        <f t="shared" si="1"/>
        <v>10354</v>
      </c>
      <c r="Q8" s="671">
        <f t="shared" si="1"/>
        <v>12666</v>
      </c>
      <c r="R8" s="671">
        <f t="shared" si="1"/>
        <v>13933</v>
      </c>
      <c r="S8" s="671">
        <f t="shared" si="1"/>
        <v>11252</v>
      </c>
      <c r="T8" s="671">
        <f t="shared" si="1"/>
        <v>14112</v>
      </c>
      <c r="U8" s="671">
        <f t="shared" si="1"/>
        <v>14819</v>
      </c>
      <c r="V8" s="671">
        <f t="shared" si="1"/>
        <v>14479</v>
      </c>
      <c r="W8" s="671">
        <f t="shared" si="1"/>
        <v>13989</v>
      </c>
      <c r="X8" s="671">
        <f t="shared" si="1"/>
        <v>13338</v>
      </c>
      <c r="Y8" s="671">
        <f t="shared" si="1"/>
        <v>14362</v>
      </c>
      <c r="Z8" s="671">
        <f t="shared" si="1"/>
        <v>12470</v>
      </c>
      <c r="AA8" s="671">
        <f t="shared" si="1"/>
        <v>15548</v>
      </c>
      <c r="AB8" s="671">
        <f t="shared" si="1"/>
        <v>13459</v>
      </c>
      <c r="AC8" s="671">
        <f t="shared" si="1"/>
        <v>10618</v>
      </c>
      <c r="AD8" s="671">
        <f t="shared" si="1"/>
        <v>12145</v>
      </c>
      <c r="AE8" s="671">
        <f t="shared" si="1"/>
        <v>9564</v>
      </c>
      <c r="AF8" s="671">
        <f t="shared" si="1"/>
        <v>10332</v>
      </c>
      <c r="AG8" s="671">
        <f t="shared" si="1"/>
        <v>10788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0.22102912272995326</v>
      </c>
      <c r="F9" s="683">
        <f t="shared" ref="F9:F12" si="3">G9*10%+H9*20%+I9*30%+J9*40%</f>
        <v>2747.3500000000004</v>
      </c>
      <c r="G9" s="675">
        <f t="shared" ref="G9:G12" si="4">AVERAGE(K9:P9)</f>
        <v>2743.8333333333335</v>
      </c>
      <c r="H9" s="672">
        <f t="shared" ref="H9:H12" si="5">AVERAGE(Q9:V9)</f>
        <v>2783.3333333333335</v>
      </c>
      <c r="I9" s="672">
        <f t="shared" ref="I9:I12" si="6">AVERAGE(W9:AB9)</f>
        <v>3094.3333333333335</v>
      </c>
      <c r="J9" s="672">
        <f t="shared" ref="J9:J12" si="7">AVERAGE(AC9:AG9)</f>
        <v>2470</v>
      </c>
      <c r="K9" s="673">
        <f>SUMIF($B$18:$B$25,$C9,K$18:K$25)</f>
        <v>2950</v>
      </c>
      <c r="L9" s="673">
        <f t="shared" ref="L9:AA12" si="8">SUMIF($B$18:$B$25,$C9,L$18:L$25)</f>
        <v>2721</v>
      </c>
      <c r="M9" s="673">
        <f t="shared" si="8"/>
        <v>3420</v>
      </c>
      <c r="N9" s="673">
        <f t="shared" si="8"/>
        <v>2612</v>
      </c>
      <c r="O9" s="673">
        <f t="shared" si="8"/>
        <v>2604</v>
      </c>
      <c r="P9" s="673">
        <f t="shared" si="8"/>
        <v>2156</v>
      </c>
      <c r="Q9" s="673">
        <f t="shared" si="8"/>
        <v>2461</v>
      </c>
      <c r="R9" s="673">
        <f t="shared" si="8"/>
        <v>2984</v>
      </c>
      <c r="S9" s="673">
        <f t="shared" si="8"/>
        <v>2472</v>
      </c>
      <c r="T9" s="673">
        <f t="shared" si="8"/>
        <v>2936</v>
      </c>
      <c r="U9" s="673">
        <f t="shared" si="8"/>
        <v>2987</v>
      </c>
      <c r="V9" s="673">
        <f t="shared" si="8"/>
        <v>2860</v>
      </c>
      <c r="W9" s="673">
        <f t="shared" si="8"/>
        <v>2907</v>
      </c>
      <c r="X9" s="673">
        <f t="shared" si="8"/>
        <v>2720</v>
      </c>
      <c r="Y9" s="673">
        <f t="shared" si="8"/>
        <v>3272</v>
      </c>
      <c r="Z9" s="673">
        <f t="shared" si="8"/>
        <v>2895</v>
      </c>
      <c r="AA9" s="673">
        <f t="shared" si="8"/>
        <v>3696</v>
      </c>
      <c r="AB9" s="673">
        <f t="shared" ref="AB9:AG12" si="9">SUMIF($B$18:$B$25,$C9,AB$18:AB$25)</f>
        <v>3076</v>
      </c>
      <c r="AC9" s="673">
        <f t="shared" si="9"/>
        <v>2561</v>
      </c>
      <c r="AD9" s="673">
        <f t="shared" si="9"/>
        <v>2911</v>
      </c>
      <c r="AE9" s="673">
        <f t="shared" si="9"/>
        <v>2279</v>
      </c>
      <c r="AF9" s="673">
        <f t="shared" si="9"/>
        <v>2218</v>
      </c>
      <c r="AG9" s="673">
        <f t="shared" si="9"/>
        <v>2381</v>
      </c>
      <c r="AH9" s="673"/>
    </row>
    <row r="10" spans="1:34">
      <c r="C10" s="1002" t="s">
        <v>332</v>
      </c>
      <c r="D10" s="984"/>
      <c r="E10" s="690">
        <f t="shared" si="2"/>
        <v>0.3088757323456004</v>
      </c>
      <c r="F10" s="683">
        <f t="shared" si="3"/>
        <v>3839.2666666666669</v>
      </c>
      <c r="G10" s="675">
        <f t="shared" si="4"/>
        <v>3602</v>
      </c>
      <c r="H10" s="672">
        <f t="shared" si="5"/>
        <v>3971.8333333333335</v>
      </c>
      <c r="I10" s="672">
        <f t="shared" si="6"/>
        <v>4526.333333333333</v>
      </c>
      <c r="J10" s="672">
        <f t="shared" si="7"/>
        <v>3317</v>
      </c>
      <c r="K10" s="673">
        <f t="shared" ref="K10:K12" si="10">SUMIF($B$18:$B$25,$C10,K$18:K$25)</f>
        <v>4098</v>
      </c>
      <c r="L10" s="673">
        <f t="shared" si="8"/>
        <v>3599</v>
      </c>
      <c r="M10" s="673">
        <f t="shared" si="8"/>
        <v>4014</v>
      </c>
      <c r="N10" s="673">
        <f t="shared" si="8"/>
        <v>3458</v>
      </c>
      <c r="O10" s="673">
        <f t="shared" si="8"/>
        <v>3516</v>
      </c>
      <c r="P10" s="673">
        <f t="shared" si="8"/>
        <v>2927</v>
      </c>
      <c r="Q10" s="673">
        <f t="shared" si="8"/>
        <v>3658</v>
      </c>
      <c r="R10" s="673">
        <f t="shared" si="8"/>
        <v>3849</v>
      </c>
      <c r="S10" s="673">
        <f t="shared" si="8"/>
        <v>3094</v>
      </c>
      <c r="T10" s="673">
        <f t="shared" si="8"/>
        <v>4259</v>
      </c>
      <c r="U10" s="673">
        <f t="shared" si="8"/>
        <v>4630</v>
      </c>
      <c r="V10" s="673">
        <f t="shared" si="8"/>
        <v>4341</v>
      </c>
      <c r="W10" s="673">
        <f t="shared" si="8"/>
        <v>4053</v>
      </c>
      <c r="X10" s="673">
        <f t="shared" si="8"/>
        <v>3944</v>
      </c>
      <c r="Y10" s="673">
        <f t="shared" si="8"/>
        <v>5108</v>
      </c>
      <c r="Z10" s="673">
        <f t="shared" si="8"/>
        <v>4165</v>
      </c>
      <c r="AA10" s="673">
        <f t="shared" si="8"/>
        <v>5204</v>
      </c>
      <c r="AB10" s="673">
        <f t="shared" si="9"/>
        <v>4684</v>
      </c>
      <c r="AC10" s="673">
        <f t="shared" si="9"/>
        <v>3593</v>
      </c>
      <c r="AD10" s="673">
        <f t="shared" si="9"/>
        <v>3818</v>
      </c>
      <c r="AE10" s="673">
        <f t="shared" si="9"/>
        <v>2878</v>
      </c>
      <c r="AF10" s="673">
        <f t="shared" si="9"/>
        <v>3121</v>
      </c>
      <c r="AG10" s="673">
        <f t="shared" si="9"/>
        <v>3175</v>
      </c>
      <c r="AH10" s="673"/>
    </row>
    <row r="11" spans="1:34">
      <c r="C11" s="1002" t="s">
        <v>333</v>
      </c>
      <c r="D11" s="984"/>
      <c r="E11" s="690">
        <f t="shared" si="2"/>
        <v>0.23203760422189346</v>
      </c>
      <c r="F11" s="683">
        <f t="shared" si="3"/>
        <v>2884.1833333333334</v>
      </c>
      <c r="G11" s="675">
        <f t="shared" si="4"/>
        <v>3047.3333333333335</v>
      </c>
      <c r="H11" s="672">
        <f t="shared" si="5"/>
        <v>3372.5</v>
      </c>
      <c r="I11" s="672">
        <f t="shared" si="6"/>
        <v>3189.8333333333335</v>
      </c>
      <c r="J11" s="672">
        <f t="shared" si="7"/>
        <v>2370</v>
      </c>
      <c r="K11" s="673">
        <f t="shared" si="10"/>
        <v>3481</v>
      </c>
      <c r="L11" s="673">
        <f t="shared" si="8"/>
        <v>3158</v>
      </c>
      <c r="M11" s="673">
        <f t="shared" si="8"/>
        <v>3310</v>
      </c>
      <c r="N11" s="673">
        <f t="shared" si="8"/>
        <v>2835</v>
      </c>
      <c r="O11" s="673">
        <f t="shared" si="8"/>
        <v>3085</v>
      </c>
      <c r="P11" s="673">
        <f t="shared" si="8"/>
        <v>2415</v>
      </c>
      <c r="Q11" s="673">
        <f t="shared" si="8"/>
        <v>3136</v>
      </c>
      <c r="R11" s="673">
        <f t="shared" si="8"/>
        <v>3382</v>
      </c>
      <c r="S11" s="673">
        <f t="shared" si="8"/>
        <v>2858</v>
      </c>
      <c r="T11" s="673">
        <f t="shared" si="8"/>
        <v>3427</v>
      </c>
      <c r="U11" s="673">
        <f t="shared" si="8"/>
        <v>3548</v>
      </c>
      <c r="V11" s="673">
        <f t="shared" si="8"/>
        <v>3884</v>
      </c>
      <c r="W11" s="673">
        <f t="shared" si="8"/>
        <v>3737</v>
      </c>
      <c r="X11" s="673">
        <f t="shared" si="8"/>
        <v>3315</v>
      </c>
      <c r="Y11" s="673">
        <f t="shared" si="8"/>
        <v>3006</v>
      </c>
      <c r="Z11" s="673">
        <f t="shared" si="8"/>
        <v>2856</v>
      </c>
      <c r="AA11" s="673">
        <f t="shared" si="8"/>
        <v>3366</v>
      </c>
      <c r="AB11" s="673">
        <f t="shared" si="9"/>
        <v>2859</v>
      </c>
      <c r="AC11" s="673">
        <f t="shared" si="9"/>
        <v>1909</v>
      </c>
      <c r="AD11" s="673">
        <f t="shared" si="9"/>
        <v>2640</v>
      </c>
      <c r="AE11" s="673">
        <f t="shared" si="9"/>
        <v>2185</v>
      </c>
      <c r="AF11" s="673">
        <f t="shared" si="9"/>
        <v>2409</v>
      </c>
      <c r="AG11" s="673">
        <f t="shared" si="9"/>
        <v>2707</v>
      </c>
      <c r="AH11" s="673"/>
    </row>
    <row r="12" spans="1:34">
      <c r="C12" s="1002" t="s">
        <v>334</v>
      </c>
      <c r="D12" s="984"/>
      <c r="E12" s="690">
        <f t="shared" si="2"/>
        <v>0.238057540702553</v>
      </c>
      <c r="F12" s="683">
        <f t="shared" si="3"/>
        <v>2959.01</v>
      </c>
      <c r="G12" s="675">
        <f t="shared" si="4"/>
        <v>3477.3333333333335</v>
      </c>
      <c r="H12" s="672">
        <f t="shared" si="5"/>
        <v>3415.8333333333335</v>
      </c>
      <c r="I12" s="672">
        <f t="shared" si="6"/>
        <v>3050.5</v>
      </c>
      <c r="J12" s="672">
        <f t="shared" si="7"/>
        <v>2532.4</v>
      </c>
      <c r="K12" s="673">
        <f t="shared" si="10"/>
        <v>3684</v>
      </c>
      <c r="L12" s="673">
        <f t="shared" si="8"/>
        <v>3517</v>
      </c>
      <c r="M12" s="673">
        <f t="shared" si="8"/>
        <v>3878</v>
      </c>
      <c r="N12" s="673">
        <f t="shared" si="8"/>
        <v>3356</v>
      </c>
      <c r="O12" s="673">
        <f t="shared" si="8"/>
        <v>3573</v>
      </c>
      <c r="P12" s="673">
        <f t="shared" si="8"/>
        <v>2856</v>
      </c>
      <c r="Q12" s="673">
        <f t="shared" si="8"/>
        <v>3411</v>
      </c>
      <c r="R12" s="673">
        <f t="shared" si="8"/>
        <v>3718</v>
      </c>
      <c r="S12" s="673">
        <f t="shared" si="8"/>
        <v>2828</v>
      </c>
      <c r="T12" s="673">
        <f t="shared" si="8"/>
        <v>3490</v>
      </c>
      <c r="U12" s="673">
        <f t="shared" si="8"/>
        <v>3654</v>
      </c>
      <c r="V12" s="673">
        <f t="shared" si="8"/>
        <v>3394</v>
      </c>
      <c r="W12" s="673">
        <f t="shared" si="8"/>
        <v>3292</v>
      </c>
      <c r="X12" s="673">
        <f t="shared" si="8"/>
        <v>3359</v>
      </c>
      <c r="Y12" s="673">
        <f t="shared" si="8"/>
        <v>2976</v>
      </c>
      <c r="Z12" s="673">
        <f t="shared" si="8"/>
        <v>2554</v>
      </c>
      <c r="AA12" s="673">
        <f t="shared" si="8"/>
        <v>3282</v>
      </c>
      <c r="AB12" s="673">
        <f t="shared" si="9"/>
        <v>2840</v>
      </c>
      <c r="AC12" s="673">
        <f t="shared" si="9"/>
        <v>2555</v>
      </c>
      <c r="AD12" s="673">
        <f t="shared" si="9"/>
        <v>2776</v>
      </c>
      <c r="AE12" s="673">
        <f t="shared" si="9"/>
        <v>2222</v>
      </c>
      <c r="AF12" s="673">
        <f t="shared" si="9"/>
        <v>2584</v>
      </c>
      <c r="AG12" s="673">
        <f t="shared" si="9"/>
        <v>2525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1.0000000000000002</v>
      </c>
      <c r="F17" s="684">
        <f>SUM(F18:F25)</f>
        <v>12429.810000000001</v>
      </c>
      <c r="G17" s="674">
        <f>SUM(G18:G25)</f>
        <v>12870.5</v>
      </c>
      <c r="H17" s="674">
        <f t="shared" ref="H17:J17" si="12">SUM(H18:H25)</f>
        <v>13543.5</v>
      </c>
      <c r="I17" s="674">
        <f t="shared" si="12"/>
        <v>13860.999999999998</v>
      </c>
      <c r="J17" s="674">
        <f t="shared" si="12"/>
        <v>10689.4</v>
      </c>
      <c r="K17" s="671">
        <f t="shared" ref="K17:AH17" si="13">SUM(K18:K25)</f>
        <v>14213</v>
      </c>
      <c r="L17" s="671">
        <f t="shared" si="13"/>
        <v>12995</v>
      </c>
      <c r="M17" s="671">
        <f t="shared" si="13"/>
        <v>14622</v>
      </c>
      <c r="N17" s="671">
        <f t="shared" si="13"/>
        <v>12261</v>
      </c>
      <c r="O17" s="671">
        <f t="shared" si="13"/>
        <v>12778</v>
      </c>
      <c r="P17" s="671">
        <f t="shared" si="13"/>
        <v>10354</v>
      </c>
      <c r="Q17" s="671">
        <f t="shared" si="13"/>
        <v>12666</v>
      </c>
      <c r="R17" s="671">
        <f t="shared" si="13"/>
        <v>13933</v>
      </c>
      <c r="S17" s="671">
        <f t="shared" si="13"/>
        <v>11252</v>
      </c>
      <c r="T17" s="671">
        <f t="shared" si="13"/>
        <v>14112</v>
      </c>
      <c r="U17" s="671">
        <f t="shared" si="13"/>
        <v>14819</v>
      </c>
      <c r="V17" s="671">
        <f t="shared" si="13"/>
        <v>14479</v>
      </c>
      <c r="W17" s="671">
        <f t="shared" si="13"/>
        <v>13989</v>
      </c>
      <c r="X17" s="671">
        <f t="shared" si="13"/>
        <v>13338</v>
      </c>
      <c r="Y17" s="671">
        <f t="shared" si="13"/>
        <v>14362</v>
      </c>
      <c r="Z17" s="671">
        <f t="shared" si="13"/>
        <v>12470</v>
      </c>
      <c r="AA17" s="671">
        <f t="shared" si="13"/>
        <v>15548</v>
      </c>
      <c r="AB17" s="671">
        <f t="shared" si="13"/>
        <v>13459</v>
      </c>
      <c r="AC17" s="671">
        <f t="shared" si="13"/>
        <v>10618</v>
      </c>
      <c r="AD17" s="671">
        <f t="shared" si="13"/>
        <v>12145</v>
      </c>
      <c r="AE17" s="671">
        <f t="shared" si="13"/>
        <v>9564</v>
      </c>
      <c r="AF17" s="671">
        <f t="shared" si="13"/>
        <v>10332</v>
      </c>
      <c r="AG17" s="671">
        <f t="shared" si="13"/>
        <v>10788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0.17055315675246313</v>
      </c>
      <c r="F18" s="683">
        <f t="shared" ref="F18:F25" si="14">G18*10%+H18*20%+I18*30%+J18*40%</f>
        <v>2119.9433333333336</v>
      </c>
      <c r="G18" s="675">
        <f t="shared" ref="G18:G25" si="15">AVERAGE(K18:P18)</f>
        <v>2269.3333333333335</v>
      </c>
      <c r="H18" s="675">
        <f t="shared" ref="H18:H25" si="16">AVERAGE(Q18:V18)</f>
        <v>2305</v>
      </c>
      <c r="I18" s="675">
        <f t="shared" ref="I18:I25" si="17">AVERAGE(W18:AB18)</f>
        <v>2362.1666666666665</v>
      </c>
      <c r="J18" s="675">
        <f t="shared" ref="J18:J25" si="18">AVERAGE(AC18:AG18)</f>
        <v>1808.4</v>
      </c>
      <c r="K18" s="673">
        <f>SUMIF($B$31:$B$86,$C18,K$31:K$86)</f>
        <v>2382</v>
      </c>
      <c r="L18" s="673">
        <f t="shared" ref="L18:AA25" si="19">SUMIF($B$31:$B$86,$C18,L$31:L$86)</f>
        <v>2169</v>
      </c>
      <c r="M18" s="673">
        <f t="shared" si="19"/>
        <v>2819</v>
      </c>
      <c r="N18" s="673">
        <f t="shared" si="19"/>
        <v>2202</v>
      </c>
      <c r="O18" s="673">
        <f t="shared" si="19"/>
        <v>2234</v>
      </c>
      <c r="P18" s="673">
        <f t="shared" si="19"/>
        <v>1810</v>
      </c>
      <c r="Q18" s="673">
        <f t="shared" si="19"/>
        <v>2091</v>
      </c>
      <c r="R18" s="673">
        <f t="shared" si="19"/>
        <v>2549</v>
      </c>
      <c r="S18" s="673">
        <f t="shared" si="19"/>
        <v>1993</v>
      </c>
      <c r="T18" s="673">
        <f t="shared" si="19"/>
        <v>2371</v>
      </c>
      <c r="U18" s="673">
        <f t="shared" si="19"/>
        <v>2472</v>
      </c>
      <c r="V18" s="673">
        <f t="shared" si="19"/>
        <v>2354</v>
      </c>
      <c r="W18" s="673">
        <f t="shared" si="19"/>
        <v>2126</v>
      </c>
      <c r="X18" s="673">
        <f t="shared" si="19"/>
        <v>1984</v>
      </c>
      <c r="Y18" s="673">
        <f t="shared" si="19"/>
        <v>2503</v>
      </c>
      <c r="Z18" s="673">
        <f t="shared" si="19"/>
        <v>2325</v>
      </c>
      <c r="AA18" s="673">
        <f t="shared" si="19"/>
        <v>2859</v>
      </c>
      <c r="AB18" s="673">
        <f t="shared" ref="AB18:AG25" si="20">SUMIF($B$31:$B$86,$C18,AB$31:AB$86)</f>
        <v>2376</v>
      </c>
      <c r="AC18" s="673">
        <f t="shared" si="20"/>
        <v>1936</v>
      </c>
      <c r="AD18" s="673">
        <f t="shared" si="20"/>
        <v>2186</v>
      </c>
      <c r="AE18" s="673">
        <f t="shared" si="20"/>
        <v>1701</v>
      </c>
      <c r="AF18" s="673">
        <f t="shared" si="20"/>
        <v>1591</v>
      </c>
      <c r="AG18" s="673">
        <f t="shared" si="20"/>
        <v>1628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5.0475965977490142E-2</v>
      </c>
      <c r="F19" s="683">
        <f t="shared" si="14"/>
        <v>627.40666666666675</v>
      </c>
      <c r="G19" s="675">
        <f t="shared" si="15"/>
        <v>474.5</v>
      </c>
      <c r="H19" s="675">
        <f t="shared" si="16"/>
        <v>478.33333333333331</v>
      </c>
      <c r="I19" s="675">
        <f t="shared" si="17"/>
        <v>732.16666666666663</v>
      </c>
      <c r="J19" s="675">
        <f t="shared" si="18"/>
        <v>661.6</v>
      </c>
      <c r="K19" s="673">
        <f t="shared" ref="K19:K25" si="21">SUMIF($B$31:$B$86,$C19,K$31:K$86)</f>
        <v>568</v>
      </c>
      <c r="L19" s="673">
        <f t="shared" si="19"/>
        <v>552</v>
      </c>
      <c r="M19" s="673">
        <f t="shared" si="19"/>
        <v>601</v>
      </c>
      <c r="N19" s="673">
        <f t="shared" si="19"/>
        <v>410</v>
      </c>
      <c r="O19" s="673">
        <f t="shared" si="19"/>
        <v>370</v>
      </c>
      <c r="P19" s="673">
        <f t="shared" si="19"/>
        <v>346</v>
      </c>
      <c r="Q19" s="673">
        <f t="shared" si="19"/>
        <v>370</v>
      </c>
      <c r="R19" s="673">
        <f t="shared" si="19"/>
        <v>435</v>
      </c>
      <c r="S19" s="673">
        <f t="shared" si="19"/>
        <v>479</v>
      </c>
      <c r="T19" s="673">
        <f t="shared" si="19"/>
        <v>565</v>
      </c>
      <c r="U19" s="673">
        <f t="shared" si="19"/>
        <v>515</v>
      </c>
      <c r="V19" s="673">
        <f t="shared" si="19"/>
        <v>506</v>
      </c>
      <c r="W19" s="673">
        <f t="shared" si="19"/>
        <v>781</v>
      </c>
      <c r="X19" s="673">
        <f t="shared" si="19"/>
        <v>736</v>
      </c>
      <c r="Y19" s="673">
        <f t="shared" si="19"/>
        <v>769</v>
      </c>
      <c r="Z19" s="673">
        <f t="shared" si="19"/>
        <v>570</v>
      </c>
      <c r="AA19" s="673">
        <f t="shared" si="19"/>
        <v>837</v>
      </c>
      <c r="AB19" s="673">
        <f t="shared" si="20"/>
        <v>700</v>
      </c>
      <c r="AC19" s="673">
        <f t="shared" si="20"/>
        <v>625</v>
      </c>
      <c r="AD19" s="673">
        <f t="shared" si="20"/>
        <v>725</v>
      </c>
      <c r="AE19" s="673">
        <f t="shared" si="20"/>
        <v>578</v>
      </c>
      <c r="AF19" s="673">
        <f t="shared" si="20"/>
        <v>627</v>
      </c>
      <c r="AG19" s="673">
        <f t="shared" si="20"/>
        <v>753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0.15196638833041964</v>
      </c>
      <c r="F20" s="683">
        <f t="shared" si="14"/>
        <v>1888.9133333333334</v>
      </c>
      <c r="G20" s="675">
        <f t="shared" si="15"/>
        <v>1980.5</v>
      </c>
      <c r="H20" s="675">
        <f t="shared" si="16"/>
        <v>2020.1666666666667</v>
      </c>
      <c r="I20" s="675">
        <f t="shared" si="17"/>
        <v>2218.5</v>
      </c>
      <c r="J20" s="675">
        <f t="shared" si="18"/>
        <v>1553.2</v>
      </c>
      <c r="K20" s="673">
        <f t="shared" si="21"/>
        <v>2193</v>
      </c>
      <c r="L20" s="673">
        <f t="shared" si="19"/>
        <v>2123</v>
      </c>
      <c r="M20" s="673">
        <f t="shared" si="19"/>
        <v>2153</v>
      </c>
      <c r="N20" s="673">
        <f t="shared" si="19"/>
        <v>1854</v>
      </c>
      <c r="O20" s="673">
        <f t="shared" si="19"/>
        <v>1991</v>
      </c>
      <c r="P20" s="673">
        <f t="shared" si="19"/>
        <v>1569</v>
      </c>
      <c r="Q20" s="673">
        <f t="shared" si="19"/>
        <v>1869</v>
      </c>
      <c r="R20" s="673">
        <f t="shared" si="19"/>
        <v>2215</v>
      </c>
      <c r="S20" s="673">
        <f t="shared" si="19"/>
        <v>1613</v>
      </c>
      <c r="T20" s="673">
        <f t="shared" si="19"/>
        <v>2007</v>
      </c>
      <c r="U20" s="673">
        <f t="shared" si="19"/>
        <v>2218</v>
      </c>
      <c r="V20" s="673">
        <f t="shared" si="19"/>
        <v>2199</v>
      </c>
      <c r="W20" s="673">
        <f t="shared" si="19"/>
        <v>2038</v>
      </c>
      <c r="X20" s="673">
        <f t="shared" si="19"/>
        <v>1911</v>
      </c>
      <c r="Y20" s="673">
        <f t="shared" si="19"/>
        <v>2456</v>
      </c>
      <c r="Z20" s="673">
        <f t="shared" si="19"/>
        <v>2049</v>
      </c>
      <c r="AA20" s="673">
        <f t="shared" si="19"/>
        <v>2439</v>
      </c>
      <c r="AB20" s="673">
        <f t="shared" si="20"/>
        <v>2418</v>
      </c>
      <c r="AC20" s="673">
        <f t="shared" si="20"/>
        <v>1617</v>
      </c>
      <c r="AD20" s="673">
        <f t="shared" si="20"/>
        <v>1759</v>
      </c>
      <c r="AE20" s="673">
        <f t="shared" si="20"/>
        <v>1393</v>
      </c>
      <c r="AF20" s="673">
        <f t="shared" si="20"/>
        <v>1523</v>
      </c>
      <c r="AG20" s="673">
        <f t="shared" si="20"/>
        <v>1474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0.15690934401518072</v>
      </c>
      <c r="F21" s="683">
        <f t="shared" si="14"/>
        <v>1950.3533333333335</v>
      </c>
      <c r="G21" s="675">
        <f t="shared" si="15"/>
        <v>1621.5</v>
      </c>
      <c r="H21" s="675">
        <f t="shared" si="16"/>
        <v>1951.6666666666667</v>
      </c>
      <c r="I21" s="675">
        <f t="shared" si="17"/>
        <v>2307.8333333333335</v>
      </c>
      <c r="J21" s="675">
        <f t="shared" si="18"/>
        <v>1763.8</v>
      </c>
      <c r="K21" s="673">
        <f t="shared" si="21"/>
        <v>1905</v>
      </c>
      <c r="L21" s="673">
        <f t="shared" si="19"/>
        <v>1476</v>
      </c>
      <c r="M21" s="673">
        <f t="shared" si="19"/>
        <v>1861</v>
      </c>
      <c r="N21" s="673">
        <f t="shared" si="19"/>
        <v>1604</v>
      </c>
      <c r="O21" s="673">
        <f t="shared" si="19"/>
        <v>1525</v>
      </c>
      <c r="P21" s="673">
        <f t="shared" si="19"/>
        <v>1358</v>
      </c>
      <c r="Q21" s="673">
        <f t="shared" si="19"/>
        <v>1789</v>
      </c>
      <c r="R21" s="673">
        <f t="shared" si="19"/>
        <v>1634</v>
      </c>
      <c r="S21" s="673">
        <f t="shared" si="19"/>
        <v>1481</v>
      </c>
      <c r="T21" s="673">
        <f t="shared" si="19"/>
        <v>2252</v>
      </c>
      <c r="U21" s="673">
        <f t="shared" si="19"/>
        <v>2412</v>
      </c>
      <c r="V21" s="673">
        <f t="shared" si="19"/>
        <v>2142</v>
      </c>
      <c r="W21" s="673">
        <f t="shared" si="19"/>
        <v>2015</v>
      </c>
      <c r="X21" s="673">
        <f t="shared" si="19"/>
        <v>2033</v>
      </c>
      <c r="Y21" s="673">
        <f t="shared" si="19"/>
        <v>2652</v>
      </c>
      <c r="Z21" s="673">
        <f t="shared" si="19"/>
        <v>2116</v>
      </c>
      <c r="AA21" s="673">
        <f t="shared" si="19"/>
        <v>2765</v>
      </c>
      <c r="AB21" s="673">
        <f t="shared" si="20"/>
        <v>2266</v>
      </c>
      <c r="AC21" s="673">
        <f t="shared" si="20"/>
        <v>1976</v>
      </c>
      <c r="AD21" s="673">
        <f t="shared" si="20"/>
        <v>2059</v>
      </c>
      <c r="AE21" s="673">
        <f t="shared" si="20"/>
        <v>1485</v>
      </c>
      <c r="AF21" s="673">
        <f t="shared" si="20"/>
        <v>1598</v>
      </c>
      <c r="AG21" s="673">
        <f t="shared" si="20"/>
        <v>1701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0.11414682391229901</v>
      </c>
      <c r="F22" s="683">
        <f t="shared" si="14"/>
        <v>1418.8233333333333</v>
      </c>
      <c r="G22" s="675">
        <f t="shared" si="15"/>
        <v>1314.6666666666667</v>
      </c>
      <c r="H22" s="675">
        <f t="shared" si="16"/>
        <v>1808.3333333333333</v>
      </c>
      <c r="I22" s="675">
        <f t="shared" si="17"/>
        <v>1482.1666666666667</v>
      </c>
      <c r="J22" s="675">
        <f t="shared" si="18"/>
        <v>1202.5999999999999</v>
      </c>
      <c r="K22" s="673">
        <f t="shared" si="21"/>
        <v>1403</v>
      </c>
      <c r="L22" s="673">
        <f t="shared" si="19"/>
        <v>1215</v>
      </c>
      <c r="M22" s="673">
        <f t="shared" si="19"/>
        <v>1092</v>
      </c>
      <c r="N22" s="673">
        <f t="shared" si="19"/>
        <v>1236</v>
      </c>
      <c r="O22" s="673">
        <f t="shared" si="19"/>
        <v>1615</v>
      </c>
      <c r="P22" s="673">
        <f t="shared" si="19"/>
        <v>1327</v>
      </c>
      <c r="Q22" s="673">
        <f t="shared" si="19"/>
        <v>1634</v>
      </c>
      <c r="R22" s="673">
        <f t="shared" si="19"/>
        <v>1690</v>
      </c>
      <c r="S22" s="673">
        <f t="shared" si="19"/>
        <v>1466</v>
      </c>
      <c r="T22" s="673">
        <f t="shared" si="19"/>
        <v>1974</v>
      </c>
      <c r="U22" s="673">
        <f t="shared" si="19"/>
        <v>2002</v>
      </c>
      <c r="V22" s="673">
        <f t="shared" si="19"/>
        <v>2084</v>
      </c>
      <c r="W22" s="673">
        <f t="shared" si="19"/>
        <v>1894</v>
      </c>
      <c r="X22" s="673">
        <f t="shared" si="19"/>
        <v>1758</v>
      </c>
      <c r="Y22" s="673">
        <f t="shared" si="19"/>
        <v>1263</v>
      </c>
      <c r="Z22" s="673">
        <f t="shared" si="19"/>
        <v>1221</v>
      </c>
      <c r="AA22" s="673">
        <f t="shared" si="19"/>
        <v>1439</v>
      </c>
      <c r="AB22" s="673">
        <f t="shared" si="20"/>
        <v>1318</v>
      </c>
      <c r="AC22" s="673">
        <f t="shared" si="20"/>
        <v>963</v>
      </c>
      <c r="AD22" s="673">
        <f t="shared" si="20"/>
        <v>1192</v>
      </c>
      <c r="AE22" s="673">
        <f t="shared" si="20"/>
        <v>1123</v>
      </c>
      <c r="AF22" s="673">
        <f t="shared" si="20"/>
        <v>1266</v>
      </c>
      <c r="AG22" s="673">
        <f t="shared" si="20"/>
        <v>1469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0.11789078030959445</v>
      </c>
      <c r="F23" s="683">
        <f t="shared" si="14"/>
        <v>1465.3600000000001</v>
      </c>
      <c r="G23" s="675">
        <f t="shared" si="15"/>
        <v>1732.6666666666667</v>
      </c>
      <c r="H23" s="675">
        <f t="shared" si="16"/>
        <v>1564.1666666666667</v>
      </c>
      <c r="I23" s="675">
        <f t="shared" si="17"/>
        <v>1707.6666666666667</v>
      </c>
      <c r="J23" s="675">
        <f t="shared" si="18"/>
        <v>1167.4000000000001</v>
      </c>
      <c r="K23" s="673">
        <f t="shared" si="21"/>
        <v>2078</v>
      </c>
      <c r="L23" s="673">
        <f t="shared" si="19"/>
        <v>1943</v>
      </c>
      <c r="M23" s="673">
        <f t="shared" si="19"/>
        <v>2218</v>
      </c>
      <c r="N23" s="673">
        <f t="shared" si="19"/>
        <v>1599</v>
      </c>
      <c r="O23" s="673">
        <f t="shared" si="19"/>
        <v>1470</v>
      </c>
      <c r="P23" s="673">
        <f t="shared" si="19"/>
        <v>1088</v>
      </c>
      <c r="Q23" s="673">
        <f t="shared" si="19"/>
        <v>1502</v>
      </c>
      <c r="R23" s="673">
        <f t="shared" si="19"/>
        <v>1692</v>
      </c>
      <c r="S23" s="673">
        <f t="shared" si="19"/>
        <v>1392</v>
      </c>
      <c r="T23" s="673">
        <f t="shared" si="19"/>
        <v>1453</v>
      </c>
      <c r="U23" s="673">
        <f t="shared" si="19"/>
        <v>1546</v>
      </c>
      <c r="V23" s="673">
        <f t="shared" si="19"/>
        <v>1800</v>
      </c>
      <c r="W23" s="673">
        <f t="shared" si="19"/>
        <v>1843</v>
      </c>
      <c r="X23" s="673">
        <f t="shared" si="19"/>
        <v>1557</v>
      </c>
      <c r="Y23" s="673">
        <f t="shared" si="19"/>
        <v>1743</v>
      </c>
      <c r="Z23" s="673">
        <f t="shared" si="19"/>
        <v>1635</v>
      </c>
      <c r="AA23" s="673">
        <f t="shared" si="19"/>
        <v>1927</v>
      </c>
      <c r="AB23" s="673">
        <f t="shared" si="20"/>
        <v>1541</v>
      </c>
      <c r="AC23" s="673">
        <f t="shared" si="20"/>
        <v>946</v>
      </c>
      <c r="AD23" s="673">
        <f t="shared" si="20"/>
        <v>1448</v>
      </c>
      <c r="AE23" s="673">
        <f t="shared" si="20"/>
        <v>1062</v>
      </c>
      <c r="AF23" s="673">
        <f t="shared" si="20"/>
        <v>1143</v>
      </c>
      <c r="AG23" s="673">
        <f t="shared" si="20"/>
        <v>1238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0.13015538183340428</v>
      </c>
      <c r="F24" s="683">
        <f t="shared" si="14"/>
        <v>1617.8066666666668</v>
      </c>
      <c r="G24" s="675">
        <f t="shared" si="15"/>
        <v>2032.6666666666667</v>
      </c>
      <c r="H24" s="675">
        <f t="shared" si="16"/>
        <v>1907</v>
      </c>
      <c r="I24" s="675">
        <f t="shared" si="17"/>
        <v>1648.3333333333333</v>
      </c>
      <c r="J24" s="675">
        <f t="shared" si="18"/>
        <v>1346.6</v>
      </c>
      <c r="K24" s="673">
        <f t="shared" si="21"/>
        <v>2158</v>
      </c>
      <c r="L24" s="673">
        <f t="shared" si="19"/>
        <v>2069</v>
      </c>
      <c r="M24" s="673">
        <f t="shared" si="19"/>
        <v>2209</v>
      </c>
      <c r="N24" s="673">
        <f t="shared" si="19"/>
        <v>2031</v>
      </c>
      <c r="O24" s="673">
        <f t="shared" si="19"/>
        <v>2139</v>
      </c>
      <c r="P24" s="673">
        <f t="shared" si="19"/>
        <v>1590</v>
      </c>
      <c r="Q24" s="673">
        <f t="shared" si="19"/>
        <v>1857</v>
      </c>
      <c r="R24" s="673">
        <f t="shared" si="19"/>
        <v>2132</v>
      </c>
      <c r="S24" s="673">
        <f t="shared" si="19"/>
        <v>1649</v>
      </c>
      <c r="T24" s="673">
        <f t="shared" si="19"/>
        <v>1844</v>
      </c>
      <c r="U24" s="673">
        <f t="shared" si="19"/>
        <v>2003</v>
      </c>
      <c r="V24" s="673">
        <f t="shared" si="19"/>
        <v>1957</v>
      </c>
      <c r="W24" s="673">
        <f t="shared" si="19"/>
        <v>1853</v>
      </c>
      <c r="X24" s="673">
        <f t="shared" si="19"/>
        <v>1796</v>
      </c>
      <c r="Y24" s="673">
        <f t="shared" si="19"/>
        <v>1619</v>
      </c>
      <c r="Z24" s="673">
        <f t="shared" si="19"/>
        <v>1405</v>
      </c>
      <c r="AA24" s="673">
        <f t="shared" si="19"/>
        <v>1850</v>
      </c>
      <c r="AB24" s="673">
        <f t="shared" si="20"/>
        <v>1367</v>
      </c>
      <c r="AC24" s="673">
        <f t="shared" si="20"/>
        <v>1220</v>
      </c>
      <c r="AD24" s="673">
        <f t="shared" si="20"/>
        <v>1446</v>
      </c>
      <c r="AE24" s="673">
        <f t="shared" si="20"/>
        <v>1097</v>
      </c>
      <c r="AF24" s="673">
        <f t="shared" si="20"/>
        <v>1457</v>
      </c>
      <c r="AG24" s="673">
        <f t="shared" si="20"/>
        <v>1513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0.10790215886914872</v>
      </c>
      <c r="F25" s="683">
        <f t="shared" si="14"/>
        <v>1341.2033333333334</v>
      </c>
      <c r="G25" s="675">
        <f t="shared" si="15"/>
        <v>1444.6666666666667</v>
      </c>
      <c r="H25" s="675">
        <f t="shared" si="16"/>
        <v>1508.8333333333333</v>
      </c>
      <c r="I25" s="675">
        <f t="shared" si="17"/>
        <v>1402.1666666666667</v>
      </c>
      <c r="J25" s="675">
        <f t="shared" si="18"/>
        <v>1185.8</v>
      </c>
      <c r="K25" s="676">
        <f t="shared" si="21"/>
        <v>1526</v>
      </c>
      <c r="L25" s="676">
        <f t="shared" si="19"/>
        <v>1448</v>
      </c>
      <c r="M25" s="676">
        <f t="shared" si="19"/>
        <v>1669</v>
      </c>
      <c r="N25" s="676">
        <f t="shared" si="19"/>
        <v>1325</v>
      </c>
      <c r="O25" s="676">
        <f t="shared" si="19"/>
        <v>1434</v>
      </c>
      <c r="P25" s="676">
        <f t="shared" si="19"/>
        <v>1266</v>
      </c>
      <c r="Q25" s="676">
        <f t="shared" si="19"/>
        <v>1554</v>
      </c>
      <c r="R25" s="676">
        <f t="shared" si="19"/>
        <v>1586</v>
      </c>
      <c r="S25" s="676">
        <f t="shared" si="19"/>
        <v>1179</v>
      </c>
      <c r="T25" s="676">
        <f t="shared" si="19"/>
        <v>1646</v>
      </c>
      <c r="U25" s="676">
        <f t="shared" si="19"/>
        <v>1651</v>
      </c>
      <c r="V25" s="676">
        <f t="shared" si="19"/>
        <v>1437</v>
      </c>
      <c r="W25" s="676">
        <f t="shared" si="19"/>
        <v>1439</v>
      </c>
      <c r="X25" s="676">
        <f t="shared" si="19"/>
        <v>1563</v>
      </c>
      <c r="Y25" s="676">
        <f t="shared" si="19"/>
        <v>1357</v>
      </c>
      <c r="Z25" s="676">
        <f t="shared" si="19"/>
        <v>1149</v>
      </c>
      <c r="AA25" s="676">
        <f t="shared" si="19"/>
        <v>1432</v>
      </c>
      <c r="AB25" s="676">
        <f t="shared" si="20"/>
        <v>1473</v>
      </c>
      <c r="AC25" s="676">
        <f t="shared" si="20"/>
        <v>1335</v>
      </c>
      <c r="AD25" s="676">
        <f t="shared" si="20"/>
        <v>1330</v>
      </c>
      <c r="AE25" s="676">
        <f t="shared" si="20"/>
        <v>1125</v>
      </c>
      <c r="AF25" s="676">
        <f t="shared" si="20"/>
        <v>1127</v>
      </c>
      <c r="AG25" s="676">
        <f t="shared" si="20"/>
        <v>1012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12429.809999999998</v>
      </c>
      <c r="G30" s="678">
        <f>SUM(G31:G86)</f>
        <v>12870.500000000002</v>
      </c>
      <c r="H30" s="678">
        <f t="shared" ref="H30:J30" si="22">SUM(H31:H86)</f>
        <v>13543.499999999998</v>
      </c>
      <c r="I30" s="678">
        <f t="shared" si="22"/>
        <v>13861.000000000004</v>
      </c>
      <c r="J30" s="678">
        <f t="shared" si="22"/>
        <v>10689.399999999998</v>
      </c>
      <c r="K30" s="671">
        <f>SUM(K31:K86)</f>
        <v>14213</v>
      </c>
      <c r="L30" s="671">
        <f t="shared" ref="L30:AH30" si="23">SUM(L31:L86)</f>
        <v>12995</v>
      </c>
      <c r="M30" s="671">
        <f t="shared" si="23"/>
        <v>14622</v>
      </c>
      <c r="N30" s="671">
        <f t="shared" si="23"/>
        <v>12261</v>
      </c>
      <c r="O30" s="671">
        <f t="shared" si="23"/>
        <v>12778</v>
      </c>
      <c r="P30" s="671">
        <f t="shared" si="23"/>
        <v>10354</v>
      </c>
      <c r="Q30" s="671">
        <f t="shared" si="23"/>
        <v>12666</v>
      </c>
      <c r="R30" s="671">
        <f t="shared" si="23"/>
        <v>13933</v>
      </c>
      <c r="S30" s="671">
        <f t="shared" si="23"/>
        <v>11252</v>
      </c>
      <c r="T30" s="671">
        <f t="shared" si="23"/>
        <v>14112</v>
      </c>
      <c r="U30" s="671">
        <f t="shared" si="23"/>
        <v>14819</v>
      </c>
      <c r="V30" s="671">
        <f t="shared" si="23"/>
        <v>14479</v>
      </c>
      <c r="W30" s="671">
        <f t="shared" si="23"/>
        <v>13989</v>
      </c>
      <c r="X30" s="671">
        <f t="shared" si="23"/>
        <v>13338</v>
      </c>
      <c r="Y30" s="671">
        <f t="shared" si="23"/>
        <v>14362</v>
      </c>
      <c r="Z30" s="671">
        <f t="shared" si="23"/>
        <v>12470</v>
      </c>
      <c r="AA30" s="671">
        <f t="shared" si="23"/>
        <v>15548</v>
      </c>
      <c r="AB30" s="671">
        <f t="shared" si="23"/>
        <v>13459</v>
      </c>
      <c r="AC30" s="671">
        <f t="shared" si="23"/>
        <v>10618</v>
      </c>
      <c r="AD30" s="671">
        <f t="shared" si="23"/>
        <v>12145</v>
      </c>
      <c r="AE30" s="671">
        <f t="shared" si="23"/>
        <v>9564</v>
      </c>
      <c r="AF30" s="671">
        <f t="shared" si="23"/>
        <v>10332</v>
      </c>
      <c r="AG30" s="671">
        <f t="shared" si="23"/>
        <v>10788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9.4916059077050793E-2</v>
      </c>
      <c r="F31" s="680">
        <f>G31*10%+H31*20%+I31*30%+J31*40%</f>
        <v>201.21666666666667</v>
      </c>
      <c r="G31" s="680">
        <f>AVERAGE(K31:P31)</f>
        <v>210</v>
      </c>
      <c r="H31" s="679">
        <f>AVERAGE(Q31:V31)</f>
        <v>222.83333333333334</v>
      </c>
      <c r="I31" s="679">
        <f>AVERAGE(W31:AB31)</f>
        <v>244.16666666666666</v>
      </c>
      <c r="J31" s="679">
        <f>AVERAGE(AC31:AG31)</f>
        <v>156</v>
      </c>
      <c r="K31" s="673">
        <v>241</v>
      </c>
      <c r="L31" s="673">
        <v>194</v>
      </c>
      <c r="M31" s="673">
        <v>252</v>
      </c>
      <c r="N31" s="673">
        <v>198</v>
      </c>
      <c r="O31" s="673">
        <v>222</v>
      </c>
      <c r="P31" s="673">
        <v>153</v>
      </c>
      <c r="Q31" s="673">
        <v>154</v>
      </c>
      <c r="R31" s="673">
        <v>224</v>
      </c>
      <c r="S31" s="673">
        <v>215</v>
      </c>
      <c r="T31" s="673">
        <v>221</v>
      </c>
      <c r="U31" s="673">
        <v>260</v>
      </c>
      <c r="V31" s="665">
        <v>263</v>
      </c>
      <c r="W31" s="665">
        <v>275</v>
      </c>
      <c r="X31" s="665">
        <v>250</v>
      </c>
      <c r="Y31" s="665">
        <v>229</v>
      </c>
      <c r="Z31" s="665">
        <v>250</v>
      </c>
      <c r="AA31" s="665">
        <v>261</v>
      </c>
      <c r="AB31" s="665">
        <v>200</v>
      </c>
      <c r="AC31" s="665">
        <v>177</v>
      </c>
      <c r="AD31" s="665">
        <v>153</v>
      </c>
      <c r="AE31" s="665">
        <v>153</v>
      </c>
      <c r="AF31" s="665">
        <v>147</v>
      </c>
      <c r="AG31" s="665">
        <v>150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5.6169740386142399E-2</v>
      </c>
      <c r="F32" s="680">
        <f t="shared" ref="F32:F86" si="25">G32*10%+H32*20%+I32*30%+J32*40%</f>
        <v>119.07666666666668</v>
      </c>
      <c r="G32" s="680">
        <f t="shared" ref="G32:G86" si="26">AVERAGE(K32:P32)</f>
        <v>141.83333333333334</v>
      </c>
      <c r="H32" s="679">
        <f t="shared" ref="H32:H86" si="27">AVERAGE(Q32:V32)</f>
        <v>131.16666666666666</v>
      </c>
      <c r="I32" s="679">
        <f t="shared" ref="I32:I86" si="28">AVERAGE(W32:AB32)</f>
        <v>113.66666666666667</v>
      </c>
      <c r="J32" s="679">
        <f t="shared" ref="J32:J86" si="29">AVERAGE(AC32:AG32)</f>
        <v>111.4</v>
      </c>
      <c r="K32" s="673">
        <v>124</v>
      </c>
      <c r="L32" s="673">
        <v>158</v>
      </c>
      <c r="M32" s="673">
        <v>217</v>
      </c>
      <c r="N32" s="673">
        <v>150</v>
      </c>
      <c r="O32" s="673">
        <v>125</v>
      </c>
      <c r="P32" s="673">
        <v>77</v>
      </c>
      <c r="Q32" s="673">
        <v>117</v>
      </c>
      <c r="R32" s="673">
        <v>155</v>
      </c>
      <c r="S32" s="673">
        <v>113</v>
      </c>
      <c r="T32" s="673">
        <v>136</v>
      </c>
      <c r="U32" s="673">
        <v>136</v>
      </c>
      <c r="V32" s="665">
        <v>130</v>
      </c>
      <c r="W32" s="665">
        <v>69</v>
      </c>
      <c r="X32" s="665">
        <v>83</v>
      </c>
      <c r="Y32" s="665">
        <v>132</v>
      </c>
      <c r="Z32" s="665">
        <v>120</v>
      </c>
      <c r="AA32" s="665">
        <v>147</v>
      </c>
      <c r="AB32" s="665">
        <v>131</v>
      </c>
      <c r="AC32" s="665">
        <v>117</v>
      </c>
      <c r="AD32" s="665">
        <v>154</v>
      </c>
      <c r="AE32" s="665">
        <v>111</v>
      </c>
      <c r="AF32" s="665">
        <v>93</v>
      </c>
      <c r="AG32" s="665">
        <v>82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0.12885250077439173</v>
      </c>
      <c r="F33" s="680">
        <f t="shared" si="25"/>
        <v>273.15999999999997</v>
      </c>
      <c r="G33" s="680">
        <f t="shared" si="26"/>
        <v>345.83333333333331</v>
      </c>
      <c r="H33" s="679">
        <f t="shared" si="27"/>
        <v>304.33333333333331</v>
      </c>
      <c r="I33" s="679">
        <f t="shared" si="28"/>
        <v>303.83333333333331</v>
      </c>
      <c r="J33" s="679">
        <f t="shared" si="29"/>
        <v>216.4</v>
      </c>
      <c r="K33" s="673">
        <v>320</v>
      </c>
      <c r="L33" s="673">
        <v>328</v>
      </c>
      <c r="M33" s="673">
        <v>473</v>
      </c>
      <c r="N33" s="673">
        <v>369</v>
      </c>
      <c r="O33" s="673">
        <v>335</v>
      </c>
      <c r="P33" s="673">
        <v>250</v>
      </c>
      <c r="Q33" s="673">
        <v>282</v>
      </c>
      <c r="R33" s="673">
        <v>385</v>
      </c>
      <c r="S33" s="673">
        <v>322</v>
      </c>
      <c r="T33" s="673">
        <v>252</v>
      </c>
      <c r="U33" s="673">
        <v>290</v>
      </c>
      <c r="V33" s="665">
        <v>295</v>
      </c>
      <c r="W33" s="665">
        <v>233</v>
      </c>
      <c r="X33" s="665">
        <v>269</v>
      </c>
      <c r="Y33" s="665">
        <v>331</v>
      </c>
      <c r="Z33" s="665">
        <v>311</v>
      </c>
      <c r="AA33" s="665">
        <v>408</v>
      </c>
      <c r="AB33" s="665">
        <v>271</v>
      </c>
      <c r="AC33" s="665">
        <v>190</v>
      </c>
      <c r="AD33" s="665">
        <v>215</v>
      </c>
      <c r="AE33" s="665">
        <v>201</v>
      </c>
      <c r="AF33" s="665">
        <v>233</v>
      </c>
      <c r="AG33" s="665">
        <v>243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0.12122022129522329</v>
      </c>
      <c r="F34" s="680">
        <f t="shared" si="25"/>
        <v>256.98</v>
      </c>
      <c r="G34" s="680">
        <f t="shared" si="26"/>
        <v>281.66666666666669</v>
      </c>
      <c r="H34" s="679">
        <f t="shared" si="27"/>
        <v>293.16666666666669</v>
      </c>
      <c r="I34" s="679">
        <f t="shared" si="28"/>
        <v>327</v>
      </c>
      <c r="J34" s="679">
        <f t="shared" si="29"/>
        <v>180.2</v>
      </c>
      <c r="K34" s="673">
        <v>295</v>
      </c>
      <c r="L34" s="673">
        <v>238</v>
      </c>
      <c r="M34" s="673">
        <v>325</v>
      </c>
      <c r="N34" s="673">
        <v>311</v>
      </c>
      <c r="O34" s="673">
        <v>291</v>
      </c>
      <c r="P34" s="673">
        <v>230</v>
      </c>
      <c r="Q34" s="673">
        <v>250</v>
      </c>
      <c r="R34" s="673">
        <v>214</v>
      </c>
      <c r="S34" s="673">
        <v>272</v>
      </c>
      <c r="T34" s="673">
        <v>339</v>
      </c>
      <c r="U34" s="673">
        <v>395</v>
      </c>
      <c r="V34" s="665">
        <v>289</v>
      </c>
      <c r="W34" s="665">
        <v>295</v>
      </c>
      <c r="X34" s="665">
        <v>219</v>
      </c>
      <c r="Y34" s="665">
        <v>421</v>
      </c>
      <c r="Z34" s="665">
        <v>323</v>
      </c>
      <c r="AA34" s="665">
        <v>333</v>
      </c>
      <c r="AB34" s="665">
        <v>371</v>
      </c>
      <c r="AC34" s="665">
        <v>263</v>
      </c>
      <c r="AD34" s="665">
        <v>195</v>
      </c>
      <c r="AE34" s="665">
        <v>154</v>
      </c>
      <c r="AF34" s="665">
        <v>135</v>
      </c>
      <c r="AG34" s="665">
        <v>154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0.20573820369412391</v>
      </c>
      <c r="F35" s="680">
        <f t="shared" si="25"/>
        <v>436.15333333333342</v>
      </c>
      <c r="G35" s="680">
        <f t="shared" si="26"/>
        <v>478.33333333333331</v>
      </c>
      <c r="H35" s="679">
        <f t="shared" si="27"/>
        <v>502.5</v>
      </c>
      <c r="I35" s="679">
        <f t="shared" si="28"/>
        <v>431.66666666666669</v>
      </c>
      <c r="J35" s="679">
        <f t="shared" si="29"/>
        <v>395.8</v>
      </c>
      <c r="K35" s="673">
        <v>527</v>
      </c>
      <c r="L35" s="673">
        <v>462</v>
      </c>
      <c r="M35" s="673">
        <v>545</v>
      </c>
      <c r="N35" s="673">
        <v>429</v>
      </c>
      <c r="O35" s="673">
        <v>461</v>
      </c>
      <c r="P35" s="673">
        <v>446</v>
      </c>
      <c r="Q35" s="673">
        <v>489</v>
      </c>
      <c r="R35" s="673">
        <v>591</v>
      </c>
      <c r="S35" s="673">
        <v>338</v>
      </c>
      <c r="T35" s="673">
        <v>612</v>
      </c>
      <c r="U35" s="673">
        <v>484</v>
      </c>
      <c r="V35" s="665">
        <v>501</v>
      </c>
      <c r="W35" s="665">
        <v>425</v>
      </c>
      <c r="X35" s="665">
        <v>456</v>
      </c>
      <c r="Y35" s="665">
        <v>466</v>
      </c>
      <c r="Z35" s="665">
        <v>333</v>
      </c>
      <c r="AA35" s="665">
        <v>521</v>
      </c>
      <c r="AB35" s="665">
        <v>389</v>
      </c>
      <c r="AC35" s="665">
        <v>358</v>
      </c>
      <c r="AD35" s="665">
        <v>601</v>
      </c>
      <c r="AE35" s="665">
        <v>377</v>
      </c>
      <c r="AF35" s="665">
        <v>317</v>
      </c>
      <c r="AG35" s="665">
        <v>326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0.11727829202981838</v>
      </c>
      <c r="F36" s="680">
        <f t="shared" si="25"/>
        <v>248.62333333333331</v>
      </c>
      <c r="G36" s="680">
        <f t="shared" si="26"/>
        <v>190.5</v>
      </c>
      <c r="H36" s="679">
        <f t="shared" si="27"/>
        <v>227.66666666666666</v>
      </c>
      <c r="I36" s="679">
        <f t="shared" si="28"/>
        <v>287.33333333333331</v>
      </c>
      <c r="J36" s="679">
        <f t="shared" si="29"/>
        <v>244.6</v>
      </c>
      <c r="K36" s="673">
        <v>245</v>
      </c>
      <c r="L36" s="673">
        <v>165</v>
      </c>
      <c r="M36" s="673">
        <v>214</v>
      </c>
      <c r="N36" s="673">
        <v>180</v>
      </c>
      <c r="O36" s="673">
        <v>182</v>
      </c>
      <c r="P36" s="673">
        <v>157</v>
      </c>
      <c r="Q36" s="673">
        <v>196</v>
      </c>
      <c r="R36" s="673">
        <v>277</v>
      </c>
      <c r="S36" s="673">
        <v>211</v>
      </c>
      <c r="T36" s="673">
        <v>211</v>
      </c>
      <c r="U36" s="673">
        <v>243</v>
      </c>
      <c r="V36" s="665">
        <v>228</v>
      </c>
      <c r="W36" s="665">
        <v>263</v>
      </c>
      <c r="X36" s="665">
        <v>255</v>
      </c>
      <c r="Y36" s="665">
        <v>270</v>
      </c>
      <c r="Z36" s="665">
        <v>295</v>
      </c>
      <c r="AA36" s="665">
        <v>342</v>
      </c>
      <c r="AB36" s="665">
        <v>299</v>
      </c>
      <c r="AC36" s="665">
        <v>263</v>
      </c>
      <c r="AD36" s="665">
        <v>273</v>
      </c>
      <c r="AE36" s="665">
        <v>239</v>
      </c>
      <c r="AF36" s="665">
        <v>234</v>
      </c>
      <c r="AG36" s="665">
        <v>214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0.1198789904761605</v>
      </c>
      <c r="F37" s="680">
        <f t="shared" si="25"/>
        <v>254.13666666666666</v>
      </c>
      <c r="G37" s="680">
        <f t="shared" si="26"/>
        <v>282</v>
      </c>
      <c r="H37" s="679">
        <f t="shared" si="27"/>
        <v>245.33333333333334</v>
      </c>
      <c r="I37" s="679">
        <f t="shared" si="28"/>
        <v>328.5</v>
      </c>
      <c r="J37" s="679">
        <f t="shared" si="29"/>
        <v>195.8</v>
      </c>
      <c r="K37" s="673">
        <v>278</v>
      </c>
      <c r="L37" s="673">
        <v>284</v>
      </c>
      <c r="M37" s="673">
        <v>332</v>
      </c>
      <c r="N37" s="673">
        <v>261</v>
      </c>
      <c r="O37" s="673">
        <v>305</v>
      </c>
      <c r="P37" s="673">
        <v>232</v>
      </c>
      <c r="Q37" s="673">
        <v>218</v>
      </c>
      <c r="R37" s="673">
        <v>314</v>
      </c>
      <c r="S37" s="673">
        <v>203</v>
      </c>
      <c r="T37" s="673">
        <v>215</v>
      </c>
      <c r="U37" s="673">
        <v>276</v>
      </c>
      <c r="V37" s="665">
        <v>246</v>
      </c>
      <c r="W37" s="665">
        <v>272</v>
      </c>
      <c r="X37" s="665">
        <v>212</v>
      </c>
      <c r="Y37" s="665">
        <v>329</v>
      </c>
      <c r="Z37" s="665">
        <v>385</v>
      </c>
      <c r="AA37" s="665">
        <v>468</v>
      </c>
      <c r="AB37" s="665">
        <v>305</v>
      </c>
      <c r="AC37" s="665">
        <v>173</v>
      </c>
      <c r="AD37" s="665">
        <v>234</v>
      </c>
      <c r="AE37" s="665">
        <v>186</v>
      </c>
      <c r="AF37" s="665">
        <v>186</v>
      </c>
      <c r="AG37" s="665">
        <v>200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0.15594599226708888</v>
      </c>
      <c r="F38" s="680">
        <f t="shared" si="25"/>
        <v>330.59666666666669</v>
      </c>
      <c r="G38" s="680">
        <f t="shared" si="26"/>
        <v>339.16666666666669</v>
      </c>
      <c r="H38" s="679">
        <f t="shared" si="27"/>
        <v>378</v>
      </c>
      <c r="I38" s="679">
        <f t="shared" si="28"/>
        <v>326</v>
      </c>
      <c r="J38" s="679">
        <f t="shared" si="29"/>
        <v>308.2</v>
      </c>
      <c r="K38" s="673">
        <v>352</v>
      </c>
      <c r="L38" s="673">
        <v>340</v>
      </c>
      <c r="M38" s="673">
        <v>461</v>
      </c>
      <c r="N38" s="673">
        <v>304</v>
      </c>
      <c r="O38" s="673">
        <v>313</v>
      </c>
      <c r="P38" s="673">
        <v>265</v>
      </c>
      <c r="Q38" s="673">
        <v>385</v>
      </c>
      <c r="R38" s="673">
        <v>389</v>
      </c>
      <c r="S38" s="673">
        <v>319</v>
      </c>
      <c r="T38" s="673">
        <v>385</v>
      </c>
      <c r="U38" s="673">
        <v>388</v>
      </c>
      <c r="V38" s="665">
        <v>402</v>
      </c>
      <c r="W38" s="665">
        <v>294</v>
      </c>
      <c r="X38" s="665">
        <v>240</v>
      </c>
      <c r="Y38" s="665">
        <v>325</v>
      </c>
      <c r="Z38" s="665">
        <v>308</v>
      </c>
      <c r="AA38" s="665">
        <v>379</v>
      </c>
      <c r="AB38" s="665">
        <v>410</v>
      </c>
      <c r="AC38" s="665">
        <v>395</v>
      </c>
      <c r="AD38" s="665">
        <v>361</v>
      </c>
      <c r="AE38" s="665">
        <v>280</v>
      </c>
      <c r="AF38" s="665">
        <v>246</v>
      </c>
      <c r="AG38" s="665">
        <v>259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0.33543369000435647</v>
      </c>
      <c r="F39" s="680">
        <f t="shared" si="25"/>
        <v>210.45333333333332</v>
      </c>
      <c r="G39" s="680">
        <f t="shared" si="26"/>
        <v>164.33333333333334</v>
      </c>
      <c r="H39" s="679">
        <f t="shared" si="27"/>
        <v>141</v>
      </c>
      <c r="I39" s="679">
        <f t="shared" si="28"/>
        <v>255.66666666666666</v>
      </c>
      <c r="J39" s="679">
        <f t="shared" si="29"/>
        <v>222.8</v>
      </c>
      <c r="K39" s="673">
        <v>153</v>
      </c>
      <c r="L39" s="673">
        <v>145</v>
      </c>
      <c r="M39" s="673">
        <v>241</v>
      </c>
      <c r="N39" s="673">
        <v>166</v>
      </c>
      <c r="O39" s="673">
        <v>153</v>
      </c>
      <c r="P39" s="673">
        <v>128</v>
      </c>
      <c r="Q39" s="673">
        <v>118</v>
      </c>
      <c r="R39" s="673">
        <v>166</v>
      </c>
      <c r="S39" s="673">
        <v>139</v>
      </c>
      <c r="T39" s="673">
        <v>131</v>
      </c>
      <c r="U39" s="673">
        <v>141</v>
      </c>
      <c r="V39" s="665">
        <v>151</v>
      </c>
      <c r="W39" s="665">
        <v>257</v>
      </c>
      <c r="X39" s="665">
        <v>236</v>
      </c>
      <c r="Y39" s="665">
        <v>287</v>
      </c>
      <c r="Z39" s="665">
        <v>205</v>
      </c>
      <c r="AA39" s="665">
        <v>343</v>
      </c>
      <c r="AB39" s="665">
        <v>206</v>
      </c>
      <c r="AC39" s="665">
        <v>223</v>
      </c>
      <c r="AD39" s="665">
        <v>256</v>
      </c>
      <c r="AE39" s="665">
        <v>206</v>
      </c>
      <c r="AF39" s="665">
        <v>211</v>
      </c>
      <c r="AG39" s="665">
        <v>218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0.2747925322225882</v>
      </c>
      <c r="F40" s="680">
        <f t="shared" si="25"/>
        <v>172.40666666666667</v>
      </c>
      <c r="G40" s="680">
        <f t="shared" si="26"/>
        <v>141.83333333333334</v>
      </c>
      <c r="H40" s="679">
        <f t="shared" si="27"/>
        <v>129.16666666666666</v>
      </c>
      <c r="I40" s="679">
        <f t="shared" si="28"/>
        <v>189.83333333333334</v>
      </c>
      <c r="J40" s="679">
        <f t="shared" si="29"/>
        <v>188.6</v>
      </c>
      <c r="K40" s="673">
        <v>180</v>
      </c>
      <c r="L40" s="673">
        <v>164</v>
      </c>
      <c r="M40" s="673">
        <v>161</v>
      </c>
      <c r="N40" s="673">
        <v>127</v>
      </c>
      <c r="O40" s="673">
        <v>108</v>
      </c>
      <c r="P40" s="673">
        <v>111</v>
      </c>
      <c r="Q40" s="673">
        <v>103</v>
      </c>
      <c r="R40" s="673">
        <v>109</v>
      </c>
      <c r="S40" s="673">
        <v>126</v>
      </c>
      <c r="T40" s="673">
        <v>131</v>
      </c>
      <c r="U40" s="673">
        <v>144</v>
      </c>
      <c r="V40" s="665">
        <v>162</v>
      </c>
      <c r="W40" s="665">
        <v>207</v>
      </c>
      <c r="X40" s="665">
        <v>190</v>
      </c>
      <c r="Y40" s="665">
        <v>173</v>
      </c>
      <c r="Z40" s="665">
        <v>161</v>
      </c>
      <c r="AA40" s="665">
        <v>217</v>
      </c>
      <c r="AB40" s="665">
        <v>191</v>
      </c>
      <c r="AC40" s="665">
        <v>173</v>
      </c>
      <c r="AD40" s="665">
        <v>205</v>
      </c>
      <c r="AE40" s="665">
        <v>162</v>
      </c>
      <c r="AF40" s="665">
        <v>172</v>
      </c>
      <c r="AG40" s="665">
        <v>231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0.38977377777305522</v>
      </c>
      <c r="F41" s="680">
        <f t="shared" si="25"/>
        <v>244.54666666666668</v>
      </c>
      <c r="G41" s="680">
        <f t="shared" si="26"/>
        <v>168.33333333333334</v>
      </c>
      <c r="H41" s="679">
        <f t="shared" si="27"/>
        <v>208.16666666666666</v>
      </c>
      <c r="I41" s="679">
        <f t="shared" si="28"/>
        <v>286.66666666666669</v>
      </c>
      <c r="J41" s="679">
        <f t="shared" si="29"/>
        <v>250.2</v>
      </c>
      <c r="K41" s="673">
        <v>235</v>
      </c>
      <c r="L41" s="673">
        <v>243</v>
      </c>
      <c r="M41" s="673">
        <v>199</v>
      </c>
      <c r="N41" s="673">
        <v>117</v>
      </c>
      <c r="O41" s="673">
        <v>109</v>
      </c>
      <c r="P41" s="673">
        <v>107</v>
      </c>
      <c r="Q41" s="673">
        <v>149</v>
      </c>
      <c r="R41" s="673">
        <v>160</v>
      </c>
      <c r="S41" s="673">
        <v>214</v>
      </c>
      <c r="T41" s="673">
        <v>303</v>
      </c>
      <c r="U41" s="673">
        <v>230</v>
      </c>
      <c r="V41" s="665">
        <v>193</v>
      </c>
      <c r="W41" s="665">
        <v>317</v>
      </c>
      <c r="X41" s="665">
        <v>310</v>
      </c>
      <c r="Y41" s="665">
        <v>309</v>
      </c>
      <c r="Z41" s="665">
        <v>204</v>
      </c>
      <c r="AA41" s="665">
        <v>277</v>
      </c>
      <c r="AB41" s="665">
        <v>303</v>
      </c>
      <c r="AC41" s="665">
        <v>229</v>
      </c>
      <c r="AD41" s="665">
        <v>264</v>
      </c>
      <c r="AE41" s="665">
        <v>210</v>
      </c>
      <c r="AF41" s="665">
        <v>244</v>
      </c>
      <c r="AG41" s="665">
        <v>304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0.18461584614787338</v>
      </c>
      <c r="F42" s="680">
        <f t="shared" si="25"/>
        <v>348.72333333333336</v>
      </c>
      <c r="G42" s="680">
        <f t="shared" si="26"/>
        <v>334.16666666666669</v>
      </c>
      <c r="H42" s="679">
        <f t="shared" si="27"/>
        <v>346.33333333333331</v>
      </c>
      <c r="I42" s="679">
        <f t="shared" si="28"/>
        <v>383.33333333333331</v>
      </c>
      <c r="J42" s="679">
        <f t="shared" si="29"/>
        <v>327.60000000000002</v>
      </c>
      <c r="K42" s="673">
        <v>355</v>
      </c>
      <c r="L42" s="673">
        <v>392</v>
      </c>
      <c r="M42" s="673">
        <v>340</v>
      </c>
      <c r="N42" s="673">
        <v>324</v>
      </c>
      <c r="O42" s="673">
        <v>322</v>
      </c>
      <c r="P42" s="673">
        <v>272</v>
      </c>
      <c r="Q42" s="673">
        <v>317</v>
      </c>
      <c r="R42" s="673">
        <v>366</v>
      </c>
      <c r="S42" s="673">
        <v>273</v>
      </c>
      <c r="T42" s="673">
        <v>292</v>
      </c>
      <c r="U42" s="673">
        <v>443</v>
      </c>
      <c r="V42" s="665">
        <v>387</v>
      </c>
      <c r="W42" s="665">
        <v>365</v>
      </c>
      <c r="X42" s="665">
        <v>318</v>
      </c>
      <c r="Y42" s="665">
        <v>410</v>
      </c>
      <c r="Z42" s="665">
        <v>297</v>
      </c>
      <c r="AA42" s="665">
        <v>393</v>
      </c>
      <c r="AB42" s="665">
        <v>517</v>
      </c>
      <c r="AC42" s="665">
        <v>330</v>
      </c>
      <c r="AD42" s="665">
        <v>368</v>
      </c>
      <c r="AE42" s="665">
        <v>329</v>
      </c>
      <c r="AF42" s="665">
        <v>320</v>
      </c>
      <c r="AG42" s="665">
        <v>291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0.12235782831045715</v>
      </c>
      <c r="F43" s="680">
        <f t="shared" si="25"/>
        <v>231.12333333333333</v>
      </c>
      <c r="G43" s="680">
        <f t="shared" si="26"/>
        <v>276.33333333333331</v>
      </c>
      <c r="H43" s="679">
        <f t="shared" si="27"/>
        <v>308.5</v>
      </c>
      <c r="I43" s="679">
        <f t="shared" si="28"/>
        <v>245.16666666666666</v>
      </c>
      <c r="J43" s="679">
        <f t="shared" si="29"/>
        <v>170.6</v>
      </c>
      <c r="K43" s="673">
        <v>303</v>
      </c>
      <c r="L43" s="673">
        <v>260</v>
      </c>
      <c r="M43" s="673">
        <v>301</v>
      </c>
      <c r="N43" s="673">
        <v>276</v>
      </c>
      <c r="O43" s="673">
        <v>279</v>
      </c>
      <c r="P43" s="673">
        <v>239</v>
      </c>
      <c r="Q43" s="673">
        <v>338</v>
      </c>
      <c r="R43" s="673">
        <v>369</v>
      </c>
      <c r="S43" s="673">
        <v>232</v>
      </c>
      <c r="T43" s="673">
        <v>307</v>
      </c>
      <c r="U43" s="673">
        <v>297</v>
      </c>
      <c r="V43" s="665">
        <v>308</v>
      </c>
      <c r="W43" s="665">
        <v>273</v>
      </c>
      <c r="X43" s="665">
        <v>271</v>
      </c>
      <c r="Y43" s="665">
        <v>263</v>
      </c>
      <c r="Z43" s="665">
        <v>188</v>
      </c>
      <c r="AA43" s="665">
        <v>243</v>
      </c>
      <c r="AB43" s="665">
        <v>233</v>
      </c>
      <c r="AC43" s="665">
        <v>193</v>
      </c>
      <c r="AD43" s="665">
        <v>177</v>
      </c>
      <c r="AE43" s="665">
        <v>129</v>
      </c>
      <c r="AF43" s="665">
        <v>202</v>
      </c>
      <c r="AG43" s="665">
        <v>152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0.12027373763398355</v>
      </c>
      <c r="F44" s="680">
        <f t="shared" si="25"/>
        <v>227.18666666666667</v>
      </c>
      <c r="G44" s="680">
        <f t="shared" si="26"/>
        <v>270.83333333333331</v>
      </c>
      <c r="H44" s="679">
        <f t="shared" si="27"/>
        <v>285.66666666666669</v>
      </c>
      <c r="I44" s="679">
        <f t="shared" si="28"/>
        <v>242.16666666666666</v>
      </c>
      <c r="J44" s="679">
        <f t="shared" si="29"/>
        <v>175.8</v>
      </c>
      <c r="K44" s="673">
        <v>323</v>
      </c>
      <c r="L44" s="673">
        <v>324</v>
      </c>
      <c r="M44" s="673">
        <v>314</v>
      </c>
      <c r="N44" s="673">
        <v>230</v>
      </c>
      <c r="O44" s="673">
        <v>234</v>
      </c>
      <c r="P44" s="673">
        <v>200</v>
      </c>
      <c r="Q44" s="673">
        <v>202</v>
      </c>
      <c r="R44" s="673">
        <v>286</v>
      </c>
      <c r="S44" s="673">
        <v>281</v>
      </c>
      <c r="T44" s="673">
        <v>295</v>
      </c>
      <c r="U44" s="673">
        <v>346</v>
      </c>
      <c r="V44" s="665">
        <v>304</v>
      </c>
      <c r="W44" s="665">
        <v>227</v>
      </c>
      <c r="X44" s="665">
        <v>220</v>
      </c>
      <c r="Y44" s="665">
        <v>290</v>
      </c>
      <c r="Z44" s="665">
        <v>182</v>
      </c>
      <c r="AA44" s="665">
        <v>247</v>
      </c>
      <c r="AB44" s="665">
        <v>287</v>
      </c>
      <c r="AC44" s="665">
        <v>203</v>
      </c>
      <c r="AD44" s="665">
        <v>181</v>
      </c>
      <c r="AE44" s="665">
        <v>130</v>
      </c>
      <c r="AF44" s="665">
        <v>158</v>
      </c>
      <c r="AG44" s="665">
        <v>207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0.13220652438615502</v>
      </c>
      <c r="F45" s="680">
        <f t="shared" si="25"/>
        <v>249.72666666666669</v>
      </c>
      <c r="G45" s="680">
        <f t="shared" si="26"/>
        <v>186</v>
      </c>
      <c r="H45" s="679">
        <f t="shared" si="27"/>
        <v>222.33333333333334</v>
      </c>
      <c r="I45" s="679">
        <f t="shared" si="28"/>
        <v>325.66666666666669</v>
      </c>
      <c r="J45" s="679">
        <f t="shared" si="29"/>
        <v>222.4</v>
      </c>
      <c r="K45" s="673">
        <v>185</v>
      </c>
      <c r="L45" s="673">
        <v>193</v>
      </c>
      <c r="M45" s="673">
        <v>226</v>
      </c>
      <c r="N45" s="673">
        <v>175</v>
      </c>
      <c r="O45" s="673">
        <v>196</v>
      </c>
      <c r="P45" s="673">
        <v>141</v>
      </c>
      <c r="Q45" s="673">
        <v>214</v>
      </c>
      <c r="R45" s="673">
        <v>235</v>
      </c>
      <c r="S45" s="673">
        <v>141</v>
      </c>
      <c r="T45" s="673">
        <v>225</v>
      </c>
      <c r="U45" s="673">
        <v>236</v>
      </c>
      <c r="V45" s="665">
        <v>283</v>
      </c>
      <c r="W45" s="665">
        <v>238</v>
      </c>
      <c r="X45" s="665">
        <v>315</v>
      </c>
      <c r="Y45" s="665">
        <v>403</v>
      </c>
      <c r="Z45" s="665">
        <v>299</v>
      </c>
      <c r="AA45" s="665">
        <v>409</v>
      </c>
      <c r="AB45" s="665">
        <v>290</v>
      </c>
      <c r="AC45" s="665">
        <v>242</v>
      </c>
      <c r="AD45" s="665">
        <v>304</v>
      </c>
      <c r="AE45" s="665">
        <v>191</v>
      </c>
      <c r="AF45" s="665">
        <v>177</v>
      </c>
      <c r="AG45" s="665">
        <v>198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0.10758213717234247</v>
      </c>
      <c r="F46" s="680">
        <f t="shared" si="25"/>
        <v>203.21333333333334</v>
      </c>
      <c r="G46" s="680">
        <f t="shared" si="26"/>
        <v>227.5</v>
      </c>
      <c r="H46" s="679">
        <f t="shared" si="27"/>
        <v>214.16666666666666</v>
      </c>
      <c r="I46" s="679">
        <f t="shared" si="28"/>
        <v>250.5</v>
      </c>
      <c r="J46" s="679">
        <f t="shared" si="29"/>
        <v>156.19999999999999</v>
      </c>
      <c r="K46" s="673">
        <v>244</v>
      </c>
      <c r="L46" s="673">
        <v>245</v>
      </c>
      <c r="M46" s="673">
        <v>256</v>
      </c>
      <c r="N46" s="673">
        <v>185</v>
      </c>
      <c r="O46" s="673">
        <v>259</v>
      </c>
      <c r="P46" s="673">
        <v>176</v>
      </c>
      <c r="Q46" s="673">
        <v>153</v>
      </c>
      <c r="R46" s="673">
        <v>216</v>
      </c>
      <c r="S46" s="673">
        <v>211</v>
      </c>
      <c r="T46" s="673">
        <v>227</v>
      </c>
      <c r="U46" s="673">
        <v>249</v>
      </c>
      <c r="V46" s="665">
        <v>229</v>
      </c>
      <c r="W46" s="665">
        <v>218</v>
      </c>
      <c r="X46" s="665">
        <v>190</v>
      </c>
      <c r="Y46" s="665">
        <v>327</v>
      </c>
      <c r="Z46" s="665">
        <v>292</v>
      </c>
      <c r="AA46" s="665">
        <v>213</v>
      </c>
      <c r="AB46" s="665">
        <v>263</v>
      </c>
      <c r="AC46" s="665">
        <v>185</v>
      </c>
      <c r="AD46" s="665">
        <v>155</v>
      </c>
      <c r="AE46" s="665">
        <v>155</v>
      </c>
      <c r="AF46" s="665">
        <v>140</v>
      </c>
      <c r="AG46" s="665">
        <v>146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0.15967381598591077</v>
      </c>
      <c r="F47" s="680">
        <f t="shared" si="25"/>
        <v>301.61</v>
      </c>
      <c r="G47" s="680">
        <f t="shared" si="26"/>
        <v>355.5</v>
      </c>
      <c r="H47" s="679">
        <f t="shared" si="27"/>
        <v>320.5</v>
      </c>
      <c r="I47" s="679">
        <f t="shared" si="28"/>
        <v>363.33333333333331</v>
      </c>
      <c r="J47" s="679">
        <f t="shared" si="29"/>
        <v>232.4</v>
      </c>
      <c r="K47" s="673">
        <v>401</v>
      </c>
      <c r="L47" s="673">
        <v>338</v>
      </c>
      <c r="M47" s="673">
        <v>378</v>
      </c>
      <c r="N47" s="673">
        <v>354</v>
      </c>
      <c r="O47" s="673">
        <v>382</v>
      </c>
      <c r="P47" s="673">
        <v>280</v>
      </c>
      <c r="Q47" s="673">
        <v>328</v>
      </c>
      <c r="R47" s="673">
        <v>365</v>
      </c>
      <c r="S47" s="673">
        <v>238</v>
      </c>
      <c r="T47" s="673">
        <v>321</v>
      </c>
      <c r="U47" s="673">
        <v>321</v>
      </c>
      <c r="V47" s="665">
        <v>350</v>
      </c>
      <c r="W47" s="665">
        <v>334</v>
      </c>
      <c r="X47" s="665">
        <v>247</v>
      </c>
      <c r="Y47" s="665">
        <v>356</v>
      </c>
      <c r="Z47" s="665">
        <v>455</v>
      </c>
      <c r="AA47" s="665">
        <v>420</v>
      </c>
      <c r="AB47" s="665">
        <v>368</v>
      </c>
      <c r="AC47" s="665">
        <v>220</v>
      </c>
      <c r="AD47" s="665">
        <v>245</v>
      </c>
      <c r="AE47" s="665">
        <v>218</v>
      </c>
      <c r="AF47" s="665">
        <v>246</v>
      </c>
      <c r="AG47" s="665">
        <v>233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9.379819790567416E-2</v>
      </c>
      <c r="F48" s="680">
        <f t="shared" si="25"/>
        <v>177.17666666666668</v>
      </c>
      <c r="G48" s="680">
        <f t="shared" si="26"/>
        <v>197.83333333333334</v>
      </c>
      <c r="H48" s="679">
        <f t="shared" si="27"/>
        <v>185.66666666666666</v>
      </c>
      <c r="I48" s="679">
        <f t="shared" si="28"/>
        <v>216.33333333333334</v>
      </c>
      <c r="J48" s="679">
        <f t="shared" si="29"/>
        <v>138.4</v>
      </c>
      <c r="K48" s="673">
        <v>231</v>
      </c>
      <c r="L48" s="673">
        <v>216</v>
      </c>
      <c r="M48" s="673">
        <v>219</v>
      </c>
      <c r="N48" s="673">
        <v>161</v>
      </c>
      <c r="O48" s="673">
        <v>208</v>
      </c>
      <c r="P48" s="673">
        <v>152</v>
      </c>
      <c r="Q48" s="673">
        <v>182</v>
      </c>
      <c r="R48" s="673">
        <v>206</v>
      </c>
      <c r="S48" s="673">
        <v>135</v>
      </c>
      <c r="T48" s="673">
        <v>189</v>
      </c>
      <c r="U48" s="673">
        <v>187</v>
      </c>
      <c r="V48" s="665">
        <v>215</v>
      </c>
      <c r="W48" s="665">
        <v>200</v>
      </c>
      <c r="X48" s="665">
        <v>178</v>
      </c>
      <c r="Y48" s="665">
        <v>235</v>
      </c>
      <c r="Z48" s="665">
        <v>199</v>
      </c>
      <c r="AA48" s="665">
        <v>249</v>
      </c>
      <c r="AB48" s="665">
        <v>237</v>
      </c>
      <c r="AC48" s="665">
        <v>138</v>
      </c>
      <c r="AD48" s="665">
        <v>178</v>
      </c>
      <c r="AE48" s="665">
        <v>109</v>
      </c>
      <c r="AF48" s="665">
        <v>150</v>
      </c>
      <c r="AG48" s="665">
        <v>117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7.9491912457603495E-2</v>
      </c>
      <c r="F49" s="680">
        <f t="shared" si="25"/>
        <v>150.15333333333334</v>
      </c>
      <c r="G49" s="680">
        <f t="shared" si="26"/>
        <v>132.33333333333334</v>
      </c>
      <c r="H49" s="679">
        <f t="shared" si="27"/>
        <v>137</v>
      </c>
      <c r="I49" s="679">
        <f t="shared" si="28"/>
        <v>192</v>
      </c>
      <c r="J49" s="679">
        <f t="shared" si="29"/>
        <v>129.80000000000001</v>
      </c>
      <c r="K49" s="673">
        <v>151</v>
      </c>
      <c r="L49" s="673">
        <v>155</v>
      </c>
      <c r="M49" s="673">
        <v>119</v>
      </c>
      <c r="N49" s="673">
        <v>149</v>
      </c>
      <c r="O49" s="673">
        <v>111</v>
      </c>
      <c r="P49" s="673">
        <v>109</v>
      </c>
      <c r="Q49" s="673">
        <v>135</v>
      </c>
      <c r="R49" s="673">
        <v>172</v>
      </c>
      <c r="S49" s="673">
        <v>102</v>
      </c>
      <c r="T49" s="673">
        <v>151</v>
      </c>
      <c r="U49" s="673">
        <v>139</v>
      </c>
      <c r="V49" s="665">
        <v>123</v>
      </c>
      <c r="W49" s="665">
        <v>183</v>
      </c>
      <c r="X49" s="665">
        <v>172</v>
      </c>
      <c r="Y49" s="665">
        <v>172</v>
      </c>
      <c r="Z49" s="665">
        <v>137</v>
      </c>
      <c r="AA49" s="665">
        <v>265</v>
      </c>
      <c r="AB49" s="665">
        <v>223</v>
      </c>
      <c r="AC49" s="665">
        <v>106</v>
      </c>
      <c r="AD49" s="665">
        <v>151</v>
      </c>
      <c r="AE49" s="665">
        <v>132</v>
      </c>
      <c r="AF49" s="665">
        <v>130</v>
      </c>
      <c r="AG49" s="665">
        <v>130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6.6934880175557931E-2</v>
      </c>
      <c r="F50" s="680">
        <f t="shared" si="25"/>
        <v>130.54666666666668</v>
      </c>
      <c r="G50" s="680">
        <f t="shared" si="26"/>
        <v>145.5</v>
      </c>
      <c r="H50" s="679">
        <f t="shared" si="27"/>
        <v>135.33333333333334</v>
      </c>
      <c r="I50" s="679">
        <f t="shared" si="28"/>
        <v>134.83333333333334</v>
      </c>
      <c r="J50" s="679">
        <f t="shared" si="29"/>
        <v>121.2</v>
      </c>
      <c r="K50" s="673">
        <v>200</v>
      </c>
      <c r="L50" s="673">
        <v>122</v>
      </c>
      <c r="M50" s="673">
        <v>160</v>
      </c>
      <c r="N50" s="673">
        <v>141</v>
      </c>
      <c r="O50" s="673">
        <v>135</v>
      </c>
      <c r="P50" s="673">
        <v>115</v>
      </c>
      <c r="Q50" s="673">
        <v>150</v>
      </c>
      <c r="R50" s="673">
        <v>129</v>
      </c>
      <c r="S50" s="673">
        <v>104</v>
      </c>
      <c r="T50" s="673">
        <v>136</v>
      </c>
      <c r="U50" s="673">
        <v>175</v>
      </c>
      <c r="V50" s="665">
        <v>118</v>
      </c>
      <c r="W50" s="665">
        <v>109</v>
      </c>
      <c r="X50" s="665">
        <v>122</v>
      </c>
      <c r="Y50" s="665">
        <v>144</v>
      </c>
      <c r="Z50" s="665">
        <v>119</v>
      </c>
      <c r="AA50" s="665">
        <v>180</v>
      </c>
      <c r="AB50" s="665">
        <v>135</v>
      </c>
      <c r="AC50" s="665">
        <v>102</v>
      </c>
      <c r="AD50" s="665">
        <v>131</v>
      </c>
      <c r="AE50" s="665">
        <v>123</v>
      </c>
      <c r="AF50" s="665">
        <v>129</v>
      </c>
      <c r="AG50" s="665">
        <v>121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0.12269229848950447</v>
      </c>
      <c r="F51" s="680">
        <f t="shared" si="25"/>
        <v>239.29333333333335</v>
      </c>
      <c r="G51" s="680">
        <f t="shared" si="26"/>
        <v>155.16666666666666</v>
      </c>
      <c r="H51" s="679">
        <f t="shared" si="27"/>
        <v>178.83333333333334</v>
      </c>
      <c r="I51" s="679">
        <f t="shared" si="28"/>
        <v>320.83333333333331</v>
      </c>
      <c r="J51" s="679">
        <f t="shared" si="29"/>
        <v>229.4</v>
      </c>
      <c r="K51" s="673">
        <v>201</v>
      </c>
      <c r="L51" s="673">
        <v>140</v>
      </c>
      <c r="M51" s="673">
        <v>139</v>
      </c>
      <c r="N51" s="673">
        <v>186</v>
      </c>
      <c r="O51" s="673">
        <v>149</v>
      </c>
      <c r="P51" s="673">
        <v>116</v>
      </c>
      <c r="Q51" s="673">
        <v>174</v>
      </c>
      <c r="R51" s="673">
        <v>164</v>
      </c>
      <c r="S51" s="673">
        <v>157</v>
      </c>
      <c r="T51" s="673">
        <v>199</v>
      </c>
      <c r="U51" s="673">
        <v>210</v>
      </c>
      <c r="V51" s="665">
        <v>169</v>
      </c>
      <c r="W51" s="665">
        <v>224</v>
      </c>
      <c r="X51" s="665">
        <v>257</v>
      </c>
      <c r="Y51" s="665">
        <v>420</v>
      </c>
      <c r="Z51" s="665">
        <v>327</v>
      </c>
      <c r="AA51" s="665">
        <v>386</v>
      </c>
      <c r="AB51" s="665">
        <v>311</v>
      </c>
      <c r="AC51" s="665">
        <v>235</v>
      </c>
      <c r="AD51" s="665">
        <v>208</v>
      </c>
      <c r="AE51" s="665">
        <v>176</v>
      </c>
      <c r="AF51" s="665">
        <v>230</v>
      </c>
      <c r="AG51" s="665">
        <v>298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0.11919207801663288</v>
      </c>
      <c r="F52" s="680">
        <f t="shared" si="25"/>
        <v>232.46666666666667</v>
      </c>
      <c r="G52" s="680">
        <f t="shared" si="26"/>
        <v>180.16666666666666</v>
      </c>
      <c r="H52" s="679">
        <f t="shared" si="27"/>
        <v>189.5</v>
      </c>
      <c r="I52" s="679">
        <f t="shared" si="28"/>
        <v>255.16666666666666</v>
      </c>
      <c r="J52" s="679">
        <f t="shared" si="29"/>
        <v>250</v>
      </c>
      <c r="K52" s="673">
        <v>150</v>
      </c>
      <c r="L52" s="673">
        <v>178</v>
      </c>
      <c r="M52" s="673">
        <v>214</v>
      </c>
      <c r="N52" s="673">
        <v>166</v>
      </c>
      <c r="O52" s="673">
        <v>194</v>
      </c>
      <c r="P52" s="673">
        <v>179</v>
      </c>
      <c r="Q52" s="673">
        <v>217</v>
      </c>
      <c r="R52" s="673">
        <v>217</v>
      </c>
      <c r="S52" s="673">
        <v>136</v>
      </c>
      <c r="T52" s="673">
        <v>184</v>
      </c>
      <c r="U52" s="673">
        <v>185</v>
      </c>
      <c r="V52" s="665">
        <v>198</v>
      </c>
      <c r="W52" s="665">
        <v>138</v>
      </c>
      <c r="X52" s="665">
        <v>169</v>
      </c>
      <c r="Y52" s="665">
        <v>300</v>
      </c>
      <c r="Z52" s="665">
        <v>286</v>
      </c>
      <c r="AA52" s="665">
        <v>349</v>
      </c>
      <c r="AB52" s="665">
        <v>289</v>
      </c>
      <c r="AC52" s="665">
        <v>279</v>
      </c>
      <c r="AD52" s="665">
        <v>300</v>
      </c>
      <c r="AE52" s="665">
        <v>228</v>
      </c>
      <c r="AF52" s="665">
        <v>224</v>
      </c>
      <c r="AG52" s="665">
        <v>219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8.4138600527083968E-2</v>
      </c>
      <c r="F53" s="680">
        <f t="shared" si="25"/>
        <v>164.1</v>
      </c>
      <c r="G53" s="680">
        <f t="shared" si="26"/>
        <v>189.16666666666666</v>
      </c>
      <c r="H53" s="679">
        <f t="shared" si="27"/>
        <v>167.16666666666666</v>
      </c>
      <c r="I53" s="679">
        <f t="shared" si="28"/>
        <v>172.5</v>
      </c>
      <c r="J53" s="679">
        <f t="shared" si="29"/>
        <v>150</v>
      </c>
      <c r="K53" s="673">
        <v>269</v>
      </c>
      <c r="L53" s="673">
        <v>189</v>
      </c>
      <c r="M53" s="673">
        <v>244</v>
      </c>
      <c r="N53" s="673">
        <v>192</v>
      </c>
      <c r="O53" s="673">
        <v>129</v>
      </c>
      <c r="P53" s="673">
        <v>112</v>
      </c>
      <c r="Q53" s="673">
        <v>161</v>
      </c>
      <c r="R53" s="673">
        <v>161</v>
      </c>
      <c r="S53" s="673">
        <v>95</v>
      </c>
      <c r="T53" s="673">
        <v>120</v>
      </c>
      <c r="U53" s="673">
        <v>318</v>
      </c>
      <c r="V53" s="665">
        <v>148</v>
      </c>
      <c r="W53" s="665">
        <v>119</v>
      </c>
      <c r="X53" s="665">
        <v>171</v>
      </c>
      <c r="Y53" s="665">
        <v>170</v>
      </c>
      <c r="Z53" s="665">
        <v>161</v>
      </c>
      <c r="AA53" s="665">
        <v>153</v>
      </c>
      <c r="AB53" s="665">
        <v>261</v>
      </c>
      <c r="AC53" s="665">
        <v>179</v>
      </c>
      <c r="AD53" s="665">
        <v>184</v>
      </c>
      <c r="AE53" s="665">
        <v>98</v>
      </c>
      <c r="AF53" s="665">
        <v>145</v>
      </c>
      <c r="AG53" s="665">
        <v>144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9.6464572231356349E-2</v>
      </c>
      <c r="F54" s="680">
        <f t="shared" si="25"/>
        <v>188.14</v>
      </c>
      <c r="G54" s="680">
        <f t="shared" si="26"/>
        <v>245.66666666666666</v>
      </c>
      <c r="H54" s="679">
        <f t="shared" si="27"/>
        <v>225.16666666666666</v>
      </c>
      <c r="I54" s="679">
        <f t="shared" si="28"/>
        <v>181</v>
      </c>
      <c r="J54" s="679">
        <f t="shared" si="29"/>
        <v>160.6</v>
      </c>
      <c r="K54" s="673">
        <v>252</v>
      </c>
      <c r="L54" s="673">
        <v>228</v>
      </c>
      <c r="M54" s="673">
        <v>281</v>
      </c>
      <c r="N54" s="673">
        <v>245</v>
      </c>
      <c r="O54" s="673">
        <v>283</v>
      </c>
      <c r="P54" s="673">
        <v>185</v>
      </c>
      <c r="Q54" s="673">
        <v>270</v>
      </c>
      <c r="R54" s="673">
        <v>216</v>
      </c>
      <c r="S54" s="673">
        <v>126</v>
      </c>
      <c r="T54" s="673">
        <v>209</v>
      </c>
      <c r="U54" s="673">
        <v>277</v>
      </c>
      <c r="V54" s="665">
        <v>253</v>
      </c>
      <c r="W54" s="665">
        <v>232</v>
      </c>
      <c r="X54" s="665">
        <v>134</v>
      </c>
      <c r="Y54" s="665">
        <v>172</v>
      </c>
      <c r="Z54" s="665">
        <v>185</v>
      </c>
      <c r="AA54" s="665">
        <v>232</v>
      </c>
      <c r="AB54" s="665">
        <v>131</v>
      </c>
      <c r="AC54" s="665">
        <v>166</v>
      </c>
      <c r="AD54" s="665">
        <v>214</v>
      </c>
      <c r="AE54" s="665">
        <v>132</v>
      </c>
      <c r="AF54" s="665">
        <v>110</v>
      </c>
      <c r="AG54" s="665">
        <v>181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0.10023312015258773</v>
      </c>
      <c r="F55" s="680">
        <f t="shared" si="25"/>
        <v>195.49</v>
      </c>
      <c r="G55" s="680">
        <f t="shared" si="26"/>
        <v>245.66666666666666</v>
      </c>
      <c r="H55" s="679">
        <f t="shared" si="27"/>
        <v>219.16666666666666</v>
      </c>
      <c r="I55" s="679">
        <f t="shared" si="28"/>
        <v>200.16666666666666</v>
      </c>
      <c r="J55" s="679">
        <f t="shared" si="29"/>
        <v>167.6</v>
      </c>
      <c r="K55" s="673">
        <v>290</v>
      </c>
      <c r="L55" s="673">
        <v>237</v>
      </c>
      <c r="M55" s="673">
        <v>295</v>
      </c>
      <c r="N55" s="673">
        <v>247</v>
      </c>
      <c r="O55" s="673">
        <v>202</v>
      </c>
      <c r="P55" s="673">
        <v>203</v>
      </c>
      <c r="Q55" s="673">
        <v>285</v>
      </c>
      <c r="R55" s="673">
        <v>230</v>
      </c>
      <c r="S55" s="673">
        <v>151</v>
      </c>
      <c r="T55" s="673">
        <v>224</v>
      </c>
      <c r="U55" s="673">
        <v>224</v>
      </c>
      <c r="V55" s="665">
        <v>201</v>
      </c>
      <c r="W55" s="665">
        <v>206</v>
      </c>
      <c r="X55" s="665">
        <v>211</v>
      </c>
      <c r="Y55" s="665">
        <v>188</v>
      </c>
      <c r="Z55" s="665">
        <v>190</v>
      </c>
      <c r="AA55" s="665">
        <v>237</v>
      </c>
      <c r="AB55" s="665">
        <v>169</v>
      </c>
      <c r="AC55" s="665">
        <v>145</v>
      </c>
      <c r="AD55" s="665">
        <v>198</v>
      </c>
      <c r="AE55" s="665">
        <v>156</v>
      </c>
      <c r="AF55" s="665">
        <v>173</v>
      </c>
      <c r="AG55" s="665">
        <v>166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0.26175428042098353</v>
      </c>
      <c r="F56" s="680">
        <f t="shared" si="25"/>
        <v>510.51333333333332</v>
      </c>
      <c r="G56" s="680">
        <f t="shared" si="26"/>
        <v>260.83333333333331</v>
      </c>
      <c r="H56" s="679">
        <f t="shared" si="27"/>
        <v>558.5</v>
      </c>
      <c r="I56" s="679">
        <f t="shared" si="28"/>
        <v>710.16666666666663</v>
      </c>
      <c r="J56" s="679">
        <f t="shared" si="29"/>
        <v>399.2</v>
      </c>
      <c r="K56" s="673">
        <v>282</v>
      </c>
      <c r="L56" s="673">
        <v>203</v>
      </c>
      <c r="M56" s="673">
        <v>302</v>
      </c>
      <c r="N56" s="673">
        <v>238</v>
      </c>
      <c r="O56" s="673">
        <v>255</v>
      </c>
      <c r="P56" s="673">
        <v>285</v>
      </c>
      <c r="Q56" s="673">
        <v>303</v>
      </c>
      <c r="R56" s="673">
        <v>221</v>
      </c>
      <c r="S56" s="673">
        <v>509</v>
      </c>
      <c r="T56" s="673">
        <v>849</v>
      </c>
      <c r="U56" s="673">
        <v>735</v>
      </c>
      <c r="V56" s="665">
        <v>734</v>
      </c>
      <c r="W56" s="665">
        <v>748</v>
      </c>
      <c r="X56" s="665">
        <v>665</v>
      </c>
      <c r="Y56" s="665">
        <v>870</v>
      </c>
      <c r="Z56" s="665">
        <v>547</v>
      </c>
      <c r="AA56" s="665">
        <v>843</v>
      </c>
      <c r="AB56" s="665">
        <v>588</v>
      </c>
      <c r="AC56" s="665">
        <v>615</v>
      </c>
      <c r="AD56" s="665">
        <v>467</v>
      </c>
      <c r="AE56" s="665">
        <v>333</v>
      </c>
      <c r="AF56" s="665">
        <v>282</v>
      </c>
      <c r="AG56" s="665">
        <v>299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0.14859016998629307</v>
      </c>
      <c r="F57" s="680">
        <f t="shared" si="25"/>
        <v>289.80333333333334</v>
      </c>
      <c r="G57" s="680">
        <f t="shared" si="26"/>
        <v>199.33333333333334</v>
      </c>
      <c r="H57" s="679">
        <f t="shared" si="27"/>
        <v>278</v>
      </c>
      <c r="I57" s="679">
        <f t="shared" si="28"/>
        <v>333.16666666666669</v>
      </c>
      <c r="J57" s="679">
        <f t="shared" si="29"/>
        <v>285.8</v>
      </c>
      <c r="K57" s="673">
        <v>261</v>
      </c>
      <c r="L57" s="673">
        <v>179</v>
      </c>
      <c r="M57" s="673">
        <v>226</v>
      </c>
      <c r="N57" s="673">
        <v>189</v>
      </c>
      <c r="O57" s="673">
        <v>178</v>
      </c>
      <c r="P57" s="673">
        <v>163</v>
      </c>
      <c r="Q57" s="673">
        <v>229</v>
      </c>
      <c r="R57" s="673">
        <v>296</v>
      </c>
      <c r="S57" s="673">
        <v>203</v>
      </c>
      <c r="T57" s="673">
        <v>331</v>
      </c>
      <c r="U57" s="673">
        <v>288</v>
      </c>
      <c r="V57" s="665">
        <v>321</v>
      </c>
      <c r="W57" s="665">
        <v>239</v>
      </c>
      <c r="X57" s="665">
        <v>304</v>
      </c>
      <c r="Y57" s="665">
        <v>388</v>
      </c>
      <c r="Z57" s="665">
        <v>301</v>
      </c>
      <c r="AA57" s="665">
        <v>385</v>
      </c>
      <c r="AB57" s="665">
        <v>382</v>
      </c>
      <c r="AC57" s="665">
        <v>255</v>
      </c>
      <c r="AD57" s="665">
        <v>357</v>
      </c>
      <c r="AE57" s="665">
        <v>239</v>
      </c>
      <c r="AF57" s="665">
        <v>305</v>
      </c>
      <c r="AG57" s="665">
        <v>273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0.129139874121044</v>
      </c>
      <c r="F58" s="680">
        <f t="shared" si="25"/>
        <v>183.22666666666669</v>
      </c>
      <c r="G58" s="680">
        <f t="shared" si="26"/>
        <v>153.5</v>
      </c>
      <c r="H58" s="679">
        <f t="shared" si="27"/>
        <v>237.83333333333334</v>
      </c>
      <c r="I58" s="679">
        <f t="shared" si="28"/>
        <v>188.5</v>
      </c>
      <c r="J58" s="679">
        <f t="shared" si="29"/>
        <v>159.4</v>
      </c>
      <c r="K58" s="673">
        <v>149</v>
      </c>
      <c r="L58" s="673">
        <v>163</v>
      </c>
      <c r="M58" s="673">
        <v>127</v>
      </c>
      <c r="N58" s="673">
        <v>117</v>
      </c>
      <c r="O58" s="673">
        <v>194</v>
      </c>
      <c r="P58" s="673">
        <v>171</v>
      </c>
      <c r="Q58" s="673">
        <v>189</v>
      </c>
      <c r="R58" s="673">
        <v>213</v>
      </c>
      <c r="S58" s="673">
        <v>219</v>
      </c>
      <c r="T58" s="673">
        <v>255</v>
      </c>
      <c r="U58" s="673">
        <v>284</v>
      </c>
      <c r="V58" s="665">
        <v>267</v>
      </c>
      <c r="W58" s="665">
        <v>243</v>
      </c>
      <c r="X58" s="665">
        <v>263</v>
      </c>
      <c r="Y58" s="665">
        <v>149</v>
      </c>
      <c r="Z58" s="665">
        <v>132</v>
      </c>
      <c r="AA58" s="665">
        <v>167</v>
      </c>
      <c r="AB58" s="665">
        <v>177</v>
      </c>
      <c r="AC58" s="665">
        <v>130</v>
      </c>
      <c r="AD58" s="665">
        <v>159</v>
      </c>
      <c r="AE58" s="665">
        <v>161</v>
      </c>
      <c r="AF58" s="665">
        <v>154</v>
      </c>
      <c r="AG58" s="665">
        <v>193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0.14215065535525917</v>
      </c>
      <c r="F59" s="680">
        <f t="shared" si="25"/>
        <v>201.68666666666667</v>
      </c>
      <c r="G59" s="680">
        <f t="shared" si="26"/>
        <v>143</v>
      </c>
      <c r="H59" s="679">
        <f t="shared" si="27"/>
        <v>242.33333333333334</v>
      </c>
      <c r="I59" s="679">
        <f t="shared" si="28"/>
        <v>219.33333333333334</v>
      </c>
      <c r="J59" s="679">
        <f t="shared" si="29"/>
        <v>182.8</v>
      </c>
      <c r="K59" s="673">
        <v>154</v>
      </c>
      <c r="L59" s="673">
        <v>129</v>
      </c>
      <c r="M59" s="673">
        <v>98</v>
      </c>
      <c r="N59" s="673">
        <v>135</v>
      </c>
      <c r="O59" s="673">
        <v>171</v>
      </c>
      <c r="P59" s="673">
        <v>171</v>
      </c>
      <c r="Q59" s="673">
        <v>207</v>
      </c>
      <c r="R59" s="673">
        <v>213</v>
      </c>
      <c r="S59" s="673">
        <v>219</v>
      </c>
      <c r="T59" s="673">
        <v>236</v>
      </c>
      <c r="U59" s="673">
        <v>299</v>
      </c>
      <c r="V59" s="665">
        <v>280</v>
      </c>
      <c r="W59" s="665">
        <v>218</v>
      </c>
      <c r="X59" s="665">
        <v>259</v>
      </c>
      <c r="Y59" s="665">
        <v>168</v>
      </c>
      <c r="Z59" s="665">
        <v>214</v>
      </c>
      <c r="AA59" s="665">
        <v>227</v>
      </c>
      <c r="AB59" s="665">
        <v>230</v>
      </c>
      <c r="AC59" s="665">
        <v>140</v>
      </c>
      <c r="AD59" s="665">
        <v>216</v>
      </c>
      <c r="AE59" s="665">
        <v>161</v>
      </c>
      <c r="AF59" s="665">
        <v>213</v>
      </c>
      <c r="AG59" s="665">
        <v>184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9.9918477047882398E-2</v>
      </c>
      <c r="F60" s="680">
        <f t="shared" si="25"/>
        <v>141.76666666666665</v>
      </c>
      <c r="G60" s="680">
        <f t="shared" si="26"/>
        <v>125.33333333333333</v>
      </c>
      <c r="H60" s="679">
        <f t="shared" si="27"/>
        <v>173.66666666666666</v>
      </c>
      <c r="I60" s="679">
        <f t="shared" si="28"/>
        <v>149.66666666666666</v>
      </c>
      <c r="J60" s="679">
        <f t="shared" si="29"/>
        <v>124</v>
      </c>
      <c r="K60" s="673">
        <v>110</v>
      </c>
      <c r="L60" s="673">
        <v>98</v>
      </c>
      <c r="M60" s="673">
        <v>87</v>
      </c>
      <c r="N60" s="673">
        <v>152</v>
      </c>
      <c r="O60" s="673">
        <v>170</v>
      </c>
      <c r="P60" s="673">
        <v>135</v>
      </c>
      <c r="Q60" s="673">
        <v>171</v>
      </c>
      <c r="R60" s="673">
        <v>183</v>
      </c>
      <c r="S60" s="673">
        <v>117</v>
      </c>
      <c r="T60" s="673">
        <v>155</v>
      </c>
      <c r="U60" s="673">
        <v>195</v>
      </c>
      <c r="V60" s="665">
        <v>221</v>
      </c>
      <c r="W60" s="665">
        <v>171</v>
      </c>
      <c r="X60" s="665">
        <v>194</v>
      </c>
      <c r="Y60" s="665">
        <v>100</v>
      </c>
      <c r="Z60" s="665">
        <v>108</v>
      </c>
      <c r="AA60" s="665">
        <v>146</v>
      </c>
      <c r="AB60" s="665">
        <v>179</v>
      </c>
      <c r="AC60" s="665">
        <v>66</v>
      </c>
      <c r="AD60" s="665">
        <v>90</v>
      </c>
      <c r="AE60" s="665">
        <v>122</v>
      </c>
      <c r="AF60" s="665">
        <v>170</v>
      </c>
      <c r="AG60" s="665">
        <v>172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0.13081732045568278</v>
      </c>
      <c r="F61" s="680">
        <f t="shared" si="25"/>
        <v>185.60666666666668</v>
      </c>
      <c r="G61" s="680">
        <f t="shared" si="26"/>
        <v>153.66666666666666</v>
      </c>
      <c r="H61" s="679">
        <f t="shared" si="27"/>
        <v>231.5</v>
      </c>
      <c r="I61" s="679">
        <f t="shared" si="28"/>
        <v>219</v>
      </c>
      <c r="J61" s="679">
        <f t="shared" si="29"/>
        <v>145.6</v>
      </c>
      <c r="K61" s="673">
        <v>166</v>
      </c>
      <c r="L61" s="673">
        <v>107</v>
      </c>
      <c r="M61" s="673">
        <v>144</v>
      </c>
      <c r="N61" s="673">
        <v>143</v>
      </c>
      <c r="O61" s="673">
        <v>202</v>
      </c>
      <c r="P61" s="673">
        <v>160</v>
      </c>
      <c r="Q61" s="673">
        <v>220</v>
      </c>
      <c r="R61" s="673">
        <v>217</v>
      </c>
      <c r="S61" s="673">
        <v>204</v>
      </c>
      <c r="T61" s="673">
        <v>275</v>
      </c>
      <c r="U61" s="673">
        <v>203</v>
      </c>
      <c r="V61" s="665">
        <v>270</v>
      </c>
      <c r="W61" s="665">
        <v>290</v>
      </c>
      <c r="X61" s="665">
        <v>262</v>
      </c>
      <c r="Y61" s="665">
        <v>205</v>
      </c>
      <c r="Z61" s="665">
        <v>183</v>
      </c>
      <c r="AA61" s="665">
        <v>211</v>
      </c>
      <c r="AB61" s="665">
        <v>163</v>
      </c>
      <c r="AC61" s="665">
        <v>119</v>
      </c>
      <c r="AD61" s="665">
        <v>140</v>
      </c>
      <c r="AE61" s="665">
        <v>125</v>
      </c>
      <c r="AF61" s="665">
        <v>147</v>
      </c>
      <c r="AG61" s="665">
        <v>197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0.14886513942304302</v>
      </c>
      <c r="F62" s="680">
        <f t="shared" si="25"/>
        <v>211.21333333333331</v>
      </c>
      <c r="G62" s="680">
        <f t="shared" si="26"/>
        <v>208.33333333333334</v>
      </c>
      <c r="H62" s="679">
        <f t="shared" si="27"/>
        <v>281</v>
      </c>
      <c r="I62" s="679">
        <f t="shared" si="28"/>
        <v>204.33333333333334</v>
      </c>
      <c r="J62" s="679">
        <f t="shared" si="29"/>
        <v>182.2</v>
      </c>
      <c r="K62" s="673">
        <v>223</v>
      </c>
      <c r="L62" s="673">
        <v>197</v>
      </c>
      <c r="M62" s="673">
        <v>178</v>
      </c>
      <c r="N62" s="673">
        <v>166</v>
      </c>
      <c r="O62" s="673">
        <v>288</v>
      </c>
      <c r="P62" s="673">
        <v>198</v>
      </c>
      <c r="Q62" s="673">
        <v>281</v>
      </c>
      <c r="R62" s="673">
        <v>240</v>
      </c>
      <c r="S62" s="673">
        <v>213</v>
      </c>
      <c r="T62" s="673">
        <v>304</v>
      </c>
      <c r="U62" s="673">
        <v>316</v>
      </c>
      <c r="V62" s="665">
        <v>332</v>
      </c>
      <c r="W62" s="665">
        <v>286</v>
      </c>
      <c r="X62" s="665">
        <v>235</v>
      </c>
      <c r="Y62" s="665">
        <v>169</v>
      </c>
      <c r="Z62" s="665">
        <v>152</v>
      </c>
      <c r="AA62" s="665">
        <v>221</v>
      </c>
      <c r="AB62" s="665">
        <v>163</v>
      </c>
      <c r="AC62" s="665">
        <v>167</v>
      </c>
      <c r="AD62" s="665">
        <v>196</v>
      </c>
      <c r="AE62" s="665">
        <v>154</v>
      </c>
      <c r="AF62" s="665">
        <v>169</v>
      </c>
      <c r="AG62" s="665">
        <v>225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7.4430220346907189E-2</v>
      </c>
      <c r="F63" s="680">
        <f t="shared" si="25"/>
        <v>105.60333333333334</v>
      </c>
      <c r="G63" s="680">
        <f t="shared" si="26"/>
        <v>126.66666666666667</v>
      </c>
      <c r="H63" s="679">
        <f t="shared" si="27"/>
        <v>132.33333333333334</v>
      </c>
      <c r="I63" s="679">
        <f t="shared" si="28"/>
        <v>112.5</v>
      </c>
      <c r="J63" s="679">
        <f t="shared" si="29"/>
        <v>81.8</v>
      </c>
      <c r="K63" s="673">
        <v>139</v>
      </c>
      <c r="L63" s="673">
        <v>123</v>
      </c>
      <c r="M63" s="673">
        <v>114</v>
      </c>
      <c r="N63" s="673">
        <v>134</v>
      </c>
      <c r="O63" s="673">
        <v>145</v>
      </c>
      <c r="P63" s="673">
        <v>105</v>
      </c>
      <c r="Q63" s="673">
        <v>120</v>
      </c>
      <c r="R63" s="673">
        <v>152</v>
      </c>
      <c r="S63" s="673">
        <v>116</v>
      </c>
      <c r="T63" s="673">
        <v>136</v>
      </c>
      <c r="U63" s="673">
        <v>156</v>
      </c>
      <c r="V63" s="665">
        <v>114</v>
      </c>
      <c r="W63" s="665">
        <v>163</v>
      </c>
      <c r="X63" s="665">
        <v>135</v>
      </c>
      <c r="Y63" s="665">
        <v>109</v>
      </c>
      <c r="Z63" s="665">
        <v>95</v>
      </c>
      <c r="AA63" s="665">
        <v>95</v>
      </c>
      <c r="AB63" s="665">
        <v>78</v>
      </c>
      <c r="AC63" s="665">
        <v>59</v>
      </c>
      <c r="AD63" s="665">
        <v>88</v>
      </c>
      <c r="AE63" s="665">
        <v>93</v>
      </c>
      <c r="AF63" s="665">
        <v>76</v>
      </c>
      <c r="AG63" s="665">
        <v>93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8.4017977338028932E-2</v>
      </c>
      <c r="F64" s="680">
        <f t="shared" si="25"/>
        <v>119.20666666666666</v>
      </c>
      <c r="G64" s="680">
        <f t="shared" si="26"/>
        <v>106.33333333333333</v>
      </c>
      <c r="H64" s="679">
        <f t="shared" si="27"/>
        <v>184.16666666666666</v>
      </c>
      <c r="I64" s="679">
        <f t="shared" si="28"/>
        <v>123.66666666666667</v>
      </c>
      <c r="J64" s="679">
        <f t="shared" si="29"/>
        <v>86.6</v>
      </c>
      <c r="K64" s="673">
        <v>90</v>
      </c>
      <c r="L64" s="673">
        <v>91</v>
      </c>
      <c r="M64" s="673">
        <v>89</v>
      </c>
      <c r="N64" s="673">
        <v>109</v>
      </c>
      <c r="O64" s="673">
        <v>141</v>
      </c>
      <c r="P64" s="673">
        <v>118</v>
      </c>
      <c r="Q64" s="673">
        <v>123</v>
      </c>
      <c r="R64" s="673">
        <v>130</v>
      </c>
      <c r="S64" s="673">
        <v>111</v>
      </c>
      <c r="T64" s="673">
        <v>263</v>
      </c>
      <c r="U64" s="673">
        <v>237</v>
      </c>
      <c r="V64" s="665">
        <v>241</v>
      </c>
      <c r="W64" s="665">
        <v>168</v>
      </c>
      <c r="X64" s="665">
        <v>125</v>
      </c>
      <c r="Y64" s="665">
        <v>87</v>
      </c>
      <c r="Z64" s="665">
        <v>118</v>
      </c>
      <c r="AA64" s="665">
        <v>123</v>
      </c>
      <c r="AB64" s="665">
        <v>121</v>
      </c>
      <c r="AC64" s="665">
        <v>76</v>
      </c>
      <c r="AD64" s="665">
        <v>75</v>
      </c>
      <c r="AE64" s="665">
        <v>80</v>
      </c>
      <c r="AF64" s="665">
        <v>85</v>
      </c>
      <c r="AG64" s="665">
        <v>117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9.8661566979210483E-2</v>
      </c>
      <c r="F65" s="680">
        <f t="shared" si="25"/>
        <v>139.98333333333335</v>
      </c>
      <c r="G65" s="680">
        <f t="shared" si="26"/>
        <v>159.5</v>
      </c>
      <c r="H65" s="679">
        <f t="shared" si="27"/>
        <v>188.66666666666666</v>
      </c>
      <c r="I65" s="679">
        <f t="shared" si="28"/>
        <v>150.33333333333334</v>
      </c>
      <c r="J65" s="679">
        <f t="shared" si="29"/>
        <v>103</v>
      </c>
      <c r="K65" s="673">
        <v>193</v>
      </c>
      <c r="L65" s="673">
        <v>172</v>
      </c>
      <c r="M65" s="673">
        <v>114</v>
      </c>
      <c r="N65" s="673">
        <v>171</v>
      </c>
      <c r="O65" s="673">
        <v>171</v>
      </c>
      <c r="P65" s="673">
        <v>136</v>
      </c>
      <c r="Q65" s="673">
        <v>213</v>
      </c>
      <c r="R65" s="673">
        <v>190</v>
      </c>
      <c r="S65" s="673">
        <v>160</v>
      </c>
      <c r="T65" s="673">
        <v>192</v>
      </c>
      <c r="U65" s="673">
        <v>163</v>
      </c>
      <c r="V65" s="665">
        <v>214</v>
      </c>
      <c r="W65" s="665">
        <v>219</v>
      </c>
      <c r="X65" s="665">
        <v>164</v>
      </c>
      <c r="Y65" s="665">
        <v>149</v>
      </c>
      <c r="Z65" s="665">
        <v>115</v>
      </c>
      <c r="AA65" s="665">
        <v>147</v>
      </c>
      <c r="AB65" s="665">
        <v>108</v>
      </c>
      <c r="AC65" s="665">
        <v>85</v>
      </c>
      <c r="AD65" s="665">
        <v>95</v>
      </c>
      <c r="AE65" s="665">
        <v>88</v>
      </c>
      <c r="AF65" s="665">
        <v>114</v>
      </c>
      <c r="AG65" s="665">
        <v>133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9.1998768932942093E-2</v>
      </c>
      <c r="F66" s="680">
        <f t="shared" si="25"/>
        <v>130.53</v>
      </c>
      <c r="G66" s="680">
        <f t="shared" si="26"/>
        <v>138.33333333333334</v>
      </c>
      <c r="H66" s="679">
        <f t="shared" si="27"/>
        <v>136.83333333333334</v>
      </c>
      <c r="I66" s="679">
        <f t="shared" si="28"/>
        <v>114.83333333333333</v>
      </c>
      <c r="J66" s="679">
        <f t="shared" si="29"/>
        <v>137.19999999999999</v>
      </c>
      <c r="K66" s="673">
        <v>179</v>
      </c>
      <c r="L66" s="673">
        <v>135</v>
      </c>
      <c r="M66" s="673">
        <v>141</v>
      </c>
      <c r="N66" s="673">
        <v>109</v>
      </c>
      <c r="O66" s="673">
        <v>133</v>
      </c>
      <c r="P66" s="673">
        <v>133</v>
      </c>
      <c r="Q66" s="673">
        <v>110</v>
      </c>
      <c r="R66" s="673">
        <v>152</v>
      </c>
      <c r="S66" s="673">
        <v>107</v>
      </c>
      <c r="T66" s="673">
        <v>158</v>
      </c>
      <c r="U66" s="673">
        <v>149</v>
      </c>
      <c r="V66" s="665">
        <v>145</v>
      </c>
      <c r="W66" s="665">
        <v>136</v>
      </c>
      <c r="X66" s="665">
        <v>121</v>
      </c>
      <c r="Y66" s="665">
        <v>127</v>
      </c>
      <c r="Z66" s="665">
        <v>104</v>
      </c>
      <c r="AA66" s="665">
        <v>102</v>
      </c>
      <c r="AB66" s="665">
        <v>99</v>
      </c>
      <c r="AC66" s="665">
        <v>121</v>
      </c>
      <c r="AD66" s="665">
        <v>133</v>
      </c>
      <c r="AE66" s="665">
        <v>139</v>
      </c>
      <c r="AF66" s="665">
        <v>138</v>
      </c>
      <c r="AG66" s="665">
        <v>155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0.15079798365816816</v>
      </c>
      <c r="F67" s="680">
        <f t="shared" si="25"/>
        <v>220.9733333333333</v>
      </c>
      <c r="G67" s="680">
        <f t="shared" si="26"/>
        <v>258.66666666666669</v>
      </c>
      <c r="H67" s="679">
        <f t="shared" si="27"/>
        <v>244.83333333333334</v>
      </c>
      <c r="I67" s="679">
        <f t="shared" si="28"/>
        <v>278.33333333333331</v>
      </c>
      <c r="J67" s="679">
        <f t="shared" si="29"/>
        <v>156.6</v>
      </c>
      <c r="K67" s="673">
        <v>303</v>
      </c>
      <c r="L67" s="673">
        <v>299</v>
      </c>
      <c r="M67" s="673">
        <v>334</v>
      </c>
      <c r="N67" s="673">
        <v>231</v>
      </c>
      <c r="O67" s="673">
        <v>206</v>
      </c>
      <c r="P67" s="673">
        <v>179</v>
      </c>
      <c r="Q67" s="673">
        <v>283</v>
      </c>
      <c r="R67" s="673">
        <v>219</v>
      </c>
      <c r="S67" s="673">
        <v>185</v>
      </c>
      <c r="T67" s="673">
        <v>236</v>
      </c>
      <c r="U67" s="673">
        <v>280</v>
      </c>
      <c r="V67" s="665">
        <v>266</v>
      </c>
      <c r="W67" s="665">
        <v>290</v>
      </c>
      <c r="X67" s="665">
        <v>283</v>
      </c>
      <c r="Y67" s="665">
        <v>314</v>
      </c>
      <c r="Z67" s="665">
        <v>261</v>
      </c>
      <c r="AA67" s="665">
        <v>303</v>
      </c>
      <c r="AB67" s="665">
        <v>219</v>
      </c>
      <c r="AC67" s="665">
        <v>140</v>
      </c>
      <c r="AD67" s="665">
        <v>231</v>
      </c>
      <c r="AE67" s="665">
        <v>133</v>
      </c>
      <c r="AF67" s="665">
        <v>133</v>
      </c>
      <c r="AG67" s="665">
        <v>146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0.21424086913795926</v>
      </c>
      <c r="F68" s="680">
        <f t="shared" si="25"/>
        <v>313.94</v>
      </c>
      <c r="G68" s="680">
        <f t="shared" si="26"/>
        <v>429.5</v>
      </c>
      <c r="H68" s="679">
        <f t="shared" si="27"/>
        <v>370</v>
      </c>
      <c r="I68" s="679">
        <f t="shared" si="28"/>
        <v>318.5</v>
      </c>
      <c r="J68" s="679">
        <f t="shared" si="29"/>
        <v>253.6</v>
      </c>
      <c r="K68" s="673">
        <v>527</v>
      </c>
      <c r="L68" s="673">
        <v>473</v>
      </c>
      <c r="M68" s="673">
        <v>519</v>
      </c>
      <c r="N68" s="673">
        <v>429</v>
      </c>
      <c r="O68" s="673">
        <v>366</v>
      </c>
      <c r="P68" s="673">
        <v>263</v>
      </c>
      <c r="Q68" s="673">
        <v>365</v>
      </c>
      <c r="R68" s="673">
        <v>455</v>
      </c>
      <c r="S68" s="673">
        <v>320</v>
      </c>
      <c r="T68" s="673">
        <v>280</v>
      </c>
      <c r="U68" s="673">
        <v>317</v>
      </c>
      <c r="V68" s="665">
        <v>483</v>
      </c>
      <c r="W68" s="665">
        <v>471</v>
      </c>
      <c r="X68" s="665">
        <v>322</v>
      </c>
      <c r="Y68" s="665">
        <v>273</v>
      </c>
      <c r="Z68" s="665">
        <v>319</v>
      </c>
      <c r="AA68" s="665">
        <v>295</v>
      </c>
      <c r="AB68" s="665">
        <v>231</v>
      </c>
      <c r="AC68" s="665">
        <v>155</v>
      </c>
      <c r="AD68" s="665">
        <v>303</v>
      </c>
      <c r="AE68" s="665">
        <v>167</v>
      </c>
      <c r="AF68" s="665">
        <v>300</v>
      </c>
      <c r="AG68" s="665">
        <v>343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0.16895506906152752</v>
      </c>
      <c r="F69" s="680">
        <f t="shared" si="25"/>
        <v>247.57999999999998</v>
      </c>
      <c r="G69" s="680">
        <f t="shared" si="26"/>
        <v>243.16666666666666</v>
      </c>
      <c r="H69" s="679">
        <f t="shared" si="27"/>
        <v>224.16666666666666</v>
      </c>
      <c r="I69" s="679">
        <f t="shared" si="28"/>
        <v>274.5</v>
      </c>
      <c r="J69" s="679">
        <f t="shared" si="29"/>
        <v>240.2</v>
      </c>
      <c r="K69" s="673">
        <v>333</v>
      </c>
      <c r="L69" s="673">
        <v>291</v>
      </c>
      <c r="M69" s="673">
        <v>304</v>
      </c>
      <c r="N69" s="673">
        <v>217</v>
      </c>
      <c r="O69" s="673">
        <v>172</v>
      </c>
      <c r="P69" s="673">
        <v>142</v>
      </c>
      <c r="Q69" s="673">
        <v>222</v>
      </c>
      <c r="R69" s="673">
        <v>266</v>
      </c>
      <c r="S69" s="673">
        <v>208</v>
      </c>
      <c r="T69" s="673">
        <v>180</v>
      </c>
      <c r="U69" s="673">
        <v>213</v>
      </c>
      <c r="V69" s="665">
        <v>256</v>
      </c>
      <c r="W69" s="665">
        <v>275</v>
      </c>
      <c r="X69" s="665">
        <v>193</v>
      </c>
      <c r="Y69" s="665">
        <v>286</v>
      </c>
      <c r="Z69" s="665">
        <v>205</v>
      </c>
      <c r="AA69" s="665">
        <v>363</v>
      </c>
      <c r="AB69" s="665">
        <v>325</v>
      </c>
      <c r="AC69" s="665">
        <v>201</v>
      </c>
      <c r="AD69" s="665">
        <v>269</v>
      </c>
      <c r="AE69" s="665">
        <v>279</v>
      </c>
      <c r="AF69" s="665">
        <v>230</v>
      </c>
      <c r="AG69" s="665">
        <v>222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0.14325035031209621</v>
      </c>
      <c r="F70" s="680">
        <f t="shared" si="25"/>
        <v>209.9133333333333</v>
      </c>
      <c r="G70" s="680">
        <f t="shared" si="26"/>
        <v>279</v>
      </c>
      <c r="H70" s="679">
        <f t="shared" si="27"/>
        <v>195.66666666666666</v>
      </c>
      <c r="I70" s="679">
        <f t="shared" si="28"/>
        <v>262.66666666666669</v>
      </c>
      <c r="J70" s="679">
        <f t="shared" si="29"/>
        <v>160.19999999999999</v>
      </c>
      <c r="K70" s="673">
        <v>336</v>
      </c>
      <c r="L70" s="673">
        <v>312</v>
      </c>
      <c r="M70" s="673">
        <v>348</v>
      </c>
      <c r="N70" s="673">
        <v>265</v>
      </c>
      <c r="O70" s="673">
        <v>239</v>
      </c>
      <c r="P70" s="673">
        <v>174</v>
      </c>
      <c r="Q70" s="673">
        <v>210</v>
      </c>
      <c r="R70" s="673">
        <v>215</v>
      </c>
      <c r="S70" s="673">
        <v>137</v>
      </c>
      <c r="T70" s="673">
        <v>212</v>
      </c>
      <c r="U70" s="673">
        <v>183</v>
      </c>
      <c r="V70" s="665">
        <v>217</v>
      </c>
      <c r="W70" s="665">
        <v>256</v>
      </c>
      <c r="X70" s="665">
        <v>220</v>
      </c>
      <c r="Y70" s="665">
        <v>222</v>
      </c>
      <c r="Z70" s="665">
        <v>291</v>
      </c>
      <c r="AA70" s="665">
        <v>330</v>
      </c>
      <c r="AB70" s="665">
        <v>257</v>
      </c>
      <c r="AC70" s="665">
        <v>155</v>
      </c>
      <c r="AD70" s="665">
        <v>176</v>
      </c>
      <c r="AE70" s="665">
        <v>131</v>
      </c>
      <c r="AF70" s="665">
        <v>154</v>
      </c>
      <c r="AG70" s="665">
        <v>185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0.15712407417517421</v>
      </c>
      <c r="F71" s="680">
        <f t="shared" si="25"/>
        <v>230.24333333333331</v>
      </c>
      <c r="G71" s="680">
        <f t="shared" si="26"/>
        <v>223.33333333333334</v>
      </c>
      <c r="H71" s="679">
        <f t="shared" si="27"/>
        <v>258.5</v>
      </c>
      <c r="I71" s="679">
        <f t="shared" si="28"/>
        <v>290.83333333333331</v>
      </c>
      <c r="J71" s="679">
        <f t="shared" si="29"/>
        <v>172.4</v>
      </c>
      <c r="K71" s="673">
        <v>221</v>
      </c>
      <c r="L71" s="673">
        <v>246</v>
      </c>
      <c r="M71" s="673">
        <v>308</v>
      </c>
      <c r="N71" s="673">
        <v>192</v>
      </c>
      <c r="O71" s="673">
        <v>213</v>
      </c>
      <c r="P71" s="673">
        <v>160</v>
      </c>
      <c r="Q71" s="673">
        <v>213</v>
      </c>
      <c r="R71" s="673">
        <v>267</v>
      </c>
      <c r="S71" s="673">
        <v>259</v>
      </c>
      <c r="T71" s="673">
        <v>279</v>
      </c>
      <c r="U71" s="673">
        <v>279</v>
      </c>
      <c r="V71" s="665">
        <v>254</v>
      </c>
      <c r="W71" s="665">
        <v>245</v>
      </c>
      <c r="X71" s="665">
        <v>249</v>
      </c>
      <c r="Y71" s="665">
        <v>348</v>
      </c>
      <c r="Z71" s="665">
        <v>313</v>
      </c>
      <c r="AA71" s="665">
        <v>325</v>
      </c>
      <c r="AB71" s="665">
        <v>265</v>
      </c>
      <c r="AC71" s="665">
        <v>149</v>
      </c>
      <c r="AD71" s="665">
        <v>220</v>
      </c>
      <c r="AE71" s="665">
        <v>197</v>
      </c>
      <c r="AF71" s="665">
        <v>147</v>
      </c>
      <c r="AG71" s="665">
        <v>149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0.16563165365507448</v>
      </c>
      <c r="F72" s="680">
        <f t="shared" si="25"/>
        <v>242.70999999999998</v>
      </c>
      <c r="G72" s="680">
        <f t="shared" si="26"/>
        <v>299</v>
      </c>
      <c r="H72" s="679">
        <f t="shared" si="27"/>
        <v>271</v>
      </c>
      <c r="I72" s="679">
        <f t="shared" si="28"/>
        <v>282.83333333333331</v>
      </c>
      <c r="J72" s="679">
        <f t="shared" si="29"/>
        <v>184.4</v>
      </c>
      <c r="K72" s="673">
        <v>358</v>
      </c>
      <c r="L72" s="673">
        <v>322</v>
      </c>
      <c r="M72" s="673">
        <v>405</v>
      </c>
      <c r="N72" s="673">
        <v>265</v>
      </c>
      <c r="O72" s="673">
        <v>274</v>
      </c>
      <c r="P72" s="673">
        <v>170</v>
      </c>
      <c r="Q72" s="673">
        <v>209</v>
      </c>
      <c r="R72" s="673">
        <v>270</v>
      </c>
      <c r="S72" s="673">
        <v>283</v>
      </c>
      <c r="T72" s="673">
        <v>266</v>
      </c>
      <c r="U72" s="673">
        <v>274</v>
      </c>
      <c r="V72" s="665">
        <v>324</v>
      </c>
      <c r="W72" s="665">
        <v>306</v>
      </c>
      <c r="X72" s="665">
        <v>290</v>
      </c>
      <c r="Y72" s="665">
        <v>300</v>
      </c>
      <c r="Z72" s="665">
        <v>246</v>
      </c>
      <c r="AA72" s="665">
        <v>311</v>
      </c>
      <c r="AB72" s="665">
        <v>244</v>
      </c>
      <c r="AC72" s="665">
        <v>146</v>
      </c>
      <c r="AD72" s="665">
        <v>249</v>
      </c>
      <c r="AE72" s="665">
        <v>155</v>
      </c>
      <c r="AF72" s="665">
        <v>179</v>
      </c>
      <c r="AG72" s="665">
        <v>193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6.9447935682467196E-2</v>
      </c>
      <c r="F73" s="680">
        <f t="shared" si="25"/>
        <v>112.35333333333332</v>
      </c>
      <c r="G73" s="680">
        <f t="shared" si="26"/>
        <v>120.83333333333333</v>
      </c>
      <c r="H73" s="679">
        <f t="shared" si="27"/>
        <v>134.5</v>
      </c>
      <c r="I73" s="679">
        <f t="shared" si="28"/>
        <v>112.83333333333333</v>
      </c>
      <c r="J73" s="679">
        <f t="shared" si="29"/>
        <v>98.8</v>
      </c>
      <c r="K73" s="673">
        <v>123</v>
      </c>
      <c r="L73" s="673">
        <v>121</v>
      </c>
      <c r="M73" s="673">
        <v>104</v>
      </c>
      <c r="N73" s="673">
        <v>101</v>
      </c>
      <c r="O73" s="673">
        <v>144</v>
      </c>
      <c r="P73" s="673">
        <v>132</v>
      </c>
      <c r="Q73" s="673">
        <v>149</v>
      </c>
      <c r="R73" s="673">
        <v>135</v>
      </c>
      <c r="S73" s="673">
        <v>118</v>
      </c>
      <c r="T73" s="673">
        <v>134</v>
      </c>
      <c r="U73" s="673">
        <v>143</v>
      </c>
      <c r="V73" s="665">
        <v>128</v>
      </c>
      <c r="W73" s="665">
        <v>126</v>
      </c>
      <c r="X73" s="665">
        <v>117</v>
      </c>
      <c r="Y73" s="665">
        <v>95</v>
      </c>
      <c r="Z73" s="665">
        <v>114</v>
      </c>
      <c r="AA73" s="665">
        <v>137</v>
      </c>
      <c r="AB73" s="665">
        <v>88</v>
      </c>
      <c r="AC73" s="665">
        <v>88</v>
      </c>
      <c r="AD73" s="665">
        <v>98</v>
      </c>
      <c r="AE73" s="665">
        <v>113</v>
      </c>
      <c r="AF73" s="665">
        <v>98</v>
      </c>
      <c r="AG73" s="665">
        <v>97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0.16266261728842751</v>
      </c>
      <c r="F74" s="680">
        <f t="shared" si="25"/>
        <v>263.15666666666664</v>
      </c>
      <c r="G74" s="680">
        <f t="shared" si="26"/>
        <v>325.66666666666669</v>
      </c>
      <c r="H74" s="679">
        <f t="shared" si="27"/>
        <v>313</v>
      </c>
      <c r="I74" s="679">
        <f t="shared" si="28"/>
        <v>277.83333333333331</v>
      </c>
      <c r="J74" s="679">
        <f t="shared" si="29"/>
        <v>211.6</v>
      </c>
      <c r="K74" s="673">
        <v>324</v>
      </c>
      <c r="L74" s="673">
        <v>322</v>
      </c>
      <c r="M74" s="673">
        <v>388</v>
      </c>
      <c r="N74" s="673">
        <v>330</v>
      </c>
      <c r="O74" s="673">
        <v>355</v>
      </c>
      <c r="P74" s="673">
        <v>235</v>
      </c>
      <c r="Q74" s="673">
        <v>291</v>
      </c>
      <c r="R74" s="673">
        <v>300</v>
      </c>
      <c r="S74" s="673">
        <v>266</v>
      </c>
      <c r="T74" s="673">
        <v>335</v>
      </c>
      <c r="U74" s="673">
        <v>337</v>
      </c>
      <c r="V74" s="665">
        <v>349</v>
      </c>
      <c r="W74" s="665">
        <v>328</v>
      </c>
      <c r="X74" s="665">
        <v>306</v>
      </c>
      <c r="Y74" s="665">
        <v>277</v>
      </c>
      <c r="Z74" s="665">
        <v>246</v>
      </c>
      <c r="AA74" s="665">
        <v>301</v>
      </c>
      <c r="AB74" s="665">
        <v>209</v>
      </c>
      <c r="AC74" s="665">
        <v>182</v>
      </c>
      <c r="AD74" s="665">
        <v>268</v>
      </c>
      <c r="AE74" s="665">
        <v>176</v>
      </c>
      <c r="AF74" s="665">
        <v>213</v>
      </c>
      <c r="AG74" s="665">
        <v>219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0.12899151526140329</v>
      </c>
      <c r="F75" s="680">
        <f t="shared" si="25"/>
        <v>208.68333333333334</v>
      </c>
      <c r="G75" s="680">
        <f t="shared" si="26"/>
        <v>268.83333333333331</v>
      </c>
      <c r="H75" s="679">
        <f t="shared" si="27"/>
        <v>223.5</v>
      </c>
      <c r="I75" s="679">
        <f t="shared" si="28"/>
        <v>193</v>
      </c>
      <c r="J75" s="679">
        <f t="shared" si="29"/>
        <v>198</v>
      </c>
      <c r="K75" s="673">
        <v>236</v>
      </c>
      <c r="L75" s="673">
        <v>309</v>
      </c>
      <c r="M75" s="673">
        <v>265</v>
      </c>
      <c r="N75" s="673">
        <v>267</v>
      </c>
      <c r="O75" s="673">
        <v>284</v>
      </c>
      <c r="P75" s="673">
        <v>252</v>
      </c>
      <c r="Q75" s="673">
        <v>227</v>
      </c>
      <c r="R75" s="673">
        <v>238</v>
      </c>
      <c r="S75" s="673">
        <v>202</v>
      </c>
      <c r="T75" s="673">
        <v>199</v>
      </c>
      <c r="U75" s="673">
        <v>234</v>
      </c>
      <c r="V75" s="665">
        <v>241</v>
      </c>
      <c r="W75" s="665">
        <v>213</v>
      </c>
      <c r="X75" s="665">
        <v>214</v>
      </c>
      <c r="Y75" s="665">
        <v>187</v>
      </c>
      <c r="Z75" s="665">
        <v>176</v>
      </c>
      <c r="AA75" s="665">
        <v>180</v>
      </c>
      <c r="AB75" s="665">
        <v>188</v>
      </c>
      <c r="AC75" s="665">
        <v>213</v>
      </c>
      <c r="AD75" s="665">
        <v>191</v>
      </c>
      <c r="AE75" s="665">
        <v>160</v>
      </c>
      <c r="AF75" s="665">
        <v>206</v>
      </c>
      <c r="AG75" s="665">
        <v>220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0.1314454549575351</v>
      </c>
      <c r="F76" s="680">
        <f t="shared" si="25"/>
        <v>212.65333333333336</v>
      </c>
      <c r="G76" s="680">
        <f t="shared" si="26"/>
        <v>253.66666666666666</v>
      </c>
      <c r="H76" s="679">
        <f t="shared" si="27"/>
        <v>225.33333333333334</v>
      </c>
      <c r="I76" s="679">
        <f t="shared" si="28"/>
        <v>213</v>
      </c>
      <c r="J76" s="679">
        <f t="shared" si="29"/>
        <v>195.8</v>
      </c>
      <c r="K76" s="673">
        <v>277</v>
      </c>
      <c r="L76" s="673">
        <v>234</v>
      </c>
      <c r="M76" s="673">
        <v>269</v>
      </c>
      <c r="N76" s="673">
        <v>266</v>
      </c>
      <c r="O76" s="673">
        <v>290</v>
      </c>
      <c r="P76" s="673">
        <v>186</v>
      </c>
      <c r="Q76" s="673">
        <v>259</v>
      </c>
      <c r="R76" s="673">
        <v>287</v>
      </c>
      <c r="S76" s="673">
        <v>183</v>
      </c>
      <c r="T76" s="673">
        <v>207</v>
      </c>
      <c r="U76" s="673">
        <v>210</v>
      </c>
      <c r="V76" s="665">
        <v>206</v>
      </c>
      <c r="W76" s="665">
        <v>237</v>
      </c>
      <c r="X76" s="665">
        <v>231</v>
      </c>
      <c r="Y76" s="665">
        <v>218</v>
      </c>
      <c r="Z76" s="665">
        <v>162</v>
      </c>
      <c r="AA76" s="665">
        <v>200</v>
      </c>
      <c r="AB76" s="665">
        <v>230</v>
      </c>
      <c r="AC76" s="665">
        <v>207</v>
      </c>
      <c r="AD76" s="665">
        <v>212</v>
      </c>
      <c r="AE76" s="665">
        <v>135</v>
      </c>
      <c r="AF76" s="665">
        <v>170</v>
      </c>
      <c r="AG76" s="665">
        <v>255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0.21527088115184753</v>
      </c>
      <c r="F77" s="680">
        <f t="shared" si="25"/>
        <v>348.26666666666665</v>
      </c>
      <c r="G77" s="680">
        <f t="shared" si="26"/>
        <v>371.33333333333331</v>
      </c>
      <c r="H77" s="679">
        <f t="shared" si="27"/>
        <v>388.16666666666669</v>
      </c>
      <c r="I77" s="679">
        <f t="shared" si="28"/>
        <v>385</v>
      </c>
      <c r="J77" s="679">
        <f t="shared" si="29"/>
        <v>295</v>
      </c>
      <c r="K77" s="673">
        <v>441</v>
      </c>
      <c r="L77" s="673">
        <v>344</v>
      </c>
      <c r="M77" s="673">
        <v>447</v>
      </c>
      <c r="N77" s="673">
        <v>363</v>
      </c>
      <c r="O77" s="673">
        <v>370</v>
      </c>
      <c r="P77" s="673">
        <v>263</v>
      </c>
      <c r="Q77" s="673">
        <v>330</v>
      </c>
      <c r="R77" s="673">
        <v>437</v>
      </c>
      <c r="S77" s="673">
        <v>313</v>
      </c>
      <c r="T77" s="673">
        <v>376</v>
      </c>
      <c r="U77" s="673">
        <v>414</v>
      </c>
      <c r="V77" s="665">
        <v>459</v>
      </c>
      <c r="W77" s="665">
        <v>419</v>
      </c>
      <c r="X77" s="665">
        <v>386</v>
      </c>
      <c r="Y77" s="665">
        <v>369</v>
      </c>
      <c r="Z77" s="665">
        <v>350</v>
      </c>
      <c r="AA77" s="665">
        <v>503</v>
      </c>
      <c r="AB77" s="665">
        <v>283</v>
      </c>
      <c r="AC77" s="665">
        <v>235</v>
      </c>
      <c r="AD77" s="665">
        <v>306</v>
      </c>
      <c r="AE77" s="665">
        <v>212</v>
      </c>
      <c r="AF77" s="665">
        <v>360</v>
      </c>
      <c r="AG77" s="665">
        <v>362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0.18373229598921995</v>
      </c>
      <c r="F78" s="680">
        <f t="shared" si="25"/>
        <v>297.24333333333334</v>
      </c>
      <c r="G78" s="680">
        <f t="shared" si="26"/>
        <v>435</v>
      </c>
      <c r="H78" s="679">
        <f t="shared" si="27"/>
        <v>404.66666666666669</v>
      </c>
      <c r="I78" s="679">
        <f t="shared" si="28"/>
        <v>284.83333333333331</v>
      </c>
      <c r="J78" s="679">
        <f t="shared" si="29"/>
        <v>218.4</v>
      </c>
      <c r="K78" s="673">
        <v>514</v>
      </c>
      <c r="L78" s="673">
        <v>491</v>
      </c>
      <c r="M78" s="673">
        <v>485</v>
      </c>
      <c r="N78" s="673">
        <v>419</v>
      </c>
      <c r="O78" s="673">
        <v>426</v>
      </c>
      <c r="P78" s="673">
        <v>275</v>
      </c>
      <c r="Q78" s="673">
        <v>375</v>
      </c>
      <c r="R78" s="673">
        <v>469</v>
      </c>
      <c r="S78" s="673">
        <v>421</v>
      </c>
      <c r="T78" s="673">
        <v>386</v>
      </c>
      <c r="U78" s="673">
        <v>420</v>
      </c>
      <c r="V78" s="665">
        <v>357</v>
      </c>
      <c r="W78" s="665">
        <v>345</v>
      </c>
      <c r="X78" s="665">
        <v>317</v>
      </c>
      <c r="Y78" s="665">
        <v>298</v>
      </c>
      <c r="Z78" s="665">
        <v>227</v>
      </c>
      <c r="AA78" s="665">
        <v>309</v>
      </c>
      <c r="AB78" s="665">
        <v>213</v>
      </c>
      <c r="AC78" s="665">
        <v>183</v>
      </c>
      <c r="AD78" s="665">
        <v>253</v>
      </c>
      <c r="AE78" s="665">
        <v>170</v>
      </c>
      <c r="AF78" s="665">
        <v>259</v>
      </c>
      <c r="AG78" s="665">
        <v>227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0.10844929966909932</v>
      </c>
      <c r="F79" s="680">
        <f t="shared" si="25"/>
        <v>175.45000000000002</v>
      </c>
      <c r="G79" s="680">
        <f t="shared" si="26"/>
        <v>257.33333333333331</v>
      </c>
      <c r="H79" s="679">
        <f t="shared" si="27"/>
        <v>217.83333333333334</v>
      </c>
      <c r="I79" s="679">
        <f t="shared" si="28"/>
        <v>181.83333333333334</v>
      </c>
      <c r="J79" s="679">
        <f t="shared" si="29"/>
        <v>129</v>
      </c>
      <c r="K79" s="673">
        <v>243</v>
      </c>
      <c r="L79" s="673">
        <v>248</v>
      </c>
      <c r="M79" s="673">
        <v>251</v>
      </c>
      <c r="N79" s="673">
        <v>285</v>
      </c>
      <c r="O79" s="673">
        <v>270</v>
      </c>
      <c r="P79" s="673">
        <v>247</v>
      </c>
      <c r="Q79" s="673">
        <v>226</v>
      </c>
      <c r="R79" s="673">
        <v>266</v>
      </c>
      <c r="S79" s="673">
        <v>146</v>
      </c>
      <c r="T79" s="673">
        <v>207</v>
      </c>
      <c r="U79" s="673">
        <v>245</v>
      </c>
      <c r="V79" s="665">
        <v>217</v>
      </c>
      <c r="W79" s="665">
        <v>185</v>
      </c>
      <c r="X79" s="665">
        <v>225</v>
      </c>
      <c r="Y79" s="665">
        <v>175</v>
      </c>
      <c r="Z79" s="665">
        <v>130</v>
      </c>
      <c r="AA79" s="665">
        <v>220</v>
      </c>
      <c r="AB79" s="665">
        <v>156</v>
      </c>
      <c r="AC79" s="665">
        <v>112</v>
      </c>
      <c r="AD79" s="665">
        <v>118</v>
      </c>
      <c r="AE79" s="665">
        <v>131</v>
      </c>
      <c r="AF79" s="665">
        <v>151</v>
      </c>
      <c r="AG79" s="665">
        <v>133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0.10463737787708054</v>
      </c>
      <c r="F80" s="680">
        <f t="shared" si="25"/>
        <v>140.34</v>
      </c>
      <c r="G80" s="680">
        <f t="shared" si="26"/>
        <v>180.83333333333334</v>
      </c>
      <c r="H80" s="679">
        <f t="shared" si="27"/>
        <v>184.33333333333334</v>
      </c>
      <c r="I80" s="679">
        <f t="shared" si="28"/>
        <v>142.5</v>
      </c>
      <c r="J80" s="679">
        <f t="shared" si="29"/>
        <v>106.6</v>
      </c>
      <c r="K80" s="673">
        <v>219</v>
      </c>
      <c r="L80" s="673">
        <v>184</v>
      </c>
      <c r="M80" s="673">
        <v>220</v>
      </c>
      <c r="N80" s="673">
        <v>137</v>
      </c>
      <c r="O80" s="673">
        <v>167</v>
      </c>
      <c r="P80" s="673">
        <v>158</v>
      </c>
      <c r="Q80" s="673">
        <v>254</v>
      </c>
      <c r="R80" s="673">
        <v>195</v>
      </c>
      <c r="S80" s="673">
        <v>129</v>
      </c>
      <c r="T80" s="673">
        <v>199</v>
      </c>
      <c r="U80" s="673">
        <v>172</v>
      </c>
      <c r="V80" s="665">
        <v>157</v>
      </c>
      <c r="W80" s="665">
        <v>163</v>
      </c>
      <c r="X80" s="665">
        <v>143</v>
      </c>
      <c r="Y80" s="665">
        <v>111</v>
      </c>
      <c r="Z80" s="665">
        <v>133</v>
      </c>
      <c r="AA80" s="665">
        <v>128</v>
      </c>
      <c r="AB80" s="665">
        <v>177</v>
      </c>
      <c r="AC80" s="665">
        <v>125</v>
      </c>
      <c r="AD80" s="665">
        <v>148</v>
      </c>
      <c r="AE80" s="665">
        <v>103</v>
      </c>
      <c r="AF80" s="665">
        <v>74</v>
      </c>
      <c r="AG80" s="665">
        <v>83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0.11540382889991822</v>
      </c>
      <c r="F81" s="680">
        <f t="shared" si="25"/>
        <v>154.78</v>
      </c>
      <c r="G81" s="680">
        <f t="shared" si="26"/>
        <v>169.16666666666666</v>
      </c>
      <c r="H81" s="679">
        <f t="shared" si="27"/>
        <v>166.16666666666666</v>
      </c>
      <c r="I81" s="679">
        <f t="shared" si="28"/>
        <v>160.5</v>
      </c>
      <c r="J81" s="679">
        <f t="shared" si="29"/>
        <v>141.19999999999999</v>
      </c>
      <c r="K81" s="673">
        <v>189</v>
      </c>
      <c r="L81" s="673">
        <v>187</v>
      </c>
      <c r="M81" s="673">
        <v>220</v>
      </c>
      <c r="N81" s="673">
        <v>176</v>
      </c>
      <c r="O81" s="673">
        <v>144</v>
      </c>
      <c r="P81" s="673">
        <v>99</v>
      </c>
      <c r="Q81" s="673">
        <v>147</v>
      </c>
      <c r="R81" s="673">
        <v>167</v>
      </c>
      <c r="S81" s="673">
        <v>122</v>
      </c>
      <c r="T81" s="673">
        <v>201</v>
      </c>
      <c r="U81" s="673">
        <v>194</v>
      </c>
      <c r="V81" s="665">
        <v>166</v>
      </c>
      <c r="W81" s="665">
        <v>150</v>
      </c>
      <c r="X81" s="665">
        <v>180</v>
      </c>
      <c r="Y81" s="665">
        <v>169</v>
      </c>
      <c r="Z81" s="665">
        <v>142</v>
      </c>
      <c r="AA81" s="665">
        <v>161</v>
      </c>
      <c r="AB81" s="665">
        <v>161</v>
      </c>
      <c r="AC81" s="665">
        <v>124</v>
      </c>
      <c r="AD81" s="665">
        <v>157</v>
      </c>
      <c r="AE81" s="665">
        <v>134</v>
      </c>
      <c r="AF81" s="665">
        <v>148</v>
      </c>
      <c r="AG81" s="665">
        <v>143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0.14285927314028946</v>
      </c>
      <c r="F82" s="680">
        <f t="shared" si="25"/>
        <v>191.60333333333335</v>
      </c>
      <c r="G82" s="680">
        <f t="shared" si="26"/>
        <v>137.33333333333334</v>
      </c>
      <c r="H82" s="679">
        <f t="shared" si="27"/>
        <v>219</v>
      </c>
      <c r="I82" s="679">
        <f t="shared" si="28"/>
        <v>221.83333333333334</v>
      </c>
      <c r="J82" s="679">
        <f t="shared" si="29"/>
        <v>168.8</v>
      </c>
      <c r="K82" s="673">
        <v>122</v>
      </c>
      <c r="L82" s="673">
        <v>129</v>
      </c>
      <c r="M82" s="673">
        <v>145</v>
      </c>
      <c r="N82" s="673">
        <v>158</v>
      </c>
      <c r="O82" s="673">
        <v>135</v>
      </c>
      <c r="P82" s="673">
        <v>135</v>
      </c>
      <c r="Q82" s="673">
        <v>209</v>
      </c>
      <c r="R82" s="673">
        <v>248</v>
      </c>
      <c r="S82" s="673">
        <v>152</v>
      </c>
      <c r="T82" s="673">
        <v>215</v>
      </c>
      <c r="U82" s="673">
        <v>258</v>
      </c>
      <c r="V82" s="665">
        <v>232</v>
      </c>
      <c r="W82" s="665">
        <v>225</v>
      </c>
      <c r="X82" s="665">
        <v>296</v>
      </c>
      <c r="Y82" s="665">
        <v>240</v>
      </c>
      <c r="Z82" s="665">
        <v>142</v>
      </c>
      <c r="AA82" s="665">
        <v>213</v>
      </c>
      <c r="AB82" s="665">
        <v>215</v>
      </c>
      <c r="AC82" s="665">
        <v>168</v>
      </c>
      <c r="AD82" s="665">
        <v>232</v>
      </c>
      <c r="AE82" s="665">
        <v>143</v>
      </c>
      <c r="AF82" s="665">
        <v>167</v>
      </c>
      <c r="AG82" s="665">
        <v>134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0.10518166522103284</v>
      </c>
      <c r="F83" s="680">
        <f t="shared" si="25"/>
        <v>141.07</v>
      </c>
      <c r="G83" s="680">
        <f t="shared" si="26"/>
        <v>153.16666666666666</v>
      </c>
      <c r="H83" s="679">
        <f t="shared" si="27"/>
        <v>126.66666666666667</v>
      </c>
      <c r="I83" s="679">
        <f t="shared" si="28"/>
        <v>137.66666666666666</v>
      </c>
      <c r="J83" s="679">
        <f t="shared" si="29"/>
        <v>147.80000000000001</v>
      </c>
      <c r="K83" s="673">
        <v>164</v>
      </c>
      <c r="L83" s="673">
        <v>205</v>
      </c>
      <c r="M83" s="673">
        <v>199</v>
      </c>
      <c r="N83" s="673">
        <v>124</v>
      </c>
      <c r="O83" s="673">
        <v>133</v>
      </c>
      <c r="P83" s="673">
        <v>94</v>
      </c>
      <c r="Q83" s="673">
        <v>119</v>
      </c>
      <c r="R83" s="673">
        <v>140</v>
      </c>
      <c r="S83" s="673">
        <v>67</v>
      </c>
      <c r="T83" s="673">
        <v>154</v>
      </c>
      <c r="U83" s="673">
        <v>152</v>
      </c>
      <c r="V83" s="665">
        <v>128</v>
      </c>
      <c r="W83" s="665">
        <v>135</v>
      </c>
      <c r="X83" s="665">
        <v>175</v>
      </c>
      <c r="Y83" s="665">
        <v>131</v>
      </c>
      <c r="Z83" s="665">
        <v>112</v>
      </c>
      <c r="AA83" s="665">
        <v>125</v>
      </c>
      <c r="AB83" s="665">
        <v>148</v>
      </c>
      <c r="AC83" s="665">
        <v>136</v>
      </c>
      <c r="AD83" s="665">
        <v>123</v>
      </c>
      <c r="AE83" s="665">
        <v>177</v>
      </c>
      <c r="AF83" s="665">
        <v>167</v>
      </c>
      <c r="AG83" s="665">
        <v>136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0.14526258757682778</v>
      </c>
      <c r="F84" s="680">
        <f t="shared" si="25"/>
        <v>194.82666666666668</v>
      </c>
      <c r="G84" s="680">
        <f t="shared" si="26"/>
        <v>247</v>
      </c>
      <c r="H84" s="679">
        <f t="shared" si="27"/>
        <v>275.33333333333331</v>
      </c>
      <c r="I84" s="679">
        <f t="shared" si="28"/>
        <v>219</v>
      </c>
      <c r="J84" s="679">
        <f t="shared" si="29"/>
        <v>123.4</v>
      </c>
      <c r="K84" s="673">
        <v>269</v>
      </c>
      <c r="L84" s="673">
        <v>218</v>
      </c>
      <c r="M84" s="673">
        <v>282</v>
      </c>
      <c r="N84" s="673">
        <v>229</v>
      </c>
      <c r="O84" s="673">
        <v>240</v>
      </c>
      <c r="P84" s="673">
        <v>244</v>
      </c>
      <c r="Q84" s="673">
        <v>271</v>
      </c>
      <c r="R84" s="673">
        <v>273</v>
      </c>
      <c r="S84" s="673">
        <v>234</v>
      </c>
      <c r="T84" s="673">
        <v>321</v>
      </c>
      <c r="U84" s="673">
        <v>291</v>
      </c>
      <c r="V84" s="665">
        <v>262</v>
      </c>
      <c r="W84" s="665">
        <v>259</v>
      </c>
      <c r="X84" s="665">
        <v>241</v>
      </c>
      <c r="Y84" s="665">
        <v>157</v>
      </c>
      <c r="Z84" s="665">
        <v>162</v>
      </c>
      <c r="AA84" s="665">
        <v>260</v>
      </c>
      <c r="AB84" s="665">
        <v>235</v>
      </c>
      <c r="AC84" s="665">
        <v>127</v>
      </c>
      <c r="AD84" s="665">
        <v>156</v>
      </c>
      <c r="AE84" s="665">
        <v>130</v>
      </c>
      <c r="AF84" s="665">
        <v>90</v>
      </c>
      <c r="AG84" s="665">
        <v>114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0.20085197123975732</v>
      </c>
      <c r="F85" s="680">
        <f t="shared" si="25"/>
        <v>269.38333333333333</v>
      </c>
      <c r="G85" s="680">
        <f t="shared" si="26"/>
        <v>310.5</v>
      </c>
      <c r="H85" s="679">
        <f t="shared" si="27"/>
        <v>289.66666666666669</v>
      </c>
      <c r="I85" s="679">
        <f t="shared" si="28"/>
        <v>234.66666666666666</v>
      </c>
      <c r="J85" s="679">
        <f t="shared" si="29"/>
        <v>275</v>
      </c>
      <c r="K85" s="673">
        <v>310</v>
      </c>
      <c r="L85" s="673">
        <v>277</v>
      </c>
      <c r="M85" s="673">
        <v>342</v>
      </c>
      <c r="N85" s="673">
        <v>278</v>
      </c>
      <c r="O85" s="673">
        <v>340</v>
      </c>
      <c r="P85" s="673">
        <v>316</v>
      </c>
      <c r="Q85" s="673">
        <v>301</v>
      </c>
      <c r="R85" s="673">
        <v>321</v>
      </c>
      <c r="S85" s="673">
        <v>265</v>
      </c>
      <c r="T85" s="673">
        <v>294</v>
      </c>
      <c r="U85" s="673">
        <v>312</v>
      </c>
      <c r="V85" s="665">
        <v>245</v>
      </c>
      <c r="W85" s="665">
        <v>231</v>
      </c>
      <c r="X85" s="665">
        <v>243</v>
      </c>
      <c r="Y85" s="665">
        <v>219</v>
      </c>
      <c r="Z85" s="665">
        <v>229</v>
      </c>
      <c r="AA85" s="665">
        <v>227</v>
      </c>
      <c r="AB85" s="665">
        <v>259</v>
      </c>
      <c r="AC85" s="665">
        <v>399</v>
      </c>
      <c r="AD85" s="665">
        <v>272</v>
      </c>
      <c r="AE85" s="665">
        <v>214</v>
      </c>
      <c r="AF85" s="665">
        <v>260</v>
      </c>
      <c r="AG85" s="665">
        <v>230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0.18580329604509382</v>
      </c>
      <c r="F86" s="680">
        <f t="shared" si="25"/>
        <v>249.2</v>
      </c>
      <c r="G86" s="680">
        <f t="shared" si="26"/>
        <v>246.66666666666666</v>
      </c>
      <c r="H86" s="679">
        <f t="shared" si="27"/>
        <v>247.66666666666666</v>
      </c>
      <c r="I86" s="679">
        <f t="shared" si="28"/>
        <v>286</v>
      </c>
      <c r="J86" s="679">
        <f t="shared" si="29"/>
        <v>223</v>
      </c>
      <c r="K86" s="673">
        <v>253</v>
      </c>
      <c r="L86" s="673">
        <v>248</v>
      </c>
      <c r="M86" s="673">
        <v>261</v>
      </c>
      <c r="N86" s="673">
        <v>223</v>
      </c>
      <c r="O86" s="673">
        <v>275</v>
      </c>
      <c r="P86" s="673">
        <v>220</v>
      </c>
      <c r="Q86" s="673">
        <v>253</v>
      </c>
      <c r="R86" s="673">
        <v>242</v>
      </c>
      <c r="S86" s="673">
        <v>210</v>
      </c>
      <c r="T86" s="673">
        <v>262</v>
      </c>
      <c r="U86" s="673">
        <v>272</v>
      </c>
      <c r="V86" s="665">
        <v>247</v>
      </c>
      <c r="W86" s="665">
        <v>276</v>
      </c>
      <c r="X86" s="665">
        <v>285</v>
      </c>
      <c r="Y86" s="665">
        <v>330</v>
      </c>
      <c r="Z86" s="665">
        <v>229</v>
      </c>
      <c r="AA86" s="665">
        <v>318</v>
      </c>
      <c r="AB86" s="665">
        <v>278</v>
      </c>
      <c r="AC86" s="665">
        <v>256</v>
      </c>
      <c r="AD86" s="665">
        <v>242</v>
      </c>
      <c r="AE86" s="665">
        <v>224</v>
      </c>
      <c r="AF86" s="665">
        <v>221</v>
      </c>
      <c r="AG86" s="665">
        <v>172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86" priority="10" operator="equal">
      <formula>0</formula>
    </cfRule>
  </conditionalFormatting>
  <conditionalFormatting sqref="K31:V86">
    <cfRule type="cellIs" dxfId="85" priority="9" operator="equal">
      <formula>0</formula>
    </cfRule>
  </conditionalFormatting>
  <conditionalFormatting sqref="G16:J16 G15 I15">
    <cfRule type="cellIs" dxfId="84" priority="8" operator="equal">
      <formula>0</formula>
    </cfRule>
  </conditionalFormatting>
  <conditionalFormatting sqref="G7:J7 G6 I6">
    <cfRule type="cellIs" dxfId="83" priority="7" operator="equal">
      <formula>0</formula>
    </cfRule>
  </conditionalFormatting>
  <conditionalFormatting sqref="F15">
    <cfRule type="cellIs" dxfId="82" priority="6" operator="equal">
      <formula>0</formula>
    </cfRule>
  </conditionalFormatting>
  <conditionalFormatting sqref="F28">
    <cfRule type="cellIs" dxfId="81" priority="5" operator="equal">
      <formula>0</formula>
    </cfRule>
  </conditionalFormatting>
  <conditionalFormatting sqref="E8:E14 E1:E6 E30:E1048576">
    <cfRule type="cellIs" dxfId="80" priority="4" operator="equal">
      <formula>0</formula>
    </cfRule>
  </conditionalFormatting>
  <conditionalFormatting sqref="E15">
    <cfRule type="cellIs" dxfId="79" priority="3" operator="equal">
      <formula>0</formula>
    </cfRule>
  </conditionalFormatting>
  <conditionalFormatting sqref="E28">
    <cfRule type="cellIs" dxfId="78" priority="2" operator="equal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5" tint="0.79998168889431442"/>
  </sheetPr>
  <dimension ref="A1:AJ86"/>
  <sheetViews>
    <sheetView showGridLines="0" topLeftCell="A1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313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314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3579.1266666666666</v>
      </c>
      <c r="G8" s="678">
        <f>SUM(G9:G12)</f>
        <v>5370.0000000000009</v>
      </c>
      <c r="H8" s="671">
        <f t="shared" ref="H8:J8" si="0">SUM(H9:H12)</f>
        <v>4446.833333333333</v>
      </c>
      <c r="I8" s="671">
        <f t="shared" si="0"/>
        <v>3460.6666666666665</v>
      </c>
      <c r="J8" s="671">
        <f t="shared" si="0"/>
        <v>2786.4</v>
      </c>
      <c r="K8" s="671">
        <v>6173</v>
      </c>
      <c r="L8" s="671">
        <v>4699</v>
      </c>
      <c r="M8" s="671">
        <v>5939</v>
      </c>
      <c r="N8" s="671">
        <v>5625</v>
      </c>
      <c r="O8" s="671">
        <v>5441</v>
      </c>
      <c r="P8" s="671">
        <v>4343</v>
      </c>
      <c r="Q8" s="671">
        <v>4639</v>
      </c>
      <c r="R8" s="671">
        <v>5032</v>
      </c>
      <c r="S8" s="671">
        <v>3672</v>
      </c>
      <c r="T8" s="671">
        <v>4490</v>
      </c>
      <c r="U8" s="671">
        <v>4367</v>
      </c>
      <c r="V8" s="671">
        <v>4481</v>
      </c>
      <c r="W8" s="671">
        <v>4274</v>
      </c>
      <c r="X8" s="671">
        <v>3492</v>
      </c>
      <c r="Y8" s="671">
        <v>3324</v>
      </c>
      <c r="Z8" s="671">
        <v>2750</v>
      </c>
      <c r="AA8" s="671">
        <v>3391</v>
      </c>
      <c r="AB8" s="671">
        <v>3533</v>
      </c>
      <c r="AC8" s="671">
        <v>3146</v>
      </c>
      <c r="AD8" s="671">
        <v>3110</v>
      </c>
      <c r="AE8" s="671">
        <v>3038</v>
      </c>
      <c r="AF8" s="671">
        <v>2356</v>
      </c>
      <c r="AG8" s="671">
        <v>2282</v>
      </c>
      <c r="AH8" s="671">
        <v>0</v>
      </c>
    </row>
    <row r="9" spans="1:34">
      <c r="C9" s="1002" t="s">
        <v>331</v>
      </c>
      <c r="D9" s="984"/>
      <c r="E9" s="690">
        <f t="shared" ref="E9:E12" si="1">F9/$F$8</f>
        <v>0.20624211865464387</v>
      </c>
      <c r="F9" s="683">
        <f t="shared" ref="F9:F12" si="2">G9*10%+H9*20%+I9*30%+J9*40%</f>
        <v>738.16666666666663</v>
      </c>
      <c r="G9" s="675">
        <f t="shared" ref="G9:G12" si="3">AVERAGE(K9:P9)</f>
        <v>1155.5</v>
      </c>
      <c r="H9" s="672">
        <f t="shared" ref="H9:H12" si="4">AVERAGE(Q9:V9)</f>
        <v>1022.8333333333334</v>
      </c>
      <c r="I9" s="672">
        <f t="shared" ref="I9:I12" si="5">AVERAGE(W9:AB9)</f>
        <v>681.5</v>
      </c>
      <c r="J9" s="672">
        <f t="shared" ref="J9:J12" si="6">AVERAGE(AC9:AG9)</f>
        <v>534</v>
      </c>
      <c r="K9" s="673">
        <v>1307</v>
      </c>
      <c r="L9" s="673">
        <v>860</v>
      </c>
      <c r="M9" s="673">
        <v>1182</v>
      </c>
      <c r="N9" s="673">
        <v>1360</v>
      </c>
      <c r="O9" s="673">
        <v>1215</v>
      </c>
      <c r="P9" s="673">
        <v>1009</v>
      </c>
      <c r="Q9" s="673">
        <v>1089</v>
      </c>
      <c r="R9" s="673">
        <v>1137</v>
      </c>
      <c r="S9" s="673">
        <v>912</v>
      </c>
      <c r="T9" s="673">
        <v>1085</v>
      </c>
      <c r="U9" s="673">
        <v>945</v>
      </c>
      <c r="V9" s="673">
        <v>969</v>
      </c>
      <c r="W9" s="673">
        <v>745</v>
      </c>
      <c r="X9" s="673">
        <v>707</v>
      </c>
      <c r="Y9" s="673">
        <v>607</v>
      </c>
      <c r="Z9" s="673">
        <v>518</v>
      </c>
      <c r="AA9" s="673">
        <v>851</v>
      </c>
      <c r="AB9" s="673">
        <v>661</v>
      </c>
      <c r="AC9" s="673">
        <v>588</v>
      </c>
      <c r="AD9" s="673">
        <v>631</v>
      </c>
      <c r="AE9" s="673">
        <v>624</v>
      </c>
      <c r="AF9" s="673">
        <v>409</v>
      </c>
      <c r="AG9" s="673">
        <v>418</v>
      </c>
      <c r="AH9" s="673">
        <v>0</v>
      </c>
    </row>
    <row r="10" spans="1:34">
      <c r="C10" s="1002" t="s">
        <v>332</v>
      </c>
      <c r="D10" s="984"/>
      <c r="E10" s="690">
        <f t="shared" si="1"/>
        <v>0.35797652686223269</v>
      </c>
      <c r="F10" s="683">
        <f t="shared" si="2"/>
        <v>1281.2433333333333</v>
      </c>
      <c r="G10" s="675">
        <f t="shared" si="3"/>
        <v>1837.1666666666667</v>
      </c>
      <c r="H10" s="672">
        <f t="shared" si="4"/>
        <v>1384.3333333333333</v>
      </c>
      <c r="I10" s="672">
        <f t="shared" si="5"/>
        <v>1255</v>
      </c>
      <c r="J10" s="672">
        <f t="shared" si="6"/>
        <v>1110.4000000000001</v>
      </c>
      <c r="K10" s="673">
        <v>1948</v>
      </c>
      <c r="L10" s="673">
        <v>1696</v>
      </c>
      <c r="M10" s="673">
        <v>2209</v>
      </c>
      <c r="N10" s="673">
        <v>1841</v>
      </c>
      <c r="O10" s="673">
        <v>1959</v>
      </c>
      <c r="P10" s="673">
        <v>1370</v>
      </c>
      <c r="Q10" s="673">
        <v>1480</v>
      </c>
      <c r="R10" s="673">
        <v>1520</v>
      </c>
      <c r="S10" s="673">
        <v>1072</v>
      </c>
      <c r="T10" s="673">
        <v>1480</v>
      </c>
      <c r="U10" s="673">
        <v>1472</v>
      </c>
      <c r="V10" s="673">
        <v>1282</v>
      </c>
      <c r="W10" s="673">
        <v>1703</v>
      </c>
      <c r="X10" s="673">
        <v>1115</v>
      </c>
      <c r="Y10" s="673">
        <v>1126</v>
      </c>
      <c r="Z10" s="673">
        <v>868</v>
      </c>
      <c r="AA10" s="673">
        <v>1201</v>
      </c>
      <c r="AB10" s="673">
        <v>1517</v>
      </c>
      <c r="AC10" s="673">
        <v>1441</v>
      </c>
      <c r="AD10" s="673">
        <v>1214</v>
      </c>
      <c r="AE10" s="673">
        <v>1184</v>
      </c>
      <c r="AF10" s="673">
        <v>951</v>
      </c>
      <c r="AG10" s="673">
        <v>762</v>
      </c>
      <c r="AH10" s="673">
        <v>0</v>
      </c>
    </row>
    <row r="11" spans="1:34">
      <c r="C11" s="1002" t="s">
        <v>333</v>
      </c>
      <c r="D11" s="984"/>
      <c r="E11" s="690">
        <f t="shared" si="1"/>
        <v>0.21935332455403461</v>
      </c>
      <c r="F11" s="683">
        <f t="shared" si="2"/>
        <v>785.09333333333336</v>
      </c>
      <c r="G11" s="675">
        <f t="shared" si="3"/>
        <v>1190.1666666666667</v>
      </c>
      <c r="H11" s="672">
        <f t="shared" si="4"/>
        <v>1068.8333333333333</v>
      </c>
      <c r="I11" s="672">
        <f t="shared" si="5"/>
        <v>764.5</v>
      </c>
      <c r="J11" s="672">
        <f t="shared" si="6"/>
        <v>557.4</v>
      </c>
      <c r="K11" s="673">
        <v>1570</v>
      </c>
      <c r="L11" s="673">
        <v>1121</v>
      </c>
      <c r="M11" s="673">
        <v>1196</v>
      </c>
      <c r="N11" s="673">
        <v>1189</v>
      </c>
      <c r="O11" s="673">
        <v>1135</v>
      </c>
      <c r="P11" s="673">
        <v>930</v>
      </c>
      <c r="Q11" s="673">
        <v>1056</v>
      </c>
      <c r="R11" s="673">
        <v>1312</v>
      </c>
      <c r="S11" s="673">
        <v>873</v>
      </c>
      <c r="T11" s="673">
        <v>973</v>
      </c>
      <c r="U11" s="673">
        <v>1086</v>
      </c>
      <c r="V11" s="673">
        <v>1113</v>
      </c>
      <c r="W11" s="673">
        <v>1017</v>
      </c>
      <c r="X11" s="673">
        <v>812</v>
      </c>
      <c r="Y11" s="673">
        <v>782</v>
      </c>
      <c r="Z11" s="673">
        <v>646</v>
      </c>
      <c r="AA11" s="673">
        <v>673</v>
      </c>
      <c r="AB11" s="673">
        <v>657</v>
      </c>
      <c r="AC11" s="673">
        <v>554</v>
      </c>
      <c r="AD11" s="673">
        <v>595</v>
      </c>
      <c r="AE11" s="673">
        <v>548</v>
      </c>
      <c r="AF11" s="673">
        <v>460</v>
      </c>
      <c r="AG11" s="673">
        <v>630</v>
      </c>
      <c r="AH11" s="673">
        <v>0</v>
      </c>
    </row>
    <row r="12" spans="1:34">
      <c r="C12" s="1002" t="s">
        <v>334</v>
      </c>
      <c r="D12" s="984"/>
      <c r="E12" s="690">
        <f t="shared" si="1"/>
        <v>0.21642802992908886</v>
      </c>
      <c r="F12" s="683">
        <f t="shared" si="2"/>
        <v>774.62333333333333</v>
      </c>
      <c r="G12" s="675">
        <f t="shared" si="3"/>
        <v>1187.1666666666667</v>
      </c>
      <c r="H12" s="672">
        <f t="shared" si="4"/>
        <v>970.83333333333337</v>
      </c>
      <c r="I12" s="672">
        <f t="shared" si="5"/>
        <v>759.66666666666663</v>
      </c>
      <c r="J12" s="672">
        <f t="shared" si="6"/>
        <v>584.6</v>
      </c>
      <c r="K12" s="673">
        <v>1348</v>
      </c>
      <c r="L12" s="673">
        <v>1022</v>
      </c>
      <c r="M12" s="673">
        <v>1352</v>
      </c>
      <c r="N12" s="673">
        <v>1235</v>
      </c>
      <c r="O12" s="673">
        <v>1132</v>
      </c>
      <c r="P12" s="673">
        <v>1034</v>
      </c>
      <c r="Q12" s="673">
        <v>1014</v>
      </c>
      <c r="R12" s="673">
        <v>1063</v>
      </c>
      <c r="S12" s="673">
        <v>815</v>
      </c>
      <c r="T12" s="673">
        <v>952</v>
      </c>
      <c r="U12" s="673">
        <v>864</v>
      </c>
      <c r="V12" s="673">
        <v>1117</v>
      </c>
      <c r="W12" s="673">
        <v>809</v>
      </c>
      <c r="X12" s="673">
        <v>858</v>
      </c>
      <c r="Y12" s="673">
        <v>809</v>
      </c>
      <c r="Z12" s="673">
        <v>718</v>
      </c>
      <c r="AA12" s="673">
        <v>666</v>
      </c>
      <c r="AB12" s="673">
        <v>698</v>
      </c>
      <c r="AC12" s="673">
        <v>563</v>
      </c>
      <c r="AD12" s="673">
        <v>670</v>
      </c>
      <c r="AE12" s="673">
        <v>682</v>
      </c>
      <c r="AF12" s="673">
        <v>536</v>
      </c>
      <c r="AG12" s="673">
        <v>472</v>
      </c>
      <c r="AH12" s="673">
        <v>0</v>
      </c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7">F17/$F$8</f>
        <v>1.0000000000000002</v>
      </c>
      <c r="F17" s="684">
        <f>SUM(F18:F25)</f>
        <v>3579.126666666667</v>
      </c>
      <c r="G17" s="674">
        <f>SUM(G18:G25)</f>
        <v>5369.9999999999991</v>
      </c>
      <c r="H17" s="674">
        <f t="shared" ref="H17:J17" si="8">SUM(H18:H25)</f>
        <v>4446.8333333333339</v>
      </c>
      <c r="I17" s="674">
        <f t="shared" si="8"/>
        <v>3460.6666666666665</v>
      </c>
      <c r="J17" s="674">
        <f t="shared" si="8"/>
        <v>2786.4000000000005</v>
      </c>
      <c r="K17" s="671">
        <v>6173</v>
      </c>
      <c r="L17" s="671">
        <v>4699</v>
      </c>
      <c r="M17" s="671">
        <v>5939</v>
      </c>
      <c r="N17" s="671">
        <v>5625</v>
      </c>
      <c r="O17" s="671">
        <v>5441</v>
      </c>
      <c r="P17" s="671">
        <v>4343</v>
      </c>
      <c r="Q17" s="671">
        <v>4639</v>
      </c>
      <c r="R17" s="671">
        <v>5032</v>
      </c>
      <c r="S17" s="671">
        <v>3672</v>
      </c>
      <c r="T17" s="671">
        <v>4490</v>
      </c>
      <c r="U17" s="671">
        <v>4367</v>
      </c>
      <c r="V17" s="671">
        <v>4481</v>
      </c>
      <c r="W17" s="671">
        <v>4274</v>
      </c>
      <c r="X17" s="671">
        <v>3492</v>
      </c>
      <c r="Y17" s="671">
        <v>3324</v>
      </c>
      <c r="Z17" s="671">
        <v>2750</v>
      </c>
      <c r="AA17" s="671">
        <v>3391</v>
      </c>
      <c r="AB17" s="671">
        <v>3533</v>
      </c>
      <c r="AC17" s="671">
        <v>3146</v>
      </c>
      <c r="AD17" s="671">
        <v>3110</v>
      </c>
      <c r="AE17" s="671">
        <v>3038</v>
      </c>
      <c r="AF17" s="671">
        <v>2356</v>
      </c>
      <c r="AG17" s="671">
        <v>2282</v>
      </c>
      <c r="AH17" s="671">
        <v>0</v>
      </c>
    </row>
    <row r="18" spans="1:36">
      <c r="B18" s="658" t="s">
        <v>346</v>
      </c>
      <c r="C18" s="984" t="s">
        <v>331</v>
      </c>
      <c r="D18" s="985"/>
      <c r="E18" s="690">
        <f t="shared" si="7"/>
        <v>0.16249494755703911</v>
      </c>
      <c r="F18" s="683">
        <f t="shared" ref="F18:F25" si="9">G18*10%+H18*20%+I18*30%+J18*40%</f>
        <v>581.59000000000015</v>
      </c>
      <c r="G18" s="675">
        <f t="shared" ref="G18:G25" si="10">AVERAGE(K18:P18)</f>
        <v>916.5</v>
      </c>
      <c r="H18" s="675">
        <f t="shared" ref="H18:H25" si="11">AVERAGE(Q18:V18)</f>
        <v>851.5</v>
      </c>
      <c r="I18" s="675">
        <f t="shared" ref="I18:I25" si="12">AVERAGE(W18:AB18)</f>
        <v>522</v>
      </c>
      <c r="J18" s="675">
        <f t="shared" ref="J18:J25" si="13">AVERAGE(AC18:AG18)</f>
        <v>407.6</v>
      </c>
      <c r="K18" s="673">
        <v>1052</v>
      </c>
      <c r="L18" s="673">
        <v>618</v>
      </c>
      <c r="M18" s="673">
        <v>967</v>
      </c>
      <c r="N18" s="673">
        <v>1021</v>
      </c>
      <c r="O18" s="673">
        <v>982</v>
      </c>
      <c r="P18" s="673">
        <v>859</v>
      </c>
      <c r="Q18" s="673">
        <v>948</v>
      </c>
      <c r="R18" s="673">
        <v>986</v>
      </c>
      <c r="S18" s="673">
        <v>725</v>
      </c>
      <c r="T18" s="673">
        <v>874</v>
      </c>
      <c r="U18" s="673">
        <v>775</v>
      </c>
      <c r="V18" s="673">
        <v>801</v>
      </c>
      <c r="W18" s="673">
        <v>588</v>
      </c>
      <c r="X18" s="673">
        <v>533</v>
      </c>
      <c r="Y18" s="673">
        <v>428</v>
      </c>
      <c r="Z18" s="673">
        <v>375</v>
      </c>
      <c r="AA18" s="673">
        <v>673</v>
      </c>
      <c r="AB18" s="673">
        <v>535</v>
      </c>
      <c r="AC18" s="673">
        <v>443</v>
      </c>
      <c r="AD18" s="673">
        <v>502</v>
      </c>
      <c r="AE18" s="673">
        <v>485</v>
      </c>
      <c r="AF18" s="673">
        <v>293</v>
      </c>
      <c r="AG18" s="673">
        <v>315</v>
      </c>
      <c r="AH18" s="673">
        <v>0</v>
      </c>
      <c r="AJ18" s="664"/>
    </row>
    <row r="19" spans="1:36">
      <c r="B19" s="658" t="s">
        <v>346</v>
      </c>
      <c r="C19" s="984" t="s">
        <v>347</v>
      </c>
      <c r="D19" s="985"/>
      <c r="E19" s="690">
        <f t="shared" si="7"/>
        <v>4.3747171097604821E-2</v>
      </c>
      <c r="F19" s="683">
        <f t="shared" si="9"/>
        <v>156.57666666666668</v>
      </c>
      <c r="G19" s="675">
        <f t="shared" si="10"/>
        <v>239</v>
      </c>
      <c r="H19" s="675">
        <f t="shared" si="11"/>
        <v>171.33333333333334</v>
      </c>
      <c r="I19" s="675">
        <f t="shared" si="12"/>
        <v>159.5</v>
      </c>
      <c r="J19" s="675">
        <f t="shared" si="13"/>
        <v>126.4</v>
      </c>
      <c r="K19" s="673">
        <v>255</v>
      </c>
      <c r="L19" s="673">
        <v>242</v>
      </c>
      <c r="M19" s="673">
        <v>215</v>
      </c>
      <c r="N19" s="673">
        <v>339</v>
      </c>
      <c r="O19" s="673">
        <v>233</v>
      </c>
      <c r="P19" s="673">
        <v>150</v>
      </c>
      <c r="Q19" s="673">
        <v>141</v>
      </c>
      <c r="R19" s="673">
        <v>151</v>
      </c>
      <c r="S19" s="673">
        <v>187</v>
      </c>
      <c r="T19" s="673">
        <v>211</v>
      </c>
      <c r="U19" s="673">
        <v>170</v>
      </c>
      <c r="V19" s="673">
        <v>168</v>
      </c>
      <c r="W19" s="673">
        <v>157</v>
      </c>
      <c r="X19" s="673">
        <v>174</v>
      </c>
      <c r="Y19" s="673">
        <v>179</v>
      </c>
      <c r="Z19" s="673">
        <v>143</v>
      </c>
      <c r="AA19" s="673">
        <v>178</v>
      </c>
      <c r="AB19" s="673">
        <v>126</v>
      </c>
      <c r="AC19" s="673">
        <v>145</v>
      </c>
      <c r="AD19" s="673">
        <v>129</v>
      </c>
      <c r="AE19" s="673">
        <v>139</v>
      </c>
      <c r="AF19" s="673">
        <v>116</v>
      </c>
      <c r="AG19" s="673">
        <v>103</v>
      </c>
      <c r="AH19" s="673">
        <v>0</v>
      </c>
      <c r="AJ19" s="664"/>
    </row>
    <row r="20" spans="1:36">
      <c r="B20" s="658" t="s">
        <v>348</v>
      </c>
      <c r="C20" s="984" t="s">
        <v>349</v>
      </c>
      <c r="D20" s="985"/>
      <c r="E20" s="690">
        <f t="shared" si="7"/>
        <v>0.19851956436300106</v>
      </c>
      <c r="F20" s="683">
        <f t="shared" si="9"/>
        <v>710.52666666666676</v>
      </c>
      <c r="G20" s="675">
        <f t="shared" si="10"/>
        <v>1114</v>
      </c>
      <c r="H20" s="675">
        <f t="shared" si="11"/>
        <v>741.33333333333337</v>
      </c>
      <c r="I20" s="675">
        <f t="shared" si="12"/>
        <v>753</v>
      </c>
      <c r="J20" s="675">
        <f t="shared" si="13"/>
        <v>562.4</v>
      </c>
      <c r="K20" s="673">
        <v>1153</v>
      </c>
      <c r="L20" s="673">
        <v>1059</v>
      </c>
      <c r="M20" s="673">
        <v>1273</v>
      </c>
      <c r="N20" s="673">
        <v>1088</v>
      </c>
      <c r="O20" s="673">
        <v>1337</v>
      </c>
      <c r="P20" s="673">
        <v>774</v>
      </c>
      <c r="Q20" s="673">
        <v>813</v>
      </c>
      <c r="R20" s="673">
        <v>819</v>
      </c>
      <c r="S20" s="673">
        <v>602</v>
      </c>
      <c r="T20" s="673">
        <v>738</v>
      </c>
      <c r="U20" s="673">
        <v>746</v>
      </c>
      <c r="V20" s="673">
        <v>730</v>
      </c>
      <c r="W20" s="673">
        <v>1117</v>
      </c>
      <c r="X20" s="673">
        <v>672</v>
      </c>
      <c r="Y20" s="673">
        <v>640</v>
      </c>
      <c r="Z20" s="673">
        <v>430</v>
      </c>
      <c r="AA20" s="673">
        <v>656</v>
      </c>
      <c r="AB20" s="673">
        <v>1003</v>
      </c>
      <c r="AC20" s="673">
        <v>777</v>
      </c>
      <c r="AD20" s="673">
        <v>627</v>
      </c>
      <c r="AE20" s="673">
        <v>564</v>
      </c>
      <c r="AF20" s="673">
        <v>447</v>
      </c>
      <c r="AG20" s="673">
        <v>397</v>
      </c>
      <c r="AH20" s="673">
        <v>0</v>
      </c>
      <c r="AJ20" s="664"/>
    </row>
    <row r="21" spans="1:36">
      <c r="B21" s="658" t="s">
        <v>348</v>
      </c>
      <c r="C21" s="984" t="s">
        <v>334</v>
      </c>
      <c r="D21" s="985"/>
      <c r="E21" s="690">
        <f t="shared" si="7"/>
        <v>0.15945696249923166</v>
      </c>
      <c r="F21" s="683">
        <f t="shared" si="9"/>
        <v>570.7166666666667</v>
      </c>
      <c r="G21" s="675">
        <f t="shared" si="10"/>
        <v>723.16666666666663</v>
      </c>
      <c r="H21" s="675">
        <f t="shared" si="11"/>
        <v>643</v>
      </c>
      <c r="I21" s="675">
        <f t="shared" si="12"/>
        <v>502</v>
      </c>
      <c r="J21" s="675">
        <f t="shared" si="13"/>
        <v>548</v>
      </c>
      <c r="K21" s="673">
        <v>795</v>
      </c>
      <c r="L21" s="673">
        <v>637</v>
      </c>
      <c r="M21" s="673">
        <v>936</v>
      </c>
      <c r="N21" s="673">
        <v>753</v>
      </c>
      <c r="O21" s="673">
        <v>622</v>
      </c>
      <c r="P21" s="673">
        <v>596</v>
      </c>
      <c r="Q21" s="673">
        <v>667</v>
      </c>
      <c r="R21" s="673">
        <v>701</v>
      </c>
      <c r="S21" s="673">
        <v>470</v>
      </c>
      <c r="T21" s="673">
        <v>742</v>
      </c>
      <c r="U21" s="673">
        <v>726</v>
      </c>
      <c r="V21" s="673">
        <v>552</v>
      </c>
      <c r="W21" s="673">
        <v>586</v>
      </c>
      <c r="X21" s="673">
        <v>443</v>
      </c>
      <c r="Y21" s="673">
        <v>486</v>
      </c>
      <c r="Z21" s="673">
        <v>438</v>
      </c>
      <c r="AA21" s="673">
        <v>545</v>
      </c>
      <c r="AB21" s="673">
        <v>514</v>
      </c>
      <c r="AC21" s="673">
        <v>664</v>
      </c>
      <c r="AD21" s="673">
        <v>587</v>
      </c>
      <c r="AE21" s="673">
        <v>620</v>
      </c>
      <c r="AF21" s="673">
        <v>504</v>
      </c>
      <c r="AG21" s="673">
        <v>365</v>
      </c>
      <c r="AH21" s="673">
        <v>0</v>
      </c>
      <c r="AJ21" s="664"/>
    </row>
    <row r="22" spans="1:36">
      <c r="B22" s="658" t="s">
        <v>350</v>
      </c>
      <c r="C22" s="984" t="s">
        <v>351</v>
      </c>
      <c r="D22" s="985"/>
      <c r="E22" s="690">
        <f t="shared" si="7"/>
        <v>0.11415168318528357</v>
      </c>
      <c r="F22" s="683">
        <f t="shared" si="9"/>
        <v>408.56333333333333</v>
      </c>
      <c r="G22" s="675">
        <f t="shared" si="10"/>
        <v>564.66666666666663</v>
      </c>
      <c r="H22" s="675">
        <f t="shared" si="11"/>
        <v>577.83333333333337</v>
      </c>
      <c r="I22" s="675">
        <f t="shared" si="12"/>
        <v>394.83333333333331</v>
      </c>
      <c r="J22" s="675">
        <f t="shared" si="13"/>
        <v>295.2</v>
      </c>
      <c r="K22" s="673">
        <v>730</v>
      </c>
      <c r="L22" s="673">
        <v>575</v>
      </c>
      <c r="M22" s="673">
        <v>536</v>
      </c>
      <c r="N22" s="673">
        <v>509</v>
      </c>
      <c r="O22" s="673">
        <v>582</v>
      </c>
      <c r="P22" s="673">
        <v>456</v>
      </c>
      <c r="Q22" s="673">
        <v>521</v>
      </c>
      <c r="R22" s="673">
        <v>644</v>
      </c>
      <c r="S22" s="673">
        <v>420</v>
      </c>
      <c r="T22" s="673">
        <v>546</v>
      </c>
      <c r="U22" s="673">
        <v>650</v>
      </c>
      <c r="V22" s="673">
        <v>686</v>
      </c>
      <c r="W22" s="673">
        <v>553</v>
      </c>
      <c r="X22" s="673">
        <v>429</v>
      </c>
      <c r="Y22" s="673">
        <v>426</v>
      </c>
      <c r="Z22" s="673">
        <v>321</v>
      </c>
      <c r="AA22" s="673">
        <v>343</v>
      </c>
      <c r="AB22" s="673">
        <v>297</v>
      </c>
      <c r="AC22" s="673">
        <v>292</v>
      </c>
      <c r="AD22" s="673">
        <v>301</v>
      </c>
      <c r="AE22" s="673">
        <v>272</v>
      </c>
      <c r="AF22" s="673">
        <v>278</v>
      </c>
      <c r="AG22" s="673">
        <v>333</v>
      </c>
      <c r="AH22" s="673">
        <v>0</v>
      </c>
      <c r="AJ22" s="664"/>
    </row>
    <row r="23" spans="1:36">
      <c r="B23" s="658" t="s">
        <v>350</v>
      </c>
      <c r="C23" s="984" t="s">
        <v>352</v>
      </c>
      <c r="D23" s="985"/>
      <c r="E23" s="690">
        <f t="shared" si="7"/>
        <v>0.10520164136875103</v>
      </c>
      <c r="F23" s="683">
        <f t="shared" si="9"/>
        <v>376.53</v>
      </c>
      <c r="G23" s="675">
        <f t="shared" si="10"/>
        <v>625.5</v>
      </c>
      <c r="H23" s="675">
        <f t="shared" si="11"/>
        <v>491</v>
      </c>
      <c r="I23" s="675">
        <f t="shared" si="12"/>
        <v>369.66666666666669</v>
      </c>
      <c r="J23" s="675">
        <f t="shared" si="13"/>
        <v>262.2</v>
      </c>
      <c r="K23" s="673">
        <v>840</v>
      </c>
      <c r="L23" s="673">
        <v>546</v>
      </c>
      <c r="M23" s="673">
        <v>660</v>
      </c>
      <c r="N23" s="673">
        <v>680</v>
      </c>
      <c r="O23" s="673">
        <v>553</v>
      </c>
      <c r="P23" s="673">
        <v>474</v>
      </c>
      <c r="Q23" s="673">
        <v>535</v>
      </c>
      <c r="R23" s="673">
        <v>668</v>
      </c>
      <c r="S23" s="673">
        <v>453</v>
      </c>
      <c r="T23" s="673">
        <v>427</v>
      </c>
      <c r="U23" s="673">
        <v>436</v>
      </c>
      <c r="V23" s="673">
        <v>427</v>
      </c>
      <c r="W23" s="673">
        <v>464</v>
      </c>
      <c r="X23" s="673">
        <v>383</v>
      </c>
      <c r="Y23" s="673">
        <v>356</v>
      </c>
      <c r="Z23" s="673">
        <v>325</v>
      </c>
      <c r="AA23" s="673">
        <v>330</v>
      </c>
      <c r="AB23" s="673">
        <v>360</v>
      </c>
      <c r="AC23" s="673">
        <v>262</v>
      </c>
      <c r="AD23" s="673">
        <v>294</v>
      </c>
      <c r="AE23" s="673">
        <v>276</v>
      </c>
      <c r="AF23" s="673">
        <v>182</v>
      </c>
      <c r="AG23" s="673">
        <v>297</v>
      </c>
      <c r="AH23" s="673">
        <v>0</v>
      </c>
      <c r="AJ23" s="664"/>
    </row>
    <row r="24" spans="1:36">
      <c r="B24" s="658" t="s">
        <v>353</v>
      </c>
      <c r="C24" s="984" t="s">
        <v>354</v>
      </c>
      <c r="D24" s="985"/>
      <c r="E24" s="690">
        <f t="shared" si="7"/>
        <v>0.12261929819006127</v>
      </c>
      <c r="F24" s="683">
        <f t="shared" si="9"/>
        <v>438.87</v>
      </c>
      <c r="G24" s="675">
        <f t="shared" si="10"/>
        <v>705.83333333333337</v>
      </c>
      <c r="H24" s="675">
        <f t="shared" si="11"/>
        <v>563.83333333333337</v>
      </c>
      <c r="I24" s="675">
        <f t="shared" si="12"/>
        <v>414.66666666666669</v>
      </c>
      <c r="J24" s="675">
        <f t="shared" si="13"/>
        <v>327.8</v>
      </c>
      <c r="K24" s="673">
        <v>769</v>
      </c>
      <c r="L24" s="673">
        <v>613</v>
      </c>
      <c r="M24" s="673">
        <v>795</v>
      </c>
      <c r="N24" s="673">
        <v>707</v>
      </c>
      <c r="O24" s="673">
        <v>658</v>
      </c>
      <c r="P24" s="673">
        <v>693</v>
      </c>
      <c r="Q24" s="673">
        <v>595</v>
      </c>
      <c r="R24" s="673">
        <v>641</v>
      </c>
      <c r="S24" s="673">
        <v>491</v>
      </c>
      <c r="T24" s="673">
        <v>582</v>
      </c>
      <c r="U24" s="673">
        <v>510</v>
      </c>
      <c r="V24" s="673">
        <v>564</v>
      </c>
      <c r="W24" s="673">
        <v>444</v>
      </c>
      <c r="X24" s="673">
        <v>396</v>
      </c>
      <c r="Y24" s="673">
        <v>480</v>
      </c>
      <c r="Z24" s="673">
        <v>441</v>
      </c>
      <c r="AA24" s="673">
        <v>384</v>
      </c>
      <c r="AB24" s="673">
        <v>343</v>
      </c>
      <c r="AC24" s="673">
        <v>296</v>
      </c>
      <c r="AD24" s="673">
        <v>380</v>
      </c>
      <c r="AE24" s="673">
        <v>359</v>
      </c>
      <c r="AF24" s="673">
        <v>301</v>
      </c>
      <c r="AG24" s="673">
        <v>303</v>
      </c>
      <c r="AH24" s="673">
        <v>0</v>
      </c>
      <c r="AJ24" s="664"/>
    </row>
    <row r="25" spans="1:36">
      <c r="C25" s="984" t="s">
        <v>355</v>
      </c>
      <c r="D25" s="985"/>
      <c r="E25" s="690">
        <f t="shared" si="7"/>
        <v>9.3808731739027582E-2</v>
      </c>
      <c r="F25" s="683">
        <f t="shared" si="9"/>
        <v>335.75333333333333</v>
      </c>
      <c r="G25" s="675">
        <f t="shared" si="10"/>
        <v>481.33333333333331</v>
      </c>
      <c r="H25" s="675">
        <f t="shared" si="11"/>
        <v>407</v>
      </c>
      <c r="I25" s="675">
        <f t="shared" si="12"/>
        <v>345</v>
      </c>
      <c r="J25" s="675">
        <f t="shared" si="13"/>
        <v>256.8</v>
      </c>
      <c r="K25" s="676">
        <v>579</v>
      </c>
      <c r="L25" s="676">
        <v>409</v>
      </c>
      <c r="M25" s="676">
        <v>557</v>
      </c>
      <c r="N25" s="676">
        <v>528</v>
      </c>
      <c r="O25" s="676">
        <v>474</v>
      </c>
      <c r="P25" s="676">
        <v>341</v>
      </c>
      <c r="Q25" s="676">
        <v>419</v>
      </c>
      <c r="R25" s="676">
        <v>422</v>
      </c>
      <c r="S25" s="676">
        <v>324</v>
      </c>
      <c r="T25" s="676">
        <v>370</v>
      </c>
      <c r="U25" s="676">
        <v>354</v>
      </c>
      <c r="V25" s="676">
        <v>553</v>
      </c>
      <c r="W25" s="676">
        <v>365</v>
      </c>
      <c r="X25" s="676">
        <v>462</v>
      </c>
      <c r="Y25" s="676">
        <v>329</v>
      </c>
      <c r="Z25" s="676">
        <v>277</v>
      </c>
      <c r="AA25" s="676">
        <v>282</v>
      </c>
      <c r="AB25" s="676">
        <v>355</v>
      </c>
      <c r="AC25" s="676">
        <v>267</v>
      </c>
      <c r="AD25" s="676">
        <v>290</v>
      </c>
      <c r="AE25" s="676">
        <v>323</v>
      </c>
      <c r="AF25" s="676">
        <v>235</v>
      </c>
      <c r="AG25" s="676">
        <v>169</v>
      </c>
      <c r="AH25" s="676">
        <v>0</v>
      </c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3579.1266666666666</v>
      </c>
      <c r="G30" s="678">
        <f>SUM(G31:G86)</f>
        <v>5370</v>
      </c>
      <c r="H30" s="678">
        <f t="shared" ref="H30:J30" si="14">SUM(H31:H86)</f>
        <v>4446.8333333333339</v>
      </c>
      <c r="I30" s="678">
        <f t="shared" si="14"/>
        <v>3460.666666666667</v>
      </c>
      <c r="J30" s="678">
        <f t="shared" si="14"/>
        <v>2786.4000000000005</v>
      </c>
      <c r="K30" s="671">
        <v>6173</v>
      </c>
      <c r="L30" s="671">
        <v>4699</v>
      </c>
      <c r="M30" s="671">
        <v>5939</v>
      </c>
      <c r="N30" s="671">
        <v>5625</v>
      </c>
      <c r="O30" s="671">
        <v>5441</v>
      </c>
      <c r="P30" s="671">
        <v>4343</v>
      </c>
      <c r="Q30" s="671">
        <v>4639</v>
      </c>
      <c r="R30" s="671">
        <v>5032</v>
      </c>
      <c r="S30" s="671">
        <v>3672</v>
      </c>
      <c r="T30" s="671">
        <v>4490</v>
      </c>
      <c r="U30" s="671">
        <v>4367</v>
      </c>
      <c r="V30" s="671">
        <v>4481</v>
      </c>
      <c r="W30" s="671">
        <v>4274</v>
      </c>
      <c r="X30" s="671">
        <v>3492</v>
      </c>
      <c r="Y30" s="671">
        <v>3324</v>
      </c>
      <c r="Z30" s="671">
        <v>2750</v>
      </c>
      <c r="AA30" s="671">
        <v>3391</v>
      </c>
      <c r="AB30" s="671">
        <v>3533</v>
      </c>
      <c r="AC30" s="671">
        <v>3146</v>
      </c>
      <c r="AD30" s="671">
        <v>3110</v>
      </c>
      <c r="AE30" s="671">
        <v>3038</v>
      </c>
      <c r="AF30" s="671">
        <v>2356</v>
      </c>
      <c r="AG30" s="671">
        <v>2282</v>
      </c>
      <c r="AH30" s="671"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9.2189801521117373E-2</v>
      </c>
      <c r="F31" s="680">
        <f>G31*10%+H31*20%+I31*30%+J31*40%</f>
        <v>53.616666666666667</v>
      </c>
      <c r="G31" s="680">
        <f>AVERAGE(K31:P31)</f>
        <v>103.83333333333333</v>
      </c>
      <c r="H31" s="679">
        <f>AVERAGE(Q31:V31)</f>
        <v>64.666666666666671</v>
      </c>
      <c r="I31" s="679">
        <f>AVERAGE(W31:AB31)</f>
        <v>53</v>
      </c>
      <c r="J31" s="679">
        <f>AVERAGE(AC31:AG31)</f>
        <v>36</v>
      </c>
      <c r="K31" s="673">
        <v>160</v>
      </c>
      <c r="L31" s="673">
        <v>64</v>
      </c>
      <c r="M31" s="673">
        <v>96</v>
      </c>
      <c r="N31" s="673">
        <v>103</v>
      </c>
      <c r="O31" s="673">
        <v>102</v>
      </c>
      <c r="P31" s="673">
        <v>98</v>
      </c>
      <c r="Q31" s="673">
        <v>45</v>
      </c>
      <c r="R31" s="673">
        <v>74</v>
      </c>
      <c r="S31" s="673">
        <v>64</v>
      </c>
      <c r="T31" s="673">
        <v>62</v>
      </c>
      <c r="U31" s="673">
        <v>64</v>
      </c>
      <c r="V31" s="665">
        <v>79</v>
      </c>
      <c r="W31" s="665">
        <v>62</v>
      </c>
      <c r="X31" s="665">
        <v>55</v>
      </c>
      <c r="Y31" s="665">
        <v>30</v>
      </c>
      <c r="Z31" s="665">
        <v>29</v>
      </c>
      <c r="AA31" s="665">
        <v>85</v>
      </c>
      <c r="AB31" s="665">
        <v>57</v>
      </c>
      <c r="AC31" s="665">
        <v>42</v>
      </c>
      <c r="AD31" s="665">
        <v>35</v>
      </c>
      <c r="AE31" s="665">
        <v>54</v>
      </c>
      <c r="AF31" s="665">
        <v>16</v>
      </c>
      <c r="AG31" s="665">
        <v>33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15">F32/VLOOKUP($B32,$C$18:$F$25,4,0)</f>
        <v>5.0063905271181861E-2</v>
      </c>
      <c r="F32" s="680">
        <f t="shared" ref="F32:F86" si="16">G32*10%+H32*20%+I32*30%+J32*40%</f>
        <v>29.116666666666667</v>
      </c>
      <c r="G32" s="680">
        <f t="shared" ref="G32:G86" si="17">AVERAGE(K32:P32)</f>
        <v>48.666666666666664</v>
      </c>
      <c r="H32" s="679">
        <f t="shared" ref="H32:H86" si="18">AVERAGE(Q32:V32)</f>
        <v>29</v>
      </c>
      <c r="I32" s="679">
        <f t="shared" ref="I32:I86" si="19">AVERAGE(W32:AB32)</f>
        <v>30.833333333333332</v>
      </c>
      <c r="J32" s="679">
        <f t="shared" ref="J32:J86" si="20">AVERAGE(AC32:AG32)</f>
        <v>23</v>
      </c>
      <c r="K32" s="673">
        <v>37</v>
      </c>
      <c r="L32" s="673">
        <v>50</v>
      </c>
      <c r="M32" s="673">
        <v>59</v>
      </c>
      <c r="N32" s="673">
        <v>56</v>
      </c>
      <c r="O32" s="673">
        <v>50</v>
      </c>
      <c r="P32" s="673">
        <v>40</v>
      </c>
      <c r="Q32" s="673">
        <v>39</v>
      </c>
      <c r="R32" s="673">
        <v>55</v>
      </c>
      <c r="S32" s="673">
        <v>8</v>
      </c>
      <c r="T32" s="673">
        <v>33</v>
      </c>
      <c r="U32" s="673">
        <v>17</v>
      </c>
      <c r="V32" s="665">
        <v>22</v>
      </c>
      <c r="W32" s="665">
        <v>31</v>
      </c>
      <c r="X32" s="665">
        <v>26</v>
      </c>
      <c r="Y32" s="665">
        <v>47</v>
      </c>
      <c r="Z32" s="665">
        <v>29</v>
      </c>
      <c r="AA32" s="665">
        <v>24</v>
      </c>
      <c r="AB32" s="665">
        <v>28</v>
      </c>
      <c r="AC32" s="665">
        <v>19</v>
      </c>
      <c r="AD32" s="665">
        <v>27</v>
      </c>
      <c r="AE32" s="665">
        <v>34</v>
      </c>
      <c r="AF32" s="665">
        <v>25</v>
      </c>
      <c r="AG32" s="665">
        <v>10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15"/>
        <v>0.14527416221049189</v>
      </c>
      <c r="F33" s="680">
        <f t="shared" si="16"/>
        <v>84.49</v>
      </c>
      <c r="G33" s="680">
        <f t="shared" si="17"/>
        <v>135.66666666666666</v>
      </c>
      <c r="H33" s="679">
        <f t="shared" si="18"/>
        <v>131.66666666666666</v>
      </c>
      <c r="I33" s="679">
        <f t="shared" si="19"/>
        <v>71.833333333333329</v>
      </c>
      <c r="J33" s="679">
        <f t="shared" si="20"/>
        <v>57.6</v>
      </c>
      <c r="K33" s="673">
        <v>127</v>
      </c>
      <c r="L33" s="673">
        <v>73</v>
      </c>
      <c r="M33" s="673">
        <v>134</v>
      </c>
      <c r="N33" s="673">
        <v>182</v>
      </c>
      <c r="O33" s="673">
        <v>165</v>
      </c>
      <c r="P33" s="673">
        <v>133</v>
      </c>
      <c r="Q33" s="673">
        <v>124</v>
      </c>
      <c r="R33" s="673">
        <v>172</v>
      </c>
      <c r="S33" s="673">
        <v>131</v>
      </c>
      <c r="T33" s="673">
        <v>159</v>
      </c>
      <c r="U33" s="673">
        <v>115</v>
      </c>
      <c r="V33" s="665">
        <v>89</v>
      </c>
      <c r="W33" s="665">
        <v>67</v>
      </c>
      <c r="X33" s="665">
        <v>65</v>
      </c>
      <c r="Y33" s="665">
        <v>66</v>
      </c>
      <c r="Z33" s="665">
        <v>49</v>
      </c>
      <c r="AA33" s="665">
        <v>109</v>
      </c>
      <c r="AB33" s="665">
        <v>75</v>
      </c>
      <c r="AC33" s="665">
        <v>77</v>
      </c>
      <c r="AD33" s="665">
        <v>63</v>
      </c>
      <c r="AE33" s="665">
        <v>59</v>
      </c>
      <c r="AF33" s="665">
        <v>39</v>
      </c>
      <c r="AG33" s="665">
        <v>50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15"/>
        <v>0.12766152558789981</v>
      </c>
      <c r="F34" s="680">
        <f t="shared" si="16"/>
        <v>74.24666666666667</v>
      </c>
      <c r="G34" s="680">
        <f t="shared" si="17"/>
        <v>175</v>
      </c>
      <c r="H34" s="679">
        <f t="shared" si="18"/>
        <v>119.83333333333333</v>
      </c>
      <c r="I34" s="679">
        <f t="shared" si="19"/>
        <v>66.333333333333329</v>
      </c>
      <c r="J34" s="679">
        <f t="shared" si="20"/>
        <v>32.200000000000003</v>
      </c>
      <c r="K34" s="673">
        <v>144</v>
      </c>
      <c r="L34" s="673">
        <v>107</v>
      </c>
      <c r="M34" s="673">
        <v>189</v>
      </c>
      <c r="N34" s="673">
        <v>188</v>
      </c>
      <c r="O34" s="673">
        <v>221</v>
      </c>
      <c r="P34" s="673">
        <v>201</v>
      </c>
      <c r="Q34" s="673">
        <v>153</v>
      </c>
      <c r="R34" s="673">
        <v>141</v>
      </c>
      <c r="S34" s="673">
        <v>117</v>
      </c>
      <c r="T34" s="673">
        <v>104</v>
      </c>
      <c r="U34" s="673">
        <v>101</v>
      </c>
      <c r="V34" s="665">
        <v>103</v>
      </c>
      <c r="W34" s="665">
        <v>76</v>
      </c>
      <c r="X34" s="665">
        <v>78</v>
      </c>
      <c r="Y34" s="665">
        <v>51</v>
      </c>
      <c r="Z34" s="665">
        <v>64</v>
      </c>
      <c r="AA34" s="665">
        <v>74</v>
      </c>
      <c r="AB34" s="665">
        <v>55</v>
      </c>
      <c r="AC34" s="665">
        <v>34</v>
      </c>
      <c r="AD34" s="665">
        <v>47</v>
      </c>
      <c r="AE34" s="665">
        <v>34</v>
      </c>
      <c r="AF34" s="665">
        <v>26</v>
      </c>
      <c r="AG34" s="665">
        <v>20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15"/>
        <v>0.25442321910624316</v>
      </c>
      <c r="F35" s="680">
        <f t="shared" si="16"/>
        <v>147.97</v>
      </c>
      <c r="G35" s="680">
        <f t="shared" si="17"/>
        <v>218.33333333333334</v>
      </c>
      <c r="H35" s="679">
        <f t="shared" si="18"/>
        <v>240.33333333333334</v>
      </c>
      <c r="I35" s="679">
        <f t="shared" si="19"/>
        <v>124.5</v>
      </c>
      <c r="J35" s="679">
        <f t="shared" si="20"/>
        <v>101.8</v>
      </c>
      <c r="K35" s="673">
        <v>289</v>
      </c>
      <c r="L35" s="673">
        <v>179</v>
      </c>
      <c r="M35" s="673">
        <v>218</v>
      </c>
      <c r="N35" s="673">
        <v>201</v>
      </c>
      <c r="O35" s="673">
        <v>217</v>
      </c>
      <c r="P35" s="673">
        <v>206</v>
      </c>
      <c r="Q35" s="673">
        <v>296</v>
      </c>
      <c r="R35" s="673">
        <v>264</v>
      </c>
      <c r="S35" s="673">
        <v>173</v>
      </c>
      <c r="T35" s="673">
        <v>278</v>
      </c>
      <c r="U35" s="673">
        <v>220</v>
      </c>
      <c r="V35" s="665">
        <v>211</v>
      </c>
      <c r="W35" s="665">
        <v>143</v>
      </c>
      <c r="X35" s="665">
        <v>139</v>
      </c>
      <c r="Y35" s="665">
        <v>84</v>
      </c>
      <c r="Z35" s="665">
        <v>78</v>
      </c>
      <c r="AA35" s="665">
        <v>164</v>
      </c>
      <c r="AB35" s="665">
        <v>139</v>
      </c>
      <c r="AC35" s="665">
        <v>103</v>
      </c>
      <c r="AD35" s="665">
        <v>140</v>
      </c>
      <c r="AE35" s="665">
        <v>126</v>
      </c>
      <c r="AF35" s="665">
        <v>76</v>
      </c>
      <c r="AG35" s="665">
        <v>64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15"/>
        <v>8.9484573897992262E-2</v>
      </c>
      <c r="F36" s="680">
        <f t="shared" si="16"/>
        <v>52.043333333333329</v>
      </c>
      <c r="G36" s="680">
        <f t="shared" si="17"/>
        <v>58.666666666666664</v>
      </c>
      <c r="H36" s="679">
        <f t="shared" si="18"/>
        <v>66.333333333333329</v>
      </c>
      <c r="I36" s="679">
        <f t="shared" si="19"/>
        <v>57.166666666666664</v>
      </c>
      <c r="J36" s="679">
        <f t="shared" si="20"/>
        <v>39.4</v>
      </c>
      <c r="K36" s="673">
        <v>97</v>
      </c>
      <c r="L36" s="673">
        <v>32</v>
      </c>
      <c r="M36" s="673">
        <v>57</v>
      </c>
      <c r="N36" s="673">
        <v>89</v>
      </c>
      <c r="O36" s="673">
        <v>32</v>
      </c>
      <c r="P36" s="673">
        <v>45</v>
      </c>
      <c r="Q36" s="673">
        <v>95</v>
      </c>
      <c r="R36" s="673">
        <v>73</v>
      </c>
      <c r="S36" s="673">
        <v>57</v>
      </c>
      <c r="T36" s="673">
        <v>52</v>
      </c>
      <c r="U36" s="673">
        <v>58</v>
      </c>
      <c r="V36" s="665">
        <v>63</v>
      </c>
      <c r="W36" s="665">
        <v>60</v>
      </c>
      <c r="X36" s="665">
        <v>60</v>
      </c>
      <c r="Y36" s="665">
        <v>54</v>
      </c>
      <c r="Z36" s="665">
        <v>48</v>
      </c>
      <c r="AA36" s="665">
        <v>65</v>
      </c>
      <c r="AB36" s="665">
        <v>56</v>
      </c>
      <c r="AC36" s="665">
        <v>43</v>
      </c>
      <c r="AD36" s="665">
        <v>35</v>
      </c>
      <c r="AE36" s="665">
        <v>55</v>
      </c>
      <c r="AF36" s="665">
        <v>20</v>
      </c>
      <c r="AG36" s="665">
        <v>44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15"/>
        <v>9.8740808244066516E-2</v>
      </c>
      <c r="F37" s="680">
        <f t="shared" si="16"/>
        <v>57.426666666666662</v>
      </c>
      <c r="G37" s="680">
        <f t="shared" si="17"/>
        <v>77.166666666666671</v>
      </c>
      <c r="H37" s="679">
        <f t="shared" si="18"/>
        <v>78.5</v>
      </c>
      <c r="I37" s="679">
        <f t="shared" si="19"/>
        <v>52.833333333333336</v>
      </c>
      <c r="J37" s="679">
        <f t="shared" si="20"/>
        <v>45.4</v>
      </c>
      <c r="K37" s="673">
        <v>78</v>
      </c>
      <c r="L37" s="673">
        <v>54</v>
      </c>
      <c r="M37" s="673">
        <v>88</v>
      </c>
      <c r="N37" s="673">
        <v>90</v>
      </c>
      <c r="O37" s="673">
        <v>91</v>
      </c>
      <c r="P37" s="673">
        <v>62</v>
      </c>
      <c r="Q37" s="673">
        <v>85</v>
      </c>
      <c r="R37" s="673">
        <v>86</v>
      </c>
      <c r="S37" s="673">
        <v>53</v>
      </c>
      <c r="T37" s="673">
        <v>83</v>
      </c>
      <c r="U37" s="673">
        <v>68</v>
      </c>
      <c r="V37" s="665">
        <v>96</v>
      </c>
      <c r="W37" s="665">
        <v>57</v>
      </c>
      <c r="X37" s="665">
        <v>49</v>
      </c>
      <c r="Y37" s="665">
        <v>47</v>
      </c>
      <c r="Z37" s="665">
        <v>26</v>
      </c>
      <c r="AA37" s="665">
        <v>75</v>
      </c>
      <c r="AB37" s="665">
        <v>63</v>
      </c>
      <c r="AC37" s="665">
        <v>55</v>
      </c>
      <c r="AD37" s="665">
        <v>55</v>
      </c>
      <c r="AE37" s="665">
        <v>58</v>
      </c>
      <c r="AF37" s="665">
        <v>27</v>
      </c>
      <c r="AG37" s="665">
        <v>32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15"/>
        <v>0.14216200416100688</v>
      </c>
      <c r="F38" s="680">
        <f t="shared" si="16"/>
        <v>82.68</v>
      </c>
      <c r="G38" s="680">
        <f t="shared" si="17"/>
        <v>99.166666666666671</v>
      </c>
      <c r="H38" s="679">
        <f t="shared" si="18"/>
        <v>121.16666666666667</v>
      </c>
      <c r="I38" s="679">
        <f t="shared" si="19"/>
        <v>65.5</v>
      </c>
      <c r="J38" s="679">
        <f t="shared" si="20"/>
        <v>72.2</v>
      </c>
      <c r="K38" s="673">
        <v>120</v>
      </c>
      <c r="L38" s="673">
        <v>59</v>
      </c>
      <c r="M38" s="673">
        <v>126</v>
      </c>
      <c r="N38" s="673">
        <v>112</v>
      </c>
      <c r="O38" s="673">
        <v>104</v>
      </c>
      <c r="P38" s="673">
        <v>74</v>
      </c>
      <c r="Q38" s="673">
        <v>111</v>
      </c>
      <c r="R38" s="673">
        <v>121</v>
      </c>
      <c r="S38" s="673">
        <v>122</v>
      </c>
      <c r="T38" s="673">
        <v>103</v>
      </c>
      <c r="U38" s="673">
        <v>132</v>
      </c>
      <c r="V38" s="665">
        <v>138</v>
      </c>
      <c r="W38" s="665">
        <v>92</v>
      </c>
      <c r="X38" s="665">
        <v>61</v>
      </c>
      <c r="Y38" s="665">
        <v>49</v>
      </c>
      <c r="Z38" s="665">
        <v>52</v>
      </c>
      <c r="AA38" s="665">
        <v>77</v>
      </c>
      <c r="AB38" s="665">
        <v>62</v>
      </c>
      <c r="AC38" s="665">
        <v>70</v>
      </c>
      <c r="AD38" s="665">
        <v>100</v>
      </c>
      <c r="AE38" s="665">
        <v>65</v>
      </c>
      <c r="AF38" s="665">
        <v>64</v>
      </c>
      <c r="AG38" s="665">
        <v>62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15"/>
        <v>0.30102399250633344</v>
      </c>
      <c r="F39" s="680">
        <f t="shared" si="16"/>
        <v>47.13333333333334</v>
      </c>
      <c r="G39" s="680">
        <f t="shared" si="17"/>
        <v>76.666666666666671</v>
      </c>
      <c r="H39" s="679">
        <f t="shared" si="18"/>
        <v>43.833333333333336</v>
      </c>
      <c r="I39" s="679">
        <f t="shared" si="19"/>
        <v>46.333333333333336</v>
      </c>
      <c r="J39" s="679">
        <f t="shared" si="20"/>
        <v>42</v>
      </c>
      <c r="K39" s="673">
        <v>78</v>
      </c>
      <c r="L39" s="673">
        <v>67</v>
      </c>
      <c r="M39" s="673">
        <v>65</v>
      </c>
      <c r="N39" s="673">
        <v>113</v>
      </c>
      <c r="O39" s="673">
        <v>86</v>
      </c>
      <c r="P39" s="673">
        <v>51</v>
      </c>
      <c r="Q39" s="673">
        <v>47</v>
      </c>
      <c r="R39" s="673">
        <v>53</v>
      </c>
      <c r="S39" s="673">
        <v>49</v>
      </c>
      <c r="T39" s="673">
        <v>37</v>
      </c>
      <c r="U39" s="673">
        <v>31</v>
      </c>
      <c r="V39" s="665">
        <v>46</v>
      </c>
      <c r="W39" s="665">
        <v>23</v>
      </c>
      <c r="X39" s="665">
        <v>51</v>
      </c>
      <c r="Y39" s="665">
        <v>40</v>
      </c>
      <c r="Z39" s="665">
        <v>56</v>
      </c>
      <c r="AA39" s="665">
        <v>72</v>
      </c>
      <c r="AB39" s="665">
        <v>36</v>
      </c>
      <c r="AC39" s="665">
        <v>61</v>
      </c>
      <c r="AD39" s="665">
        <v>39</v>
      </c>
      <c r="AE39" s="665">
        <v>43</v>
      </c>
      <c r="AF39" s="665">
        <v>33</v>
      </c>
      <c r="AG39" s="665">
        <v>34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15"/>
        <v>0.2567006578247078</v>
      </c>
      <c r="F40" s="680">
        <f t="shared" si="16"/>
        <v>40.193333333333335</v>
      </c>
      <c r="G40" s="680">
        <f t="shared" si="17"/>
        <v>83</v>
      </c>
      <c r="H40" s="679">
        <f t="shared" si="18"/>
        <v>45.166666666666664</v>
      </c>
      <c r="I40" s="679">
        <f t="shared" si="19"/>
        <v>37</v>
      </c>
      <c r="J40" s="679">
        <f t="shared" si="20"/>
        <v>29.4</v>
      </c>
      <c r="K40" s="673">
        <v>76</v>
      </c>
      <c r="L40" s="673">
        <v>88</v>
      </c>
      <c r="M40" s="673">
        <v>77</v>
      </c>
      <c r="N40" s="673">
        <v>113</v>
      </c>
      <c r="O40" s="673">
        <v>97</v>
      </c>
      <c r="P40" s="673">
        <v>47</v>
      </c>
      <c r="Q40" s="673">
        <v>34</v>
      </c>
      <c r="R40" s="673">
        <v>38</v>
      </c>
      <c r="S40" s="673">
        <v>63</v>
      </c>
      <c r="T40" s="673">
        <v>43</v>
      </c>
      <c r="U40" s="673">
        <v>51</v>
      </c>
      <c r="V40" s="665">
        <v>42</v>
      </c>
      <c r="W40" s="665">
        <v>35</v>
      </c>
      <c r="X40" s="665">
        <v>37</v>
      </c>
      <c r="Y40" s="665">
        <v>40</v>
      </c>
      <c r="Z40" s="665">
        <v>33</v>
      </c>
      <c r="AA40" s="665">
        <v>39</v>
      </c>
      <c r="AB40" s="665">
        <v>38</v>
      </c>
      <c r="AC40" s="665">
        <v>22</v>
      </c>
      <c r="AD40" s="665">
        <v>41</v>
      </c>
      <c r="AE40" s="665">
        <v>31</v>
      </c>
      <c r="AF40" s="665">
        <v>26</v>
      </c>
      <c r="AG40" s="665">
        <v>27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15"/>
        <v>0.44227534966895871</v>
      </c>
      <c r="F41" s="680">
        <f t="shared" si="16"/>
        <v>69.25</v>
      </c>
      <c r="G41" s="680">
        <f t="shared" si="17"/>
        <v>79.333333333333329</v>
      </c>
      <c r="H41" s="679">
        <f t="shared" si="18"/>
        <v>82.333333333333329</v>
      </c>
      <c r="I41" s="679">
        <f t="shared" si="19"/>
        <v>76.166666666666671</v>
      </c>
      <c r="J41" s="679">
        <f t="shared" si="20"/>
        <v>55</v>
      </c>
      <c r="K41" s="673">
        <v>101</v>
      </c>
      <c r="L41" s="673">
        <v>87</v>
      </c>
      <c r="M41" s="673">
        <v>73</v>
      </c>
      <c r="N41" s="673">
        <v>113</v>
      </c>
      <c r="O41" s="673">
        <v>50</v>
      </c>
      <c r="P41" s="673">
        <v>52</v>
      </c>
      <c r="Q41" s="673">
        <v>60</v>
      </c>
      <c r="R41" s="673">
        <v>60</v>
      </c>
      <c r="S41" s="673">
        <v>75</v>
      </c>
      <c r="T41" s="673">
        <v>131</v>
      </c>
      <c r="U41" s="673">
        <v>88</v>
      </c>
      <c r="V41" s="665">
        <v>80</v>
      </c>
      <c r="W41" s="665">
        <v>99</v>
      </c>
      <c r="X41" s="665">
        <v>86</v>
      </c>
      <c r="Y41" s="665">
        <v>99</v>
      </c>
      <c r="Z41" s="665">
        <v>54</v>
      </c>
      <c r="AA41" s="665">
        <v>67</v>
      </c>
      <c r="AB41" s="665">
        <v>52</v>
      </c>
      <c r="AC41" s="665">
        <v>62</v>
      </c>
      <c r="AD41" s="665">
        <v>49</v>
      </c>
      <c r="AE41" s="665">
        <v>65</v>
      </c>
      <c r="AF41" s="665">
        <v>57</v>
      </c>
      <c r="AG41" s="665">
        <v>42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15"/>
        <v>0.17681250527777514</v>
      </c>
      <c r="F42" s="680">
        <f t="shared" si="16"/>
        <v>125.63</v>
      </c>
      <c r="G42" s="680">
        <f t="shared" si="17"/>
        <v>219.83333333333334</v>
      </c>
      <c r="H42" s="679">
        <f t="shared" si="18"/>
        <v>133.83333333333334</v>
      </c>
      <c r="I42" s="679">
        <f t="shared" si="19"/>
        <v>120</v>
      </c>
      <c r="J42" s="679">
        <f t="shared" si="20"/>
        <v>102.2</v>
      </c>
      <c r="K42" s="673">
        <v>164</v>
      </c>
      <c r="L42" s="673">
        <v>202</v>
      </c>
      <c r="M42" s="673">
        <v>272</v>
      </c>
      <c r="N42" s="673">
        <v>266</v>
      </c>
      <c r="O42" s="673">
        <v>243</v>
      </c>
      <c r="P42" s="673">
        <v>172</v>
      </c>
      <c r="Q42" s="673">
        <v>147</v>
      </c>
      <c r="R42" s="673">
        <v>155</v>
      </c>
      <c r="S42" s="673">
        <v>97</v>
      </c>
      <c r="T42" s="673">
        <v>120</v>
      </c>
      <c r="U42" s="673">
        <v>146</v>
      </c>
      <c r="V42" s="665">
        <v>138</v>
      </c>
      <c r="W42" s="665">
        <v>189</v>
      </c>
      <c r="X42" s="665">
        <v>120</v>
      </c>
      <c r="Y42" s="665">
        <v>117</v>
      </c>
      <c r="Z42" s="665">
        <v>66</v>
      </c>
      <c r="AA42" s="665">
        <v>95</v>
      </c>
      <c r="AB42" s="665">
        <v>133</v>
      </c>
      <c r="AC42" s="665">
        <v>120</v>
      </c>
      <c r="AD42" s="665">
        <v>112</v>
      </c>
      <c r="AE42" s="665">
        <v>102</v>
      </c>
      <c r="AF42" s="665">
        <v>94</v>
      </c>
      <c r="AG42" s="665">
        <v>83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15"/>
        <v>0.12365475375073887</v>
      </c>
      <c r="F43" s="680">
        <f t="shared" si="16"/>
        <v>87.86</v>
      </c>
      <c r="G43" s="680">
        <f t="shared" si="17"/>
        <v>126.16666666666667</v>
      </c>
      <c r="H43" s="679">
        <f t="shared" si="18"/>
        <v>124.16666666666667</v>
      </c>
      <c r="I43" s="679">
        <f t="shared" si="19"/>
        <v>83.5</v>
      </c>
      <c r="J43" s="679">
        <f t="shared" si="20"/>
        <v>63.4</v>
      </c>
      <c r="K43" s="673">
        <v>182</v>
      </c>
      <c r="L43" s="673">
        <v>82</v>
      </c>
      <c r="M43" s="673">
        <v>152</v>
      </c>
      <c r="N43" s="673">
        <v>93</v>
      </c>
      <c r="O43" s="673">
        <v>157</v>
      </c>
      <c r="P43" s="673">
        <v>91</v>
      </c>
      <c r="Q43" s="673">
        <v>163</v>
      </c>
      <c r="R43" s="673">
        <v>136</v>
      </c>
      <c r="S43" s="673">
        <v>125</v>
      </c>
      <c r="T43" s="673">
        <v>106</v>
      </c>
      <c r="U43" s="673">
        <v>100</v>
      </c>
      <c r="V43" s="665">
        <v>115</v>
      </c>
      <c r="W43" s="665">
        <v>113</v>
      </c>
      <c r="X43" s="665">
        <v>113</v>
      </c>
      <c r="Y43" s="665">
        <v>75</v>
      </c>
      <c r="Z43" s="665">
        <v>36</v>
      </c>
      <c r="AA43" s="665">
        <v>62</v>
      </c>
      <c r="AB43" s="665">
        <v>102</v>
      </c>
      <c r="AC43" s="665">
        <v>102</v>
      </c>
      <c r="AD43" s="665">
        <v>66</v>
      </c>
      <c r="AE43" s="665">
        <v>50</v>
      </c>
      <c r="AF43" s="665">
        <v>36</v>
      </c>
      <c r="AG43" s="665">
        <v>63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15"/>
        <v>0.17217275448259037</v>
      </c>
      <c r="F44" s="680">
        <f t="shared" si="16"/>
        <v>122.33333333333334</v>
      </c>
      <c r="G44" s="680">
        <f t="shared" si="17"/>
        <v>207.83333333333334</v>
      </c>
      <c r="H44" s="679">
        <f t="shared" si="18"/>
        <v>116.5</v>
      </c>
      <c r="I44" s="679">
        <f t="shared" si="19"/>
        <v>148.83333333333334</v>
      </c>
      <c r="J44" s="679">
        <f t="shared" si="20"/>
        <v>84</v>
      </c>
      <c r="K44" s="673">
        <v>191</v>
      </c>
      <c r="L44" s="673">
        <v>216</v>
      </c>
      <c r="M44" s="673">
        <v>281</v>
      </c>
      <c r="N44" s="673">
        <v>208</v>
      </c>
      <c r="O44" s="673">
        <v>223</v>
      </c>
      <c r="P44" s="673">
        <v>128</v>
      </c>
      <c r="Q44" s="673">
        <v>117</v>
      </c>
      <c r="R44" s="673">
        <v>110</v>
      </c>
      <c r="S44" s="673">
        <v>89</v>
      </c>
      <c r="T44" s="673">
        <v>129</v>
      </c>
      <c r="U44" s="673">
        <v>129</v>
      </c>
      <c r="V44" s="665">
        <v>125</v>
      </c>
      <c r="W44" s="665">
        <v>190</v>
      </c>
      <c r="X44" s="665">
        <v>101</v>
      </c>
      <c r="Y44" s="665">
        <v>137</v>
      </c>
      <c r="Z44" s="665">
        <v>93</v>
      </c>
      <c r="AA44" s="665">
        <v>162</v>
      </c>
      <c r="AB44" s="665">
        <v>210</v>
      </c>
      <c r="AC44" s="665">
        <v>131</v>
      </c>
      <c r="AD44" s="665">
        <v>102</v>
      </c>
      <c r="AE44" s="665">
        <v>63</v>
      </c>
      <c r="AF44" s="665">
        <v>62</v>
      </c>
      <c r="AG44" s="665">
        <v>62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15"/>
        <v>0.1083703168541645</v>
      </c>
      <c r="F45" s="680">
        <f t="shared" si="16"/>
        <v>77</v>
      </c>
      <c r="G45" s="680">
        <f t="shared" si="17"/>
        <v>83.833333333333329</v>
      </c>
      <c r="H45" s="679">
        <f t="shared" si="18"/>
        <v>88.333333333333329</v>
      </c>
      <c r="I45" s="679">
        <f t="shared" si="19"/>
        <v>81.833333333333329</v>
      </c>
      <c r="J45" s="679">
        <f t="shared" si="20"/>
        <v>66</v>
      </c>
      <c r="K45" s="673">
        <v>100</v>
      </c>
      <c r="L45" s="673">
        <v>61</v>
      </c>
      <c r="M45" s="673">
        <v>111</v>
      </c>
      <c r="N45" s="673">
        <v>48</v>
      </c>
      <c r="O45" s="673">
        <v>112</v>
      </c>
      <c r="P45" s="673">
        <v>71</v>
      </c>
      <c r="Q45" s="673">
        <v>101</v>
      </c>
      <c r="R45" s="673">
        <v>122</v>
      </c>
      <c r="S45" s="673">
        <v>71</v>
      </c>
      <c r="T45" s="673">
        <v>85</v>
      </c>
      <c r="U45" s="673">
        <v>83</v>
      </c>
      <c r="V45" s="665">
        <v>68</v>
      </c>
      <c r="W45" s="665">
        <v>112</v>
      </c>
      <c r="X45" s="665">
        <v>86</v>
      </c>
      <c r="Y45" s="665">
        <v>80</v>
      </c>
      <c r="Z45" s="665">
        <v>41</v>
      </c>
      <c r="AA45" s="665">
        <v>62</v>
      </c>
      <c r="AB45" s="665">
        <v>110</v>
      </c>
      <c r="AC45" s="665">
        <v>76</v>
      </c>
      <c r="AD45" s="665">
        <v>85</v>
      </c>
      <c r="AE45" s="665">
        <v>81</v>
      </c>
      <c r="AF45" s="665">
        <v>58</v>
      </c>
      <c r="AG45" s="665">
        <v>30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15"/>
        <v>0.11597500445678791</v>
      </c>
      <c r="F46" s="680">
        <f t="shared" si="16"/>
        <v>82.403333333333336</v>
      </c>
      <c r="G46" s="680">
        <f t="shared" si="17"/>
        <v>119.83333333333333</v>
      </c>
      <c r="H46" s="679">
        <f t="shared" si="18"/>
        <v>75.5</v>
      </c>
      <c r="I46" s="679">
        <f t="shared" si="19"/>
        <v>82</v>
      </c>
      <c r="J46" s="679">
        <f t="shared" si="20"/>
        <v>76.8</v>
      </c>
      <c r="K46" s="673">
        <v>108</v>
      </c>
      <c r="L46" s="673">
        <v>204</v>
      </c>
      <c r="M46" s="673">
        <v>118</v>
      </c>
      <c r="N46" s="673">
        <v>88</v>
      </c>
      <c r="O46" s="673">
        <v>118</v>
      </c>
      <c r="P46" s="673">
        <v>83</v>
      </c>
      <c r="Q46" s="673">
        <v>69</v>
      </c>
      <c r="R46" s="673">
        <v>88</v>
      </c>
      <c r="S46" s="673">
        <v>61</v>
      </c>
      <c r="T46" s="673">
        <v>80</v>
      </c>
      <c r="U46" s="673">
        <v>79</v>
      </c>
      <c r="V46" s="665">
        <v>76</v>
      </c>
      <c r="W46" s="665">
        <v>131</v>
      </c>
      <c r="X46" s="665">
        <v>56</v>
      </c>
      <c r="Y46" s="665">
        <v>59</v>
      </c>
      <c r="Z46" s="665">
        <v>65</v>
      </c>
      <c r="AA46" s="665">
        <v>53</v>
      </c>
      <c r="AB46" s="665">
        <v>128</v>
      </c>
      <c r="AC46" s="665">
        <v>100</v>
      </c>
      <c r="AD46" s="665">
        <v>74</v>
      </c>
      <c r="AE46" s="665">
        <v>84</v>
      </c>
      <c r="AF46" s="665">
        <v>81</v>
      </c>
      <c r="AG46" s="665">
        <v>45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15"/>
        <v>0.15942164966832115</v>
      </c>
      <c r="F47" s="680">
        <f t="shared" si="16"/>
        <v>113.27333333333334</v>
      </c>
      <c r="G47" s="680">
        <f t="shared" si="17"/>
        <v>226.5</v>
      </c>
      <c r="H47" s="679">
        <f t="shared" si="18"/>
        <v>125.16666666666667</v>
      </c>
      <c r="I47" s="679">
        <f t="shared" si="19"/>
        <v>105.83333333333333</v>
      </c>
      <c r="J47" s="679">
        <f t="shared" si="20"/>
        <v>84.6</v>
      </c>
      <c r="K47" s="673">
        <v>250</v>
      </c>
      <c r="L47" s="673">
        <v>161</v>
      </c>
      <c r="M47" s="673">
        <v>222</v>
      </c>
      <c r="N47" s="673">
        <v>271</v>
      </c>
      <c r="O47" s="673">
        <v>317</v>
      </c>
      <c r="P47" s="673">
        <v>138</v>
      </c>
      <c r="Q47" s="673">
        <v>134</v>
      </c>
      <c r="R47" s="673">
        <v>142</v>
      </c>
      <c r="S47" s="673">
        <v>86</v>
      </c>
      <c r="T47" s="673">
        <v>138</v>
      </c>
      <c r="U47" s="673">
        <v>126</v>
      </c>
      <c r="V47" s="665">
        <v>125</v>
      </c>
      <c r="W47" s="665">
        <v>172</v>
      </c>
      <c r="X47" s="665">
        <v>90</v>
      </c>
      <c r="Y47" s="665">
        <v>99</v>
      </c>
      <c r="Z47" s="665">
        <v>65</v>
      </c>
      <c r="AA47" s="665">
        <v>74</v>
      </c>
      <c r="AB47" s="665">
        <v>135</v>
      </c>
      <c r="AC47" s="665">
        <v>122</v>
      </c>
      <c r="AD47" s="665">
        <v>99</v>
      </c>
      <c r="AE47" s="665">
        <v>81</v>
      </c>
      <c r="AF47" s="665">
        <v>59</v>
      </c>
      <c r="AG47" s="665">
        <v>62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15"/>
        <v>8.1957984218279392E-2</v>
      </c>
      <c r="F48" s="680">
        <f t="shared" si="16"/>
        <v>58.233333333333334</v>
      </c>
      <c r="G48" s="680">
        <f t="shared" si="17"/>
        <v>83.5</v>
      </c>
      <c r="H48" s="679">
        <f t="shared" si="18"/>
        <v>43.166666666666664</v>
      </c>
      <c r="I48" s="679">
        <f t="shared" si="19"/>
        <v>64.166666666666671</v>
      </c>
      <c r="J48" s="679">
        <f t="shared" si="20"/>
        <v>55</v>
      </c>
      <c r="K48" s="673">
        <v>130</v>
      </c>
      <c r="L48" s="673">
        <v>65</v>
      </c>
      <c r="M48" s="673">
        <v>73</v>
      </c>
      <c r="N48" s="673">
        <v>61</v>
      </c>
      <c r="O48" s="673">
        <v>102</v>
      </c>
      <c r="P48" s="673">
        <v>70</v>
      </c>
      <c r="Q48" s="673">
        <v>51</v>
      </c>
      <c r="R48" s="673">
        <v>45</v>
      </c>
      <c r="S48" s="673">
        <v>47</v>
      </c>
      <c r="T48" s="673">
        <v>47</v>
      </c>
      <c r="U48" s="673">
        <v>36</v>
      </c>
      <c r="V48" s="665">
        <v>33</v>
      </c>
      <c r="W48" s="665">
        <v>95</v>
      </c>
      <c r="X48" s="665">
        <v>30</v>
      </c>
      <c r="Y48" s="665">
        <v>45</v>
      </c>
      <c r="Z48" s="665">
        <v>40</v>
      </c>
      <c r="AA48" s="665">
        <v>60</v>
      </c>
      <c r="AB48" s="665">
        <v>115</v>
      </c>
      <c r="AC48" s="665">
        <v>57</v>
      </c>
      <c r="AD48" s="665">
        <v>59</v>
      </c>
      <c r="AE48" s="665">
        <v>84</v>
      </c>
      <c r="AF48" s="665">
        <v>36</v>
      </c>
      <c r="AG48" s="665">
        <v>39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15"/>
        <v>6.1635031291342568E-2</v>
      </c>
      <c r="F49" s="680">
        <f t="shared" si="16"/>
        <v>43.793333333333337</v>
      </c>
      <c r="G49" s="680">
        <f t="shared" si="17"/>
        <v>46.5</v>
      </c>
      <c r="H49" s="679">
        <f t="shared" si="18"/>
        <v>34.666666666666664</v>
      </c>
      <c r="I49" s="679">
        <f t="shared" si="19"/>
        <v>66.833333333333329</v>
      </c>
      <c r="J49" s="679">
        <f t="shared" si="20"/>
        <v>30.4</v>
      </c>
      <c r="K49" s="673">
        <v>28</v>
      </c>
      <c r="L49" s="673">
        <v>68</v>
      </c>
      <c r="M49" s="673">
        <v>44</v>
      </c>
      <c r="N49" s="673">
        <v>53</v>
      </c>
      <c r="O49" s="673">
        <v>65</v>
      </c>
      <c r="P49" s="673">
        <v>21</v>
      </c>
      <c r="Q49" s="673">
        <v>31</v>
      </c>
      <c r="R49" s="673">
        <v>21</v>
      </c>
      <c r="S49" s="673">
        <v>26</v>
      </c>
      <c r="T49" s="673">
        <v>33</v>
      </c>
      <c r="U49" s="673">
        <v>47</v>
      </c>
      <c r="V49" s="665">
        <v>50</v>
      </c>
      <c r="W49" s="665">
        <v>115</v>
      </c>
      <c r="X49" s="665">
        <v>76</v>
      </c>
      <c r="Y49" s="665">
        <v>28</v>
      </c>
      <c r="Z49" s="665">
        <v>24</v>
      </c>
      <c r="AA49" s="665">
        <v>88</v>
      </c>
      <c r="AB49" s="665">
        <v>70</v>
      </c>
      <c r="AC49" s="665">
        <v>69</v>
      </c>
      <c r="AD49" s="665">
        <v>30</v>
      </c>
      <c r="AE49" s="665">
        <v>19</v>
      </c>
      <c r="AF49" s="665">
        <v>21</v>
      </c>
      <c r="AG49" s="665">
        <v>13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15"/>
        <v>0.10117688286657127</v>
      </c>
      <c r="F50" s="680">
        <f t="shared" si="16"/>
        <v>57.743333333333339</v>
      </c>
      <c r="G50" s="680">
        <f t="shared" si="17"/>
        <v>76.5</v>
      </c>
      <c r="H50" s="679">
        <f t="shared" si="18"/>
        <v>56.666666666666664</v>
      </c>
      <c r="I50" s="679">
        <f t="shared" si="19"/>
        <v>43.333333333333336</v>
      </c>
      <c r="J50" s="679">
        <f t="shared" si="20"/>
        <v>64.400000000000006</v>
      </c>
      <c r="K50" s="673">
        <v>124</v>
      </c>
      <c r="L50" s="673">
        <v>98</v>
      </c>
      <c r="M50" s="673">
        <v>91</v>
      </c>
      <c r="N50" s="673">
        <v>70</v>
      </c>
      <c r="O50" s="673">
        <v>48</v>
      </c>
      <c r="P50" s="673">
        <v>28</v>
      </c>
      <c r="Q50" s="673">
        <v>42</v>
      </c>
      <c r="R50" s="673">
        <v>54</v>
      </c>
      <c r="S50" s="673">
        <v>45</v>
      </c>
      <c r="T50" s="673">
        <v>59</v>
      </c>
      <c r="U50" s="673">
        <v>79</v>
      </c>
      <c r="V50" s="665">
        <v>61</v>
      </c>
      <c r="W50" s="665">
        <v>42</v>
      </c>
      <c r="X50" s="665">
        <v>31</v>
      </c>
      <c r="Y50" s="665">
        <v>51</v>
      </c>
      <c r="Z50" s="665">
        <v>48</v>
      </c>
      <c r="AA50" s="665">
        <v>39</v>
      </c>
      <c r="AB50" s="665">
        <v>49</v>
      </c>
      <c r="AC50" s="665">
        <v>75</v>
      </c>
      <c r="AD50" s="665">
        <v>59</v>
      </c>
      <c r="AE50" s="665">
        <v>72</v>
      </c>
      <c r="AF50" s="665">
        <v>90</v>
      </c>
      <c r="AG50" s="665">
        <v>26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15"/>
        <v>0.13352217971556229</v>
      </c>
      <c r="F51" s="680">
        <f t="shared" si="16"/>
        <v>76.203333333333333</v>
      </c>
      <c r="G51" s="680">
        <f t="shared" si="17"/>
        <v>78.333333333333329</v>
      </c>
      <c r="H51" s="679">
        <f t="shared" si="18"/>
        <v>53.5</v>
      </c>
      <c r="I51" s="679">
        <f t="shared" si="19"/>
        <v>85.833333333333329</v>
      </c>
      <c r="J51" s="679">
        <f t="shared" si="20"/>
        <v>79.8</v>
      </c>
      <c r="K51" s="673">
        <v>63</v>
      </c>
      <c r="L51" s="673">
        <v>50</v>
      </c>
      <c r="M51" s="673">
        <v>183</v>
      </c>
      <c r="N51" s="673">
        <v>96</v>
      </c>
      <c r="O51" s="673">
        <v>43</v>
      </c>
      <c r="P51" s="673">
        <v>35</v>
      </c>
      <c r="Q51" s="673">
        <v>67</v>
      </c>
      <c r="R51" s="673">
        <v>62</v>
      </c>
      <c r="S51" s="673">
        <v>22</v>
      </c>
      <c r="T51" s="673">
        <v>61</v>
      </c>
      <c r="U51" s="673">
        <v>70</v>
      </c>
      <c r="V51" s="665">
        <v>39</v>
      </c>
      <c r="W51" s="665">
        <v>59</v>
      </c>
      <c r="X51" s="665">
        <v>81</v>
      </c>
      <c r="Y51" s="665">
        <v>97</v>
      </c>
      <c r="Z51" s="665">
        <v>124</v>
      </c>
      <c r="AA51" s="665">
        <v>83</v>
      </c>
      <c r="AB51" s="665">
        <v>71</v>
      </c>
      <c r="AC51" s="665">
        <v>52</v>
      </c>
      <c r="AD51" s="665">
        <v>135</v>
      </c>
      <c r="AE51" s="665">
        <v>66</v>
      </c>
      <c r="AF51" s="665">
        <v>62</v>
      </c>
      <c r="AG51" s="665">
        <v>84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15"/>
        <v>0.11077300470169085</v>
      </c>
      <c r="F52" s="680">
        <f t="shared" si="16"/>
        <v>63.22</v>
      </c>
      <c r="G52" s="680">
        <f t="shared" si="17"/>
        <v>76.333333333333329</v>
      </c>
      <c r="H52" s="679">
        <f t="shared" si="18"/>
        <v>71.833333333333329</v>
      </c>
      <c r="I52" s="679">
        <f t="shared" si="19"/>
        <v>55</v>
      </c>
      <c r="J52" s="679">
        <f t="shared" si="20"/>
        <v>61.8</v>
      </c>
      <c r="K52" s="673">
        <v>88</v>
      </c>
      <c r="L52" s="673">
        <v>45</v>
      </c>
      <c r="M52" s="673">
        <v>78</v>
      </c>
      <c r="N52" s="673">
        <v>62</v>
      </c>
      <c r="O52" s="673">
        <v>97</v>
      </c>
      <c r="P52" s="673">
        <v>88</v>
      </c>
      <c r="Q52" s="673">
        <v>96</v>
      </c>
      <c r="R52" s="673">
        <v>118</v>
      </c>
      <c r="S52" s="673">
        <v>49</v>
      </c>
      <c r="T52" s="673">
        <v>76</v>
      </c>
      <c r="U52" s="673">
        <v>47</v>
      </c>
      <c r="V52" s="665">
        <v>45</v>
      </c>
      <c r="W52" s="665">
        <v>75</v>
      </c>
      <c r="X52" s="665">
        <v>39</v>
      </c>
      <c r="Y52" s="665">
        <v>59</v>
      </c>
      <c r="Z52" s="665">
        <v>34</v>
      </c>
      <c r="AA52" s="665">
        <v>71</v>
      </c>
      <c r="AB52" s="665">
        <v>52</v>
      </c>
      <c r="AC52" s="665">
        <v>93</v>
      </c>
      <c r="AD52" s="665">
        <v>49</v>
      </c>
      <c r="AE52" s="665">
        <v>61</v>
      </c>
      <c r="AF52" s="665">
        <v>62</v>
      </c>
      <c r="AG52" s="665">
        <v>44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15"/>
        <v>8.5389714686213244E-2</v>
      </c>
      <c r="F53" s="680">
        <f t="shared" si="16"/>
        <v>48.733333333333341</v>
      </c>
      <c r="G53" s="680">
        <f t="shared" si="17"/>
        <v>90.166666666666671</v>
      </c>
      <c r="H53" s="679">
        <f t="shared" si="18"/>
        <v>40.833333333333336</v>
      </c>
      <c r="I53" s="679">
        <f t="shared" si="19"/>
        <v>39.833333333333336</v>
      </c>
      <c r="J53" s="679">
        <f t="shared" si="20"/>
        <v>49</v>
      </c>
      <c r="K53" s="673">
        <v>126</v>
      </c>
      <c r="L53" s="673">
        <v>94</v>
      </c>
      <c r="M53" s="673">
        <v>116</v>
      </c>
      <c r="N53" s="673">
        <v>74</v>
      </c>
      <c r="O53" s="673">
        <v>63</v>
      </c>
      <c r="P53" s="673">
        <v>68</v>
      </c>
      <c r="Q53" s="673">
        <v>33</v>
      </c>
      <c r="R53" s="673">
        <v>52</v>
      </c>
      <c r="S53" s="673">
        <v>25</v>
      </c>
      <c r="T53" s="673">
        <v>39</v>
      </c>
      <c r="U53" s="673">
        <v>57</v>
      </c>
      <c r="V53" s="665">
        <v>39</v>
      </c>
      <c r="W53" s="665">
        <v>36</v>
      </c>
      <c r="X53" s="665">
        <v>24</v>
      </c>
      <c r="Y53" s="665">
        <v>29</v>
      </c>
      <c r="Z53" s="665">
        <v>21</v>
      </c>
      <c r="AA53" s="665">
        <v>43</v>
      </c>
      <c r="AB53" s="665">
        <v>86</v>
      </c>
      <c r="AC53" s="665">
        <v>94</v>
      </c>
      <c r="AD53" s="665">
        <v>39</v>
      </c>
      <c r="AE53" s="665">
        <v>74</v>
      </c>
      <c r="AF53" s="665">
        <v>20</v>
      </c>
      <c r="AG53" s="665">
        <v>18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15"/>
        <v>0.1302105539818357</v>
      </c>
      <c r="F54" s="680">
        <f t="shared" si="16"/>
        <v>74.313333333333333</v>
      </c>
      <c r="G54" s="680">
        <f t="shared" si="17"/>
        <v>121</v>
      </c>
      <c r="H54" s="679">
        <f t="shared" si="18"/>
        <v>99.666666666666671</v>
      </c>
      <c r="I54" s="679">
        <f t="shared" si="19"/>
        <v>46</v>
      </c>
      <c r="J54" s="679">
        <f t="shared" si="20"/>
        <v>71.2</v>
      </c>
      <c r="K54" s="673">
        <v>102</v>
      </c>
      <c r="L54" s="673">
        <v>102</v>
      </c>
      <c r="M54" s="673">
        <v>136</v>
      </c>
      <c r="N54" s="673">
        <v>135</v>
      </c>
      <c r="O54" s="673">
        <v>99</v>
      </c>
      <c r="P54" s="673">
        <v>152</v>
      </c>
      <c r="Q54" s="673">
        <v>103</v>
      </c>
      <c r="R54" s="673">
        <v>116</v>
      </c>
      <c r="S54" s="673">
        <v>60</v>
      </c>
      <c r="T54" s="673">
        <v>104</v>
      </c>
      <c r="U54" s="673">
        <v>107</v>
      </c>
      <c r="V54" s="665">
        <v>108</v>
      </c>
      <c r="W54" s="665">
        <v>84</v>
      </c>
      <c r="X54" s="665">
        <v>34</v>
      </c>
      <c r="Y54" s="665">
        <v>40</v>
      </c>
      <c r="Z54" s="665">
        <v>40</v>
      </c>
      <c r="AA54" s="665">
        <v>53</v>
      </c>
      <c r="AB54" s="665">
        <v>25</v>
      </c>
      <c r="AC54" s="665">
        <v>104</v>
      </c>
      <c r="AD54" s="665">
        <v>82</v>
      </c>
      <c r="AE54" s="665">
        <v>83</v>
      </c>
      <c r="AF54" s="665">
        <v>44</v>
      </c>
      <c r="AG54" s="665">
        <v>43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15"/>
        <v>0.14421049557573809</v>
      </c>
      <c r="F55" s="680">
        <f t="shared" si="16"/>
        <v>82.303333333333327</v>
      </c>
      <c r="G55" s="680">
        <f t="shared" si="17"/>
        <v>109.66666666666667</v>
      </c>
      <c r="H55" s="679">
        <f t="shared" si="18"/>
        <v>112.83333333333333</v>
      </c>
      <c r="I55" s="679">
        <f t="shared" si="19"/>
        <v>64.166666666666671</v>
      </c>
      <c r="J55" s="679">
        <f t="shared" si="20"/>
        <v>73.8</v>
      </c>
      <c r="K55" s="673">
        <v>117</v>
      </c>
      <c r="L55" s="673">
        <v>113</v>
      </c>
      <c r="M55" s="673">
        <v>133</v>
      </c>
      <c r="N55" s="673">
        <v>153</v>
      </c>
      <c r="O55" s="673">
        <v>76</v>
      </c>
      <c r="P55" s="673">
        <v>66</v>
      </c>
      <c r="Q55" s="673">
        <v>150</v>
      </c>
      <c r="R55" s="673">
        <v>76</v>
      </c>
      <c r="S55" s="673">
        <v>115</v>
      </c>
      <c r="T55" s="673">
        <v>106</v>
      </c>
      <c r="U55" s="673">
        <v>153</v>
      </c>
      <c r="V55" s="665">
        <v>77</v>
      </c>
      <c r="W55" s="665">
        <v>109</v>
      </c>
      <c r="X55" s="665">
        <v>84</v>
      </c>
      <c r="Y55" s="665">
        <v>56</v>
      </c>
      <c r="Z55" s="665">
        <v>27</v>
      </c>
      <c r="AA55" s="665">
        <v>48</v>
      </c>
      <c r="AB55" s="665">
        <v>61</v>
      </c>
      <c r="AC55" s="665">
        <v>96</v>
      </c>
      <c r="AD55" s="665">
        <v>90</v>
      </c>
      <c r="AE55" s="665">
        <v>88</v>
      </c>
      <c r="AF55" s="665">
        <v>67</v>
      </c>
      <c r="AG55" s="665">
        <v>28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15"/>
        <v>0.16306398387991705</v>
      </c>
      <c r="F56" s="680">
        <f t="shared" si="16"/>
        <v>93.063333333333333</v>
      </c>
      <c r="G56" s="680">
        <f t="shared" si="17"/>
        <v>95.166666666666671</v>
      </c>
      <c r="H56" s="679">
        <f t="shared" si="18"/>
        <v>117.33333333333333</v>
      </c>
      <c r="I56" s="679">
        <f t="shared" si="19"/>
        <v>105.33333333333333</v>
      </c>
      <c r="J56" s="679">
        <f t="shared" si="20"/>
        <v>71.2</v>
      </c>
      <c r="K56" s="673">
        <v>99</v>
      </c>
      <c r="L56" s="673">
        <v>91</v>
      </c>
      <c r="M56" s="673">
        <v>117</v>
      </c>
      <c r="N56" s="673">
        <v>89</v>
      </c>
      <c r="O56" s="673">
        <v>112</v>
      </c>
      <c r="P56" s="673">
        <v>63</v>
      </c>
      <c r="Q56" s="673">
        <v>90</v>
      </c>
      <c r="R56" s="673">
        <v>98</v>
      </c>
      <c r="S56" s="673">
        <v>77</v>
      </c>
      <c r="T56" s="673">
        <v>202</v>
      </c>
      <c r="U56" s="673">
        <v>136</v>
      </c>
      <c r="V56" s="665">
        <v>101</v>
      </c>
      <c r="W56" s="665">
        <v>123</v>
      </c>
      <c r="X56" s="665">
        <v>99</v>
      </c>
      <c r="Y56" s="665">
        <v>98</v>
      </c>
      <c r="Z56" s="665">
        <v>84</v>
      </c>
      <c r="AA56" s="665">
        <v>135</v>
      </c>
      <c r="AB56" s="665">
        <v>93</v>
      </c>
      <c r="AC56" s="665">
        <v>65</v>
      </c>
      <c r="AD56" s="665">
        <v>63</v>
      </c>
      <c r="AE56" s="665">
        <v>107</v>
      </c>
      <c r="AF56" s="665">
        <v>81</v>
      </c>
      <c r="AG56" s="665">
        <v>40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15"/>
        <v>0.13165318459247144</v>
      </c>
      <c r="F57" s="680">
        <f t="shared" si="16"/>
        <v>75.13666666666667</v>
      </c>
      <c r="G57" s="680">
        <f t="shared" si="17"/>
        <v>76</v>
      </c>
      <c r="H57" s="679">
        <f t="shared" si="18"/>
        <v>90.333333333333329</v>
      </c>
      <c r="I57" s="679">
        <f t="shared" si="19"/>
        <v>62.5</v>
      </c>
      <c r="J57" s="679">
        <f t="shared" si="20"/>
        <v>76.8</v>
      </c>
      <c r="K57" s="673">
        <v>76</v>
      </c>
      <c r="L57" s="673">
        <v>44</v>
      </c>
      <c r="M57" s="673">
        <v>82</v>
      </c>
      <c r="N57" s="673">
        <v>74</v>
      </c>
      <c r="O57" s="673">
        <v>84</v>
      </c>
      <c r="P57" s="673">
        <v>96</v>
      </c>
      <c r="Q57" s="673">
        <v>86</v>
      </c>
      <c r="R57" s="673">
        <v>125</v>
      </c>
      <c r="S57" s="673">
        <v>77</v>
      </c>
      <c r="T57" s="673">
        <v>95</v>
      </c>
      <c r="U57" s="673">
        <v>77</v>
      </c>
      <c r="V57" s="665">
        <v>82</v>
      </c>
      <c r="W57" s="665">
        <v>58</v>
      </c>
      <c r="X57" s="665">
        <v>51</v>
      </c>
      <c r="Y57" s="665">
        <v>56</v>
      </c>
      <c r="Z57" s="665">
        <v>60</v>
      </c>
      <c r="AA57" s="665">
        <v>73</v>
      </c>
      <c r="AB57" s="665">
        <v>77</v>
      </c>
      <c r="AC57" s="665">
        <v>85</v>
      </c>
      <c r="AD57" s="665">
        <v>70</v>
      </c>
      <c r="AE57" s="665">
        <v>69</v>
      </c>
      <c r="AF57" s="665">
        <v>78</v>
      </c>
      <c r="AG57" s="665">
        <v>82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15"/>
        <v>0.147737192928065</v>
      </c>
      <c r="F58" s="680">
        <f t="shared" si="16"/>
        <v>60.36</v>
      </c>
      <c r="G58" s="680">
        <f t="shared" si="17"/>
        <v>68.666666666666671</v>
      </c>
      <c r="H58" s="679">
        <f t="shared" si="18"/>
        <v>84.666666666666671</v>
      </c>
      <c r="I58" s="679">
        <f t="shared" si="19"/>
        <v>54.666666666666664</v>
      </c>
      <c r="J58" s="679">
        <f t="shared" si="20"/>
        <v>50.4</v>
      </c>
      <c r="K58" s="673">
        <v>75</v>
      </c>
      <c r="L58" s="673">
        <v>75</v>
      </c>
      <c r="M58" s="673">
        <v>65</v>
      </c>
      <c r="N58" s="673">
        <v>56</v>
      </c>
      <c r="O58" s="673">
        <v>67</v>
      </c>
      <c r="P58" s="673">
        <v>74</v>
      </c>
      <c r="Q58" s="673">
        <v>66</v>
      </c>
      <c r="R58" s="673">
        <v>101</v>
      </c>
      <c r="S58" s="673">
        <v>74</v>
      </c>
      <c r="T58" s="673">
        <v>81</v>
      </c>
      <c r="U58" s="673">
        <v>86</v>
      </c>
      <c r="V58" s="665">
        <v>100</v>
      </c>
      <c r="W58" s="665">
        <v>94</v>
      </c>
      <c r="X58" s="665">
        <v>57</v>
      </c>
      <c r="Y58" s="665">
        <v>62</v>
      </c>
      <c r="Z58" s="665">
        <v>37</v>
      </c>
      <c r="AA58" s="665">
        <v>42</v>
      </c>
      <c r="AB58" s="665">
        <v>36</v>
      </c>
      <c r="AC58" s="665">
        <v>61</v>
      </c>
      <c r="AD58" s="665">
        <v>41</v>
      </c>
      <c r="AE58" s="665">
        <v>42</v>
      </c>
      <c r="AF58" s="665">
        <v>43</v>
      </c>
      <c r="AG58" s="665">
        <v>65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15"/>
        <v>0.15658934967242943</v>
      </c>
      <c r="F59" s="680">
        <f t="shared" si="16"/>
        <v>63.976666666666674</v>
      </c>
      <c r="G59" s="680">
        <f t="shared" si="17"/>
        <v>74.666666666666671</v>
      </c>
      <c r="H59" s="679">
        <f t="shared" si="18"/>
        <v>101</v>
      </c>
      <c r="I59" s="679">
        <f t="shared" si="19"/>
        <v>63.166666666666664</v>
      </c>
      <c r="J59" s="679">
        <f t="shared" si="20"/>
        <v>43.4</v>
      </c>
      <c r="K59" s="673">
        <v>99</v>
      </c>
      <c r="L59" s="673">
        <v>70</v>
      </c>
      <c r="M59" s="673">
        <v>57</v>
      </c>
      <c r="N59" s="673">
        <v>81</v>
      </c>
      <c r="O59" s="673">
        <v>65</v>
      </c>
      <c r="P59" s="673">
        <v>76</v>
      </c>
      <c r="Q59" s="673">
        <v>116</v>
      </c>
      <c r="R59" s="673">
        <v>125</v>
      </c>
      <c r="S59" s="673">
        <v>94</v>
      </c>
      <c r="T59" s="673">
        <v>73</v>
      </c>
      <c r="U59" s="673">
        <v>97</v>
      </c>
      <c r="V59" s="665">
        <v>101</v>
      </c>
      <c r="W59" s="665">
        <v>83</v>
      </c>
      <c r="X59" s="665">
        <v>78</v>
      </c>
      <c r="Y59" s="665">
        <v>58</v>
      </c>
      <c r="Z59" s="665">
        <v>51</v>
      </c>
      <c r="AA59" s="665">
        <v>68</v>
      </c>
      <c r="AB59" s="665">
        <v>41</v>
      </c>
      <c r="AC59" s="665">
        <v>42</v>
      </c>
      <c r="AD59" s="665">
        <v>49</v>
      </c>
      <c r="AE59" s="665">
        <v>49</v>
      </c>
      <c r="AF59" s="665">
        <v>47</v>
      </c>
      <c r="AG59" s="665">
        <v>30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15"/>
        <v>8.5731302368461854E-2</v>
      </c>
      <c r="F60" s="680">
        <f t="shared" si="16"/>
        <v>35.026666666666671</v>
      </c>
      <c r="G60" s="680">
        <f t="shared" si="17"/>
        <v>41.166666666666664</v>
      </c>
      <c r="H60" s="679">
        <f t="shared" si="18"/>
        <v>50.5</v>
      </c>
      <c r="I60" s="679">
        <f t="shared" si="19"/>
        <v>32.833333333333336</v>
      </c>
      <c r="J60" s="679">
        <f t="shared" si="20"/>
        <v>27.4</v>
      </c>
      <c r="K60" s="673">
        <v>56</v>
      </c>
      <c r="L60" s="673">
        <v>32</v>
      </c>
      <c r="M60" s="673">
        <v>42</v>
      </c>
      <c r="N60" s="673">
        <v>44</v>
      </c>
      <c r="O60" s="673">
        <v>41</v>
      </c>
      <c r="P60" s="673">
        <v>32</v>
      </c>
      <c r="Q60" s="673">
        <v>36</v>
      </c>
      <c r="R60" s="673">
        <v>59</v>
      </c>
      <c r="S60" s="673">
        <v>35</v>
      </c>
      <c r="T60" s="673">
        <v>36</v>
      </c>
      <c r="U60" s="673">
        <v>61</v>
      </c>
      <c r="V60" s="665">
        <v>76</v>
      </c>
      <c r="W60" s="665">
        <v>41</v>
      </c>
      <c r="X60" s="665">
        <v>35</v>
      </c>
      <c r="Y60" s="665">
        <v>40</v>
      </c>
      <c r="Z60" s="665">
        <v>26</v>
      </c>
      <c r="AA60" s="665">
        <v>24</v>
      </c>
      <c r="AB60" s="665">
        <v>31</v>
      </c>
      <c r="AC60" s="665">
        <v>21</v>
      </c>
      <c r="AD60" s="665">
        <v>19</v>
      </c>
      <c r="AE60" s="665">
        <v>26</v>
      </c>
      <c r="AF60" s="665">
        <v>35</v>
      </c>
      <c r="AG60" s="665">
        <v>36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15"/>
        <v>0.15244474540870859</v>
      </c>
      <c r="F61" s="680">
        <f t="shared" si="16"/>
        <v>62.283333333333346</v>
      </c>
      <c r="G61" s="680">
        <f t="shared" si="17"/>
        <v>69.166666666666671</v>
      </c>
      <c r="H61" s="679">
        <f t="shared" si="18"/>
        <v>83.333333333333329</v>
      </c>
      <c r="I61" s="679">
        <f t="shared" si="19"/>
        <v>67.666666666666671</v>
      </c>
      <c r="J61" s="679">
        <f t="shared" si="20"/>
        <v>46</v>
      </c>
      <c r="K61" s="673">
        <v>90</v>
      </c>
      <c r="L61" s="673">
        <v>58</v>
      </c>
      <c r="M61" s="673">
        <v>80</v>
      </c>
      <c r="N61" s="673">
        <v>67</v>
      </c>
      <c r="O61" s="673">
        <v>72</v>
      </c>
      <c r="P61" s="673">
        <v>48</v>
      </c>
      <c r="Q61" s="673">
        <v>76</v>
      </c>
      <c r="R61" s="673">
        <v>101</v>
      </c>
      <c r="S61" s="673">
        <v>58</v>
      </c>
      <c r="T61" s="673">
        <v>74</v>
      </c>
      <c r="U61" s="673">
        <v>86</v>
      </c>
      <c r="V61" s="665">
        <v>105</v>
      </c>
      <c r="W61" s="665">
        <v>87</v>
      </c>
      <c r="X61" s="665">
        <v>65</v>
      </c>
      <c r="Y61" s="665">
        <v>84</v>
      </c>
      <c r="Z61" s="665">
        <v>68</v>
      </c>
      <c r="AA61" s="665">
        <v>53</v>
      </c>
      <c r="AB61" s="665">
        <v>49</v>
      </c>
      <c r="AC61" s="665">
        <v>29</v>
      </c>
      <c r="AD61" s="665">
        <v>55</v>
      </c>
      <c r="AE61" s="665">
        <v>34</v>
      </c>
      <c r="AF61" s="665">
        <v>41</v>
      </c>
      <c r="AG61" s="665">
        <v>71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15"/>
        <v>0.14121025707968574</v>
      </c>
      <c r="F62" s="680">
        <f t="shared" si="16"/>
        <v>57.693333333333335</v>
      </c>
      <c r="G62" s="680">
        <f t="shared" si="17"/>
        <v>86.5</v>
      </c>
      <c r="H62" s="679">
        <f t="shared" si="18"/>
        <v>87.666666666666671</v>
      </c>
      <c r="I62" s="679">
        <f t="shared" si="19"/>
        <v>59.166666666666664</v>
      </c>
      <c r="J62" s="679">
        <f t="shared" si="20"/>
        <v>34.4</v>
      </c>
      <c r="K62" s="673">
        <v>107</v>
      </c>
      <c r="L62" s="673">
        <v>77</v>
      </c>
      <c r="M62" s="673">
        <v>77</v>
      </c>
      <c r="N62" s="673">
        <v>64</v>
      </c>
      <c r="O62" s="673">
        <v>119</v>
      </c>
      <c r="P62" s="673">
        <v>75</v>
      </c>
      <c r="Q62" s="673">
        <v>74</v>
      </c>
      <c r="R62" s="673">
        <v>83</v>
      </c>
      <c r="S62" s="673">
        <v>55</v>
      </c>
      <c r="T62" s="673">
        <v>97</v>
      </c>
      <c r="U62" s="673">
        <v>96</v>
      </c>
      <c r="V62" s="665">
        <v>121</v>
      </c>
      <c r="W62" s="665">
        <v>107</v>
      </c>
      <c r="X62" s="665">
        <v>51</v>
      </c>
      <c r="Y62" s="665">
        <v>62</v>
      </c>
      <c r="Z62" s="665">
        <v>42</v>
      </c>
      <c r="AA62" s="665">
        <v>54</v>
      </c>
      <c r="AB62" s="665">
        <v>39</v>
      </c>
      <c r="AC62" s="665">
        <v>37</v>
      </c>
      <c r="AD62" s="665">
        <v>41</v>
      </c>
      <c r="AE62" s="665">
        <v>29</v>
      </c>
      <c r="AF62" s="665">
        <v>25</v>
      </c>
      <c r="AG62" s="665">
        <v>40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15"/>
        <v>6.9626088162585975E-2</v>
      </c>
      <c r="F63" s="680">
        <f t="shared" si="16"/>
        <v>28.446666666666665</v>
      </c>
      <c r="G63" s="680">
        <f t="shared" si="17"/>
        <v>47.666666666666664</v>
      </c>
      <c r="H63" s="679">
        <f t="shared" si="18"/>
        <v>38.5</v>
      </c>
      <c r="I63" s="679">
        <f t="shared" si="19"/>
        <v>30.333333333333332</v>
      </c>
      <c r="J63" s="679">
        <f t="shared" si="20"/>
        <v>17.2</v>
      </c>
      <c r="K63" s="673">
        <v>59</v>
      </c>
      <c r="L63" s="673">
        <v>50</v>
      </c>
      <c r="M63" s="673">
        <v>54</v>
      </c>
      <c r="N63" s="673">
        <v>41</v>
      </c>
      <c r="O63" s="673">
        <v>48</v>
      </c>
      <c r="P63" s="673">
        <v>34</v>
      </c>
      <c r="Q63" s="673">
        <v>44</v>
      </c>
      <c r="R63" s="673">
        <v>31</v>
      </c>
      <c r="S63" s="673">
        <v>36</v>
      </c>
      <c r="T63" s="673">
        <v>38</v>
      </c>
      <c r="U63" s="673">
        <v>47</v>
      </c>
      <c r="V63" s="665">
        <v>35</v>
      </c>
      <c r="W63" s="665">
        <v>37</v>
      </c>
      <c r="X63" s="665">
        <v>31</v>
      </c>
      <c r="Y63" s="665">
        <v>28</v>
      </c>
      <c r="Z63" s="665">
        <v>30</v>
      </c>
      <c r="AA63" s="665">
        <v>32</v>
      </c>
      <c r="AB63" s="665">
        <v>24</v>
      </c>
      <c r="AC63" s="665">
        <v>20</v>
      </c>
      <c r="AD63" s="665">
        <v>18</v>
      </c>
      <c r="AE63" s="665">
        <v>27</v>
      </c>
      <c r="AF63" s="665">
        <v>12</v>
      </c>
      <c r="AG63" s="665">
        <v>9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15"/>
        <v>8.2010948934885655E-2</v>
      </c>
      <c r="F64" s="680">
        <f t="shared" si="16"/>
        <v>33.506666666666668</v>
      </c>
      <c r="G64" s="680">
        <f t="shared" si="17"/>
        <v>46.833333333333336</v>
      </c>
      <c r="H64" s="679">
        <f t="shared" si="18"/>
        <v>54.166666666666664</v>
      </c>
      <c r="I64" s="679">
        <f t="shared" si="19"/>
        <v>28.5</v>
      </c>
      <c r="J64" s="679">
        <f t="shared" si="20"/>
        <v>23.6</v>
      </c>
      <c r="K64" s="673">
        <v>53</v>
      </c>
      <c r="L64" s="673">
        <v>36</v>
      </c>
      <c r="M64" s="673">
        <v>32</v>
      </c>
      <c r="N64" s="673">
        <v>57</v>
      </c>
      <c r="O64" s="673">
        <v>57</v>
      </c>
      <c r="P64" s="673">
        <v>46</v>
      </c>
      <c r="Q64" s="673">
        <v>30</v>
      </c>
      <c r="R64" s="673">
        <v>38</v>
      </c>
      <c r="S64" s="673">
        <v>29</v>
      </c>
      <c r="T64" s="673">
        <v>63</v>
      </c>
      <c r="U64" s="673">
        <v>90</v>
      </c>
      <c r="V64" s="665">
        <v>75</v>
      </c>
      <c r="W64" s="665">
        <v>29</v>
      </c>
      <c r="X64" s="665">
        <v>56</v>
      </c>
      <c r="Y64" s="665">
        <v>24</v>
      </c>
      <c r="Z64" s="665">
        <v>18</v>
      </c>
      <c r="AA64" s="665">
        <v>17</v>
      </c>
      <c r="AB64" s="665">
        <v>27</v>
      </c>
      <c r="AC64" s="665">
        <v>25</v>
      </c>
      <c r="AD64" s="665">
        <v>21</v>
      </c>
      <c r="AE64" s="665">
        <v>31</v>
      </c>
      <c r="AF64" s="665">
        <v>18</v>
      </c>
      <c r="AG64" s="665">
        <v>23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15"/>
        <v>6.4021082002790261E-2</v>
      </c>
      <c r="F65" s="680">
        <f t="shared" si="16"/>
        <v>26.156666666666666</v>
      </c>
      <c r="G65" s="680">
        <f t="shared" si="17"/>
        <v>41.833333333333336</v>
      </c>
      <c r="H65" s="679">
        <f t="shared" si="18"/>
        <v>37.666666666666664</v>
      </c>
      <c r="I65" s="679">
        <f t="shared" si="19"/>
        <v>24.666666666666668</v>
      </c>
      <c r="J65" s="679">
        <f t="shared" si="20"/>
        <v>17.600000000000001</v>
      </c>
      <c r="K65" s="673">
        <v>54</v>
      </c>
      <c r="L65" s="673">
        <v>54</v>
      </c>
      <c r="M65" s="673">
        <v>31</v>
      </c>
      <c r="N65" s="673">
        <v>31</v>
      </c>
      <c r="O65" s="673">
        <v>44</v>
      </c>
      <c r="P65" s="673">
        <v>37</v>
      </c>
      <c r="Q65" s="673">
        <v>33</v>
      </c>
      <c r="R65" s="673">
        <v>56</v>
      </c>
      <c r="S65" s="673">
        <v>23</v>
      </c>
      <c r="T65" s="673">
        <v>37</v>
      </c>
      <c r="U65" s="673">
        <v>40</v>
      </c>
      <c r="V65" s="665">
        <v>37</v>
      </c>
      <c r="W65" s="665">
        <v>40</v>
      </c>
      <c r="X65" s="665">
        <v>20</v>
      </c>
      <c r="Y65" s="665">
        <v>29</v>
      </c>
      <c r="Z65" s="665">
        <v>27</v>
      </c>
      <c r="AA65" s="665">
        <v>18</v>
      </c>
      <c r="AB65" s="665">
        <v>14</v>
      </c>
      <c r="AC65" s="665">
        <v>19</v>
      </c>
      <c r="AD65" s="665">
        <v>20</v>
      </c>
      <c r="AE65" s="665">
        <v>9</v>
      </c>
      <c r="AF65" s="665">
        <v>20</v>
      </c>
      <c r="AG65" s="665">
        <v>20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15"/>
        <v>0.10062903344238758</v>
      </c>
      <c r="F66" s="680">
        <f t="shared" si="16"/>
        <v>41.113333333333344</v>
      </c>
      <c r="G66" s="680">
        <f t="shared" si="17"/>
        <v>88.166666666666671</v>
      </c>
      <c r="H66" s="679">
        <f t="shared" si="18"/>
        <v>40.333333333333336</v>
      </c>
      <c r="I66" s="679">
        <f t="shared" si="19"/>
        <v>33.833333333333336</v>
      </c>
      <c r="J66" s="679">
        <f t="shared" si="20"/>
        <v>35.200000000000003</v>
      </c>
      <c r="K66" s="673">
        <v>137</v>
      </c>
      <c r="L66" s="673">
        <v>123</v>
      </c>
      <c r="M66" s="673">
        <v>98</v>
      </c>
      <c r="N66" s="673">
        <v>68</v>
      </c>
      <c r="O66" s="673">
        <v>69</v>
      </c>
      <c r="P66" s="673">
        <v>34</v>
      </c>
      <c r="Q66" s="673">
        <v>46</v>
      </c>
      <c r="R66" s="673">
        <v>50</v>
      </c>
      <c r="S66" s="673">
        <v>16</v>
      </c>
      <c r="T66" s="673">
        <v>47</v>
      </c>
      <c r="U66" s="673">
        <v>47</v>
      </c>
      <c r="V66" s="665">
        <v>36</v>
      </c>
      <c r="W66" s="665">
        <v>35</v>
      </c>
      <c r="X66" s="665">
        <v>36</v>
      </c>
      <c r="Y66" s="665">
        <v>39</v>
      </c>
      <c r="Z66" s="665">
        <v>22</v>
      </c>
      <c r="AA66" s="665">
        <v>35</v>
      </c>
      <c r="AB66" s="665">
        <v>36</v>
      </c>
      <c r="AC66" s="665">
        <v>38</v>
      </c>
      <c r="AD66" s="665">
        <v>37</v>
      </c>
      <c r="AE66" s="665">
        <v>25</v>
      </c>
      <c r="AF66" s="665">
        <v>37</v>
      </c>
      <c r="AG66" s="665">
        <v>39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15"/>
        <v>0.14495524924972777</v>
      </c>
      <c r="F67" s="680">
        <f t="shared" si="16"/>
        <v>54.58</v>
      </c>
      <c r="G67" s="680">
        <f t="shared" si="17"/>
        <v>91.5</v>
      </c>
      <c r="H67" s="679">
        <f t="shared" si="18"/>
        <v>66</v>
      </c>
      <c r="I67" s="679">
        <f t="shared" si="19"/>
        <v>65.833333333333329</v>
      </c>
      <c r="J67" s="679">
        <f t="shared" si="20"/>
        <v>31.2</v>
      </c>
      <c r="K67" s="673">
        <v>130</v>
      </c>
      <c r="L67" s="673">
        <v>87</v>
      </c>
      <c r="M67" s="673">
        <v>110</v>
      </c>
      <c r="N67" s="673">
        <v>80</v>
      </c>
      <c r="O67" s="673">
        <v>84</v>
      </c>
      <c r="P67" s="673">
        <v>58</v>
      </c>
      <c r="Q67" s="673">
        <v>71</v>
      </c>
      <c r="R67" s="673">
        <v>51</v>
      </c>
      <c r="S67" s="673">
        <v>61</v>
      </c>
      <c r="T67" s="673">
        <v>75</v>
      </c>
      <c r="U67" s="673">
        <v>78</v>
      </c>
      <c r="V67" s="665">
        <v>60</v>
      </c>
      <c r="W67" s="665">
        <v>98</v>
      </c>
      <c r="X67" s="665">
        <v>62</v>
      </c>
      <c r="Y67" s="665">
        <v>65</v>
      </c>
      <c r="Z67" s="665">
        <v>64</v>
      </c>
      <c r="AA67" s="665">
        <v>56</v>
      </c>
      <c r="AB67" s="665">
        <v>50</v>
      </c>
      <c r="AC67" s="665">
        <v>30</v>
      </c>
      <c r="AD67" s="665">
        <v>46</v>
      </c>
      <c r="AE67" s="665">
        <v>27</v>
      </c>
      <c r="AF67" s="665">
        <v>22</v>
      </c>
      <c r="AG67" s="665">
        <v>31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15"/>
        <v>0.16551138023530662</v>
      </c>
      <c r="F68" s="680">
        <f t="shared" si="16"/>
        <v>62.319999999999993</v>
      </c>
      <c r="G68" s="680">
        <f t="shared" si="17"/>
        <v>134</v>
      </c>
      <c r="H68" s="679">
        <f t="shared" si="18"/>
        <v>95.5</v>
      </c>
      <c r="I68" s="679">
        <f t="shared" si="19"/>
        <v>54.333333333333336</v>
      </c>
      <c r="J68" s="679">
        <f t="shared" si="20"/>
        <v>33.799999999999997</v>
      </c>
      <c r="K68" s="673">
        <v>188</v>
      </c>
      <c r="L68" s="673">
        <v>118</v>
      </c>
      <c r="M68" s="673">
        <v>142</v>
      </c>
      <c r="N68" s="673">
        <v>172</v>
      </c>
      <c r="O68" s="673">
        <v>103</v>
      </c>
      <c r="P68" s="673">
        <v>81</v>
      </c>
      <c r="Q68" s="673">
        <v>106</v>
      </c>
      <c r="R68" s="673">
        <v>137</v>
      </c>
      <c r="S68" s="673">
        <v>85</v>
      </c>
      <c r="T68" s="673">
        <v>76</v>
      </c>
      <c r="U68" s="673">
        <v>70</v>
      </c>
      <c r="V68" s="665">
        <v>99</v>
      </c>
      <c r="W68" s="665">
        <v>96</v>
      </c>
      <c r="X68" s="665">
        <v>63</v>
      </c>
      <c r="Y68" s="665">
        <v>46</v>
      </c>
      <c r="Z68" s="665">
        <v>34</v>
      </c>
      <c r="AA68" s="665">
        <v>35</v>
      </c>
      <c r="AB68" s="665">
        <v>52</v>
      </c>
      <c r="AC68" s="665">
        <v>26</v>
      </c>
      <c r="AD68" s="665">
        <v>37</v>
      </c>
      <c r="AE68" s="665">
        <v>29</v>
      </c>
      <c r="AF68" s="665">
        <v>16</v>
      </c>
      <c r="AG68" s="665">
        <v>61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15"/>
        <v>0.16521923883887077</v>
      </c>
      <c r="F69" s="680">
        <f t="shared" si="16"/>
        <v>62.210000000000008</v>
      </c>
      <c r="G69" s="680">
        <f t="shared" si="17"/>
        <v>93.166666666666671</v>
      </c>
      <c r="H69" s="679">
        <f t="shared" si="18"/>
        <v>63.166666666666664</v>
      </c>
      <c r="I69" s="679">
        <f t="shared" si="19"/>
        <v>55</v>
      </c>
      <c r="J69" s="679">
        <f t="shared" si="20"/>
        <v>59.4</v>
      </c>
      <c r="K69" s="673">
        <v>125</v>
      </c>
      <c r="L69" s="673">
        <v>95</v>
      </c>
      <c r="M69" s="673">
        <v>127</v>
      </c>
      <c r="N69" s="673">
        <v>87</v>
      </c>
      <c r="O69" s="673">
        <v>59</v>
      </c>
      <c r="P69" s="673">
        <v>66</v>
      </c>
      <c r="Q69" s="673">
        <v>55</v>
      </c>
      <c r="R69" s="673">
        <v>102</v>
      </c>
      <c r="S69" s="673">
        <v>52</v>
      </c>
      <c r="T69" s="673">
        <v>45</v>
      </c>
      <c r="U69" s="673">
        <v>58</v>
      </c>
      <c r="V69" s="665">
        <v>67</v>
      </c>
      <c r="W69" s="665">
        <v>41</v>
      </c>
      <c r="X69" s="665">
        <v>66</v>
      </c>
      <c r="Y69" s="665">
        <v>49</v>
      </c>
      <c r="Z69" s="665">
        <v>45</v>
      </c>
      <c r="AA69" s="665">
        <v>56</v>
      </c>
      <c r="AB69" s="665">
        <v>73</v>
      </c>
      <c r="AC69" s="665">
        <v>54</v>
      </c>
      <c r="AD69" s="665">
        <v>37</v>
      </c>
      <c r="AE69" s="665">
        <v>76</v>
      </c>
      <c r="AF69" s="665">
        <v>61</v>
      </c>
      <c r="AG69" s="665">
        <v>69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15"/>
        <v>0.14828389061517896</v>
      </c>
      <c r="F70" s="680">
        <f t="shared" si="16"/>
        <v>55.833333333333329</v>
      </c>
      <c r="G70" s="680">
        <f t="shared" si="17"/>
        <v>106.83333333333333</v>
      </c>
      <c r="H70" s="679">
        <f t="shared" si="18"/>
        <v>77</v>
      </c>
      <c r="I70" s="679">
        <f t="shared" si="19"/>
        <v>56.5</v>
      </c>
      <c r="J70" s="679">
        <f t="shared" si="20"/>
        <v>32</v>
      </c>
      <c r="K70" s="673">
        <v>145</v>
      </c>
      <c r="L70" s="673">
        <v>106</v>
      </c>
      <c r="M70" s="673">
        <v>109</v>
      </c>
      <c r="N70" s="673">
        <v>81</v>
      </c>
      <c r="O70" s="673">
        <v>118</v>
      </c>
      <c r="P70" s="673">
        <v>82</v>
      </c>
      <c r="Q70" s="673">
        <v>102</v>
      </c>
      <c r="R70" s="673">
        <v>112</v>
      </c>
      <c r="S70" s="673">
        <v>51</v>
      </c>
      <c r="T70" s="673">
        <v>70</v>
      </c>
      <c r="U70" s="673">
        <v>50</v>
      </c>
      <c r="V70" s="665">
        <v>77</v>
      </c>
      <c r="W70" s="665">
        <v>65</v>
      </c>
      <c r="X70" s="665">
        <v>48</v>
      </c>
      <c r="Y70" s="665">
        <v>79</v>
      </c>
      <c r="Z70" s="665">
        <v>51</v>
      </c>
      <c r="AA70" s="665">
        <v>54</v>
      </c>
      <c r="AB70" s="665">
        <v>42</v>
      </c>
      <c r="AC70" s="665">
        <v>45</v>
      </c>
      <c r="AD70" s="665">
        <v>33</v>
      </c>
      <c r="AE70" s="665">
        <v>24</v>
      </c>
      <c r="AF70" s="665">
        <v>21</v>
      </c>
      <c r="AG70" s="665">
        <v>37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15"/>
        <v>0.19144114236138779</v>
      </c>
      <c r="F71" s="680">
        <f t="shared" si="16"/>
        <v>72.083333333333343</v>
      </c>
      <c r="G71" s="680">
        <f t="shared" si="17"/>
        <v>96</v>
      </c>
      <c r="H71" s="679">
        <f t="shared" si="18"/>
        <v>100.16666666666667</v>
      </c>
      <c r="I71" s="679">
        <f t="shared" si="19"/>
        <v>72.166666666666671</v>
      </c>
      <c r="J71" s="679">
        <f t="shared" si="20"/>
        <v>52</v>
      </c>
      <c r="K71" s="673">
        <v>102</v>
      </c>
      <c r="L71" s="673">
        <v>39</v>
      </c>
      <c r="M71" s="673">
        <v>63</v>
      </c>
      <c r="N71" s="673">
        <v>146</v>
      </c>
      <c r="O71" s="673">
        <v>108</v>
      </c>
      <c r="P71" s="673">
        <v>118</v>
      </c>
      <c r="Q71" s="673">
        <v>112</v>
      </c>
      <c r="R71" s="673">
        <v>152</v>
      </c>
      <c r="S71" s="673">
        <v>110</v>
      </c>
      <c r="T71" s="673">
        <v>78</v>
      </c>
      <c r="U71" s="673">
        <v>89</v>
      </c>
      <c r="V71" s="665">
        <v>60</v>
      </c>
      <c r="W71" s="665">
        <v>83</v>
      </c>
      <c r="X71" s="665">
        <v>64</v>
      </c>
      <c r="Y71" s="665">
        <v>55</v>
      </c>
      <c r="Z71" s="665">
        <v>79</v>
      </c>
      <c r="AA71" s="665">
        <v>74</v>
      </c>
      <c r="AB71" s="665">
        <v>78</v>
      </c>
      <c r="AC71" s="665">
        <v>58</v>
      </c>
      <c r="AD71" s="665">
        <v>67</v>
      </c>
      <c r="AE71" s="665">
        <v>62</v>
      </c>
      <c r="AF71" s="665">
        <v>23</v>
      </c>
      <c r="AG71" s="665">
        <v>50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15"/>
        <v>0.18458909869952816</v>
      </c>
      <c r="F72" s="680">
        <f t="shared" si="16"/>
        <v>69.50333333333333</v>
      </c>
      <c r="G72" s="680">
        <f t="shared" si="17"/>
        <v>104</v>
      </c>
      <c r="H72" s="679">
        <f t="shared" si="18"/>
        <v>89.166666666666671</v>
      </c>
      <c r="I72" s="679">
        <f t="shared" si="19"/>
        <v>65.833333333333329</v>
      </c>
      <c r="J72" s="679">
        <f t="shared" si="20"/>
        <v>53.8</v>
      </c>
      <c r="K72" s="673">
        <v>150</v>
      </c>
      <c r="L72" s="673">
        <v>101</v>
      </c>
      <c r="M72" s="673">
        <v>109</v>
      </c>
      <c r="N72" s="673">
        <v>114</v>
      </c>
      <c r="O72" s="673">
        <v>81</v>
      </c>
      <c r="P72" s="673">
        <v>69</v>
      </c>
      <c r="Q72" s="673">
        <v>89</v>
      </c>
      <c r="R72" s="673">
        <v>114</v>
      </c>
      <c r="S72" s="673">
        <v>94</v>
      </c>
      <c r="T72" s="673">
        <v>83</v>
      </c>
      <c r="U72" s="673">
        <v>91</v>
      </c>
      <c r="V72" s="665">
        <v>64</v>
      </c>
      <c r="W72" s="665">
        <v>81</v>
      </c>
      <c r="X72" s="665">
        <v>80</v>
      </c>
      <c r="Y72" s="665">
        <v>62</v>
      </c>
      <c r="Z72" s="665">
        <v>52</v>
      </c>
      <c r="AA72" s="665">
        <v>55</v>
      </c>
      <c r="AB72" s="665">
        <v>65</v>
      </c>
      <c r="AC72" s="665">
        <v>49</v>
      </c>
      <c r="AD72" s="665">
        <v>74</v>
      </c>
      <c r="AE72" s="665">
        <v>58</v>
      </c>
      <c r="AF72" s="665">
        <v>39</v>
      </c>
      <c r="AG72" s="665">
        <v>49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15"/>
        <v>6.1916588815214828E-2</v>
      </c>
      <c r="F73" s="680">
        <f t="shared" si="16"/>
        <v>27.173333333333332</v>
      </c>
      <c r="G73" s="680">
        <f t="shared" si="17"/>
        <v>47.166666666666664</v>
      </c>
      <c r="H73" s="679">
        <f t="shared" si="18"/>
        <v>35.833333333333336</v>
      </c>
      <c r="I73" s="679">
        <f t="shared" si="19"/>
        <v>27.5</v>
      </c>
      <c r="J73" s="679">
        <f t="shared" si="20"/>
        <v>17.600000000000001</v>
      </c>
      <c r="K73" s="673">
        <v>62</v>
      </c>
      <c r="L73" s="673">
        <v>45</v>
      </c>
      <c r="M73" s="673">
        <v>39</v>
      </c>
      <c r="N73" s="673">
        <v>57</v>
      </c>
      <c r="O73" s="673">
        <v>42</v>
      </c>
      <c r="P73" s="673">
        <v>38</v>
      </c>
      <c r="Q73" s="673">
        <v>44</v>
      </c>
      <c r="R73" s="673">
        <v>40</v>
      </c>
      <c r="S73" s="673">
        <v>17</v>
      </c>
      <c r="T73" s="673">
        <v>41</v>
      </c>
      <c r="U73" s="673">
        <v>40</v>
      </c>
      <c r="V73" s="665">
        <v>33</v>
      </c>
      <c r="W73" s="665">
        <v>38</v>
      </c>
      <c r="X73" s="665">
        <v>34</v>
      </c>
      <c r="Y73" s="665">
        <v>31</v>
      </c>
      <c r="Z73" s="665">
        <v>27</v>
      </c>
      <c r="AA73" s="665">
        <v>23</v>
      </c>
      <c r="AB73" s="665">
        <v>12</v>
      </c>
      <c r="AC73" s="665">
        <v>15</v>
      </c>
      <c r="AD73" s="665">
        <v>18</v>
      </c>
      <c r="AE73" s="665">
        <v>28</v>
      </c>
      <c r="AF73" s="665">
        <v>15</v>
      </c>
      <c r="AG73" s="665">
        <v>12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15"/>
        <v>0.12286098389044592</v>
      </c>
      <c r="F74" s="680">
        <f t="shared" si="16"/>
        <v>53.92</v>
      </c>
      <c r="G74" s="680">
        <f t="shared" si="17"/>
        <v>101</v>
      </c>
      <c r="H74" s="679">
        <f t="shared" si="18"/>
        <v>77.5</v>
      </c>
      <c r="I74" s="679">
        <f t="shared" si="19"/>
        <v>49.333333333333336</v>
      </c>
      <c r="J74" s="679">
        <f t="shared" si="20"/>
        <v>33.799999999999997</v>
      </c>
      <c r="K74" s="673">
        <v>100</v>
      </c>
      <c r="L74" s="673">
        <v>91</v>
      </c>
      <c r="M74" s="673">
        <v>139</v>
      </c>
      <c r="N74" s="673">
        <v>107</v>
      </c>
      <c r="O74" s="673">
        <v>83</v>
      </c>
      <c r="P74" s="673">
        <v>86</v>
      </c>
      <c r="Q74" s="673">
        <v>77</v>
      </c>
      <c r="R74" s="673">
        <v>97</v>
      </c>
      <c r="S74" s="673">
        <v>73</v>
      </c>
      <c r="T74" s="673">
        <v>73</v>
      </c>
      <c r="U74" s="673">
        <v>77</v>
      </c>
      <c r="V74" s="665">
        <v>68</v>
      </c>
      <c r="W74" s="665">
        <v>48</v>
      </c>
      <c r="X74" s="665">
        <v>44</v>
      </c>
      <c r="Y74" s="665">
        <v>59</v>
      </c>
      <c r="Z74" s="665">
        <v>53</v>
      </c>
      <c r="AA74" s="665">
        <v>56</v>
      </c>
      <c r="AB74" s="665">
        <v>36</v>
      </c>
      <c r="AC74" s="665">
        <v>24</v>
      </c>
      <c r="AD74" s="665">
        <v>40</v>
      </c>
      <c r="AE74" s="665">
        <v>48</v>
      </c>
      <c r="AF74" s="665">
        <v>17</v>
      </c>
      <c r="AG74" s="665">
        <v>40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15"/>
        <v>0.11037437054252969</v>
      </c>
      <c r="F75" s="680">
        <f t="shared" si="16"/>
        <v>48.440000000000005</v>
      </c>
      <c r="G75" s="680">
        <f t="shared" si="17"/>
        <v>77.166666666666671</v>
      </c>
      <c r="H75" s="679">
        <f t="shared" si="18"/>
        <v>61.166666666666664</v>
      </c>
      <c r="I75" s="679">
        <f t="shared" si="19"/>
        <v>47.5</v>
      </c>
      <c r="J75" s="679">
        <f t="shared" si="20"/>
        <v>35.6</v>
      </c>
      <c r="K75" s="673">
        <v>73</v>
      </c>
      <c r="L75" s="673">
        <v>60</v>
      </c>
      <c r="M75" s="673">
        <v>94</v>
      </c>
      <c r="N75" s="673">
        <v>83</v>
      </c>
      <c r="O75" s="673">
        <v>63</v>
      </c>
      <c r="P75" s="673">
        <v>90</v>
      </c>
      <c r="Q75" s="673">
        <v>75</v>
      </c>
      <c r="R75" s="673">
        <v>63</v>
      </c>
      <c r="S75" s="673">
        <v>54</v>
      </c>
      <c r="T75" s="673">
        <v>51</v>
      </c>
      <c r="U75" s="673">
        <v>65</v>
      </c>
      <c r="V75" s="665">
        <v>59</v>
      </c>
      <c r="W75" s="665">
        <v>38</v>
      </c>
      <c r="X75" s="665">
        <v>36</v>
      </c>
      <c r="Y75" s="665">
        <v>65</v>
      </c>
      <c r="Z75" s="665">
        <v>59</v>
      </c>
      <c r="AA75" s="665">
        <v>45</v>
      </c>
      <c r="AB75" s="665">
        <v>42</v>
      </c>
      <c r="AC75" s="665">
        <v>38</v>
      </c>
      <c r="AD75" s="665">
        <v>52</v>
      </c>
      <c r="AE75" s="665">
        <v>26</v>
      </c>
      <c r="AF75" s="665">
        <v>25</v>
      </c>
      <c r="AG75" s="665">
        <v>37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15"/>
        <v>0.12427370291885981</v>
      </c>
      <c r="F76" s="680">
        <f t="shared" si="16"/>
        <v>54.540000000000006</v>
      </c>
      <c r="G76" s="680">
        <f t="shared" si="17"/>
        <v>91.333333333333329</v>
      </c>
      <c r="H76" s="679">
        <f t="shared" si="18"/>
        <v>55.333333333333336</v>
      </c>
      <c r="I76" s="679">
        <f t="shared" si="19"/>
        <v>43</v>
      </c>
      <c r="J76" s="679">
        <f t="shared" si="20"/>
        <v>53.6</v>
      </c>
      <c r="K76" s="673">
        <v>106</v>
      </c>
      <c r="L76" s="673">
        <v>92</v>
      </c>
      <c r="M76" s="673">
        <v>101</v>
      </c>
      <c r="N76" s="673">
        <v>83</v>
      </c>
      <c r="O76" s="673">
        <v>83</v>
      </c>
      <c r="P76" s="673">
        <v>83</v>
      </c>
      <c r="Q76" s="673">
        <v>69</v>
      </c>
      <c r="R76" s="673">
        <v>68</v>
      </c>
      <c r="S76" s="673">
        <v>37</v>
      </c>
      <c r="T76" s="673">
        <v>73</v>
      </c>
      <c r="U76" s="673">
        <v>38</v>
      </c>
      <c r="V76" s="665">
        <v>47</v>
      </c>
      <c r="W76" s="665">
        <v>22</v>
      </c>
      <c r="X76" s="665">
        <v>15</v>
      </c>
      <c r="Y76" s="665">
        <v>56</v>
      </c>
      <c r="Z76" s="665">
        <v>49</v>
      </c>
      <c r="AA76" s="665">
        <v>73</v>
      </c>
      <c r="AB76" s="665">
        <v>43</v>
      </c>
      <c r="AC76" s="665">
        <v>54</v>
      </c>
      <c r="AD76" s="665">
        <v>67</v>
      </c>
      <c r="AE76" s="665">
        <v>66</v>
      </c>
      <c r="AF76" s="665">
        <v>34</v>
      </c>
      <c r="AG76" s="665">
        <v>47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15"/>
        <v>0.21981452366304371</v>
      </c>
      <c r="F77" s="680">
        <f t="shared" si="16"/>
        <v>96.47</v>
      </c>
      <c r="G77" s="680">
        <f t="shared" si="17"/>
        <v>121.83333333333333</v>
      </c>
      <c r="H77" s="679">
        <f t="shared" si="18"/>
        <v>132.83333333333334</v>
      </c>
      <c r="I77" s="679">
        <f t="shared" si="19"/>
        <v>90</v>
      </c>
      <c r="J77" s="679">
        <f t="shared" si="20"/>
        <v>76.8</v>
      </c>
      <c r="K77" s="673">
        <v>166</v>
      </c>
      <c r="L77" s="673">
        <v>94</v>
      </c>
      <c r="M77" s="673">
        <v>121</v>
      </c>
      <c r="N77" s="673">
        <v>102</v>
      </c>
      <c r="O77" s="673">
        <v>105</v>
      </c>
      <c r="P77" s="673">
        <v>143</v>
      </c>
      <c r="Q77" s="673">
        <v>131</v>
      </c>
      <c r="R77" s="673">
        <v>173</v>
      </c>
      <c r="S77" s="673">
        <v>100</v>
      </c>
      <c r="T77" s="673">
        <v>120</v>
      </c>
      <c r="U77" s="673">
        <v>116</v>
      </c>
      <c r="V77" s="665">
        <v>157</v>
      </c>
      <c r="W77" s="665">
        <v>111</v>
      </c>
      <c r="X77" s="665">
        <v>66</v>
      </c>
      <c r="Y77" s="665">
        <v>83</v>
      </c>
      <c r="Z77" s="665">
        <v>119</v>
      </c>
      <c r="AA77" s="665">
        <v>75</v>
      </c>
      <c r="AB77" s="665">
        <v>86</v>
      </c>
      <c r="AC77" s="665">
        <v>67</v>
      </c>
      <c r="AD77" s="665">
        <v>75</v>
      </c>
      <c r="AE77" s="665">
        <v>56</v>
      </c>
      <c r="AF77" s="665">
        <v>93</v>
      </c>
      <c r="AG77" s="665">
        <v>93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15"/>
        <v>0.21611563029294931</v>
      </c>
      <c r="F78" s="680">
        <f t="shared" si="16"/>
        <v>94.846666666666664</v>
      </c>
      <c r="G78" s="680">
        <f t="shared" si="17"/>
        <v>155.16666666666666</v>
      </c>
      <c r="H78" s="679">
        <f t="shared" si="18"/>
        <v>108.5</v>
      </c>
      <c r="I78" s="679">
        <f t="shared" si="19"/>
        <v>95.833333333333329</v>
      </c>
      <c r="J78" s="679">
        <f t="shared" si="20"/>
        <v>72.2</v>
      </c>
      <c r="K78" s="673">
        <v>155</v>
      </c>
      <c r="L78" s="673">
        <v>124</v>
      </c>
      <c r="M78" s="673">
        <v>175</v>
      </c>
      <c r="N78" s="673">
        <v>182</v>
      </c>
      <c r="O78" s="673">
        <v>174</v>
      </c>
      <c r="P78" s="673">
        <v>121</v>
      </c>
      <c r="Q78" s="673">
        <v>113</v>
      </c>
      <c r="R78" s="673">
        <v>91</v>
      </c>
      <c r="S78" s="673">
        <v>111</v>
      </c>
      <c r="T78" s="673">
        <v>126</v>
      </c>
      <c r="U78" s="673">
        <v>85</v>
      </c>
      <c r="V78" s="665">
        <v>125</v>
      </c>
      <c r="W78" s="665">
        <v>116</v>
      </c>
      <c r="X78" s="665">
        <v>118</v>
      </c>
      <c r="Y78" s="665">
        <v>116</v>
      </c>
      <c r="Z78" s="665">
        <v>78</v>
      </c>
      <c r="AA78" s="665">
        <v>77</v>
      </c>
      <c r="AB78" s="665">
        <v>70</v>
      </c>
      <c r="AC78" s="665">
        <v>51</v>
      </c>
      <c r="AD78" s="665">
        <v>87</v>
      </c>
      <c r="AE78" s="665">
        <v>94</v>
      </c>
      <c r="AF78" s="665">
        <v>70</v>
      </c>
      <c r="AG78" s="665">
        <v>59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15"/>
        <v>0.14464419987695673</v>
      </c>
      <c r="F79" s="680">
        <f t="shared" si="16"/>
        <v>63.480000000000004</v>
      </c>
      <c r="G79" s="680">
        <f t="shared" si="17"/>
        <v>112.16666666666667</v>
      </c>
      <c r="H79" s="679">
        <f t="shared" si="18"/>
        <v>92.666666666666671</v>
      </c>
      <c r="I79" s="679">
        <f t="shared" si="19"/>
        <v>61.5</v>
      </c>
      <c r="J79" s="679">
        <f t="shared" si="20"/>
        <v>38.200000000000003</v>
      </c>
      <c r="K79" s="673">
        <v>107</v>
      </c>
      <c r="L79" s="673">
        <v>107</v>
      </c>
      <c r="M79" s="673">
        <v>126</v>
      </c>
      <c r="N79" s="673">
        <v>93</v>
      </c>
      <c r="O79" s="673">
        <v>108</v>
      </c>
      <c r="P79" s="673">
        <v>132</v>
      </c>
      <c r="Q79" s="673">
        <v>86</v>
      </c>
      <c r="R79" s="673">
        <v>109</v>
      </c>
      <c r="S79" s="673">
        <v>99</v>
      </c>
      <c r="T79" s="673">
        <v>98</v>
      </c>
      <c r="U79" s="673">
        <v>89</v>
      </c>
      <c r="V79" s="665">
        <v>75</v>
      </c>
      <c r="W79" s="665">
        <v>71</v>
      </c>
      <c r="X79" s="665">
        <v>83</v>
      </c>
      <c r="Y79" s="665">
        <v>70</v>
      </c>
      <c r="Z79" s="665">
        <v>56</v>
      </c>
      <c r="AA79" s="665">
        <v>35</v>
      </c>
      <c r="AB79" s="665">
        <v>54</v>
      </c>
      <c r="AC79" s="665">
        <v>47</v>
      </c>
      <c r="AD79" s="665">
        <v>41</v>
      </c>
      <c r="AE79" s="665">
        <v>41</v>
      </c>
      <c r="AF79" s="665">
        <v>47</v>
      </c>
      <c r="AG79" s="665">
        <v>15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15"/>
        <v>0.1060004368286242</v>
      </c>
      <c r="F80" s="680">
        <f t="shared" si="16"/>
        <v>35.590000000000003</v>
      </c>
      <c r="G80" s="680">
        <f t="shared" si="17"/>
        <v>68.333333333333329</v>
      </c>
      <c r="H80" s="679">
        <f t="shared" si="18"/>
        <v>43.833333333333336</v>
      </c>
      <c r="I80" s="679">
        <f t="shared" si="19"/>
        <v>36.5</v>
      </c>
      <c r="J80" s="679">
        <f t="shared" si="20"/>
        <v>22.6</v>
      </c>
      <c r="K80" s="673">
        <v>102</v>
      </c>
      <c r="L80" s="673">
        <v>52</v>
      </c>
      <c r="M80" s="673">
        <v>109</v>
      </c>
      <c r="N80" s="673">
        <v>54</v>
      </c>
      <c r="O80" s="673">
        <v>52</v>
      </c>
      <c r="P80" s="673">
        <v>41</v>
      </c>
      <c r="Q80" s="673">
        <v>56</v>
      </c>
      <c r="R80" s="673">
        <v>30</v>
      </c>
      <c r="S80" s="673">
        <v>32</v>
      </c>
      <c r="T80" s="673">
        <v>43</v>
      </c>
      <c r="U80" s="673">
        <v>29</v>
      </c>
      <c r="V80" s="665">
        <v>73</v>
      </c>
      <c r="W80" s="665">
        <v>50</v>
      </c>
      <c r="X80" s="665">
        <v>43</v>
      </c>
      <c r="Y80" s="665">
        <v>44</v>
      </c>
      <c r="Z80" s="665">
        <v>32</v>
      </c>
      <c r="AA80" s="665">
        <v>18</v>
      </c>
      <c r="AB80" s="665">
        <v>32</v>
      </c>
      <c r="AC80" s="665">
        <v>25</v>
      </c>
      <c r="AD80" s="665">
        <v>36</v>
      </c>
      <c r="AE80" s="665">
        <v>29</v>
      </c>
      <c r="AF80" s="665">
        <v>10</v>
      </c>
      <c r="AG80" s="665">
        <v>13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15"/>
        <v>0.14871036276631655</v>
      </c>
      <c r="F81" s="680">
        <f t="shared" si="16"/>
        <v>49.93</v>
      </c>
      <c r="G81" s="680">
        <f t="shared" si="17"/>
        <v>60.666666666666664</v>
      </c>
      <c r="H81" s="679">
        <f t="shared" si="18"/>
        <v>68.166666666666671</v>
      </c>
      <c r="I81" s="679">
        <f t="shared" si="19"/>
        <v>48.5</v>
      </c>
      <c r="J81" s="679">
        <f t="shared" si="20"/>
        <v>39.200000000000003</v>
      </c>
      <c r="K81" s="673">
        <v>111</v>
      </c>
      <c r="L81" s="673">
        <v>39</v>
      </c>
      <c r="M81" s="673">
        <v>56</v>
      </c>
      <c r="N81" s="673">
        <v>67</v>
      </c>
      <c r="O81" s="673">
        <v>49</v>
      </c>
      <c r="P81" s="673">
        <v>42</v>
      </c>
      <c r="Q81" s="673">
        <v>55</v>
      </c>
      <c r="R81" s="673">
        <v>85</v>
      </c>
      <c r="S81" s="673">
        <v>60</v>
      </c>
      <c r="T81" s="673">
        <v>57</v>
      </c>
      <c r="U81" s="673">
        <v>62</v>
      </c>
      <c r="V81" s="665">
        <v>90</v>
      </c>
      <c r="W81" s="665">
        <v>40</v>
      </c>
      <c r="X81" s="665">
        <v>90</v>
      </c>
      <c r="Y81" s="665">
        <v>41</v>
      </c>
      <c r="Z81" s="665">
        <v>44</v>
      </c>
      <c r="AA81" s="665">
        <v>45</v>
      </c>
      <c r="AB81" s="665">
        <v>31</v>
      </c>
      <c r="AC81" s="665">
        <v>35</v>
      </c>
      <c r="AD81" s="665">
        <v>30</v>
      </c>
      <c r="AE81" s="665">
        <v>56</v>
      </c>
      <c r="AF81" s="665">
        <v>32</v>
      </c>
      <c r="AG81" s="665">
        <v>43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15"/>
        <v>0.17783888966106071</v>
      </c>
      <c r="F82" s="680">
        <f t="shared" si="16"/>
        <v>59.71</v>
      </c>
      <c r="G82" s="680">
        <f t="shared" si="17"/>
        <v>84.166666666666671</v>
      </c>
      <c r="H82" s="679">
        <f t="shared" si="18"/>
        <v>71.666666666666671</v>
      </c>
      <c r="I82" s="679">
        <f t="shared" si="19"/>
        <v>66.666666666666671</v>
      </c>
      <c r="J82" s="679">
        <f t="shared" si="20"/>
        <v>42.4</v>
      </c>
      <c r="K82" s="673">
        <v>66</v>
      </c>
      <c r="L82" s="673">
        <v>77</v>
      </c>
      <c r="M82" s="673">
        <v>107</v>
      </c>
      <c r="N82" s="673">
        <v>107</v>
      </c>
      <c r="O82" s="673">
        <v>93</v>
      </c>
      <c r="P82" s="673">
        <v>55</v>
      </c>
      <c r="Q82" s="673">
        <v>75</v>
      </c>
      <c r="R82" s="673">
        <v>96</v>
      </c>
      <c r="S82" s="673">
        <v>49</v>
      </c>
      <c r="T82" s="673">
        <v>58</v>
      </c>
      <c r="U82" s="673">
        <v>51</v>
      </c>
      <c r="V82" s="665">
        <v>101</v>
      </c>
      <c r="W82" s="665">
        <v>72</v>
      </c>
      <c r="X82" s="665">
        <v>109</v>
      </c>
      <c r="Y82" s="665">
        <v>55</v>
      </c>
      <c r="Z82" s="665">
        <v>52</v>
      </c>
      <c r="AA82" s="665">
        <v>50</v>
      </c>
      <c r="AB82" s="665">
        <v>62</v>
      </c>
      <c r="AC82" s="665">
        <v>44</v>
      </c>
      <c r="AD82" s="665">
        <v>55</v>
      </c>
      <c r="AE82" s="665">
        <v>69</v>
      </c>
      <c r="AF82" s="665">
        <v>25</v>
      </c>
      <c r="AG82" s="665">
        <v>19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15"/>
        <v>0.10471973472589002</v>
      </c>
      <c r="F83" s="680">
        <f t="shared" si="16"/>
        <v>35.159999999999997</v>
      </c>
      <c r="G83" s="680">
        <f t="shared" si="17"/>
        <v>36</v>
      </c>
      <c r="H83" s="679">
        <f t="shared" si="18"/>
        <v>24.5</v>
      </c>
      <c r="I83" s="679">
        <f t="shared" si="19"/>
        <v>36.333333333333336</v>
      </c>
      <c r="J83" s="679">
        <f t="shared" si="20"/>
        <v>39.4</v>
      </c>
      <c r="K83" s="673">
        <v>40</v>
      </c>
      <c r="L83" s="673">
        <v>43</v>
      </c>
      <c r="M83" s="673">
        <v>55</v>
      </c>
      <c r="N83" s="673">
        <v>29</v>
      </c>
      <c r="O83" s="673">
        <v>31</v>
      </c>
      <c r="P83" s="673">
        <v>18</v>
      </c>
      <c r="Q83" s="673">
        <v>21</v>
      </c>
      <c r="R83" s="673">
        <v>30</v>
      </c>
      <c r="S83" s="673">
        <v>12</v>
      </c>
      <c r="T83" s="673">
        <v>33</v>
      </c>
      <c r="U83" s="673">
        <v>22</v>
      </c>
      <c r="V83" s="665">
        <v>29</v>
      </c>
      <c r="W83" s="665">
        <v>11</v>
      </c>
      <c r="X83" s="665">
        <v>51</v>
      </c>
      <c r="Y83" s="665">
        <v>44</v>
      </c>
      <c r="Z83" s="665">
        <v>25</v>
      </c>
      <c r="AA83" s="665">
        <v>33</v>
      </c>
      <c r="AB83" s="665">
        <v>54</v>
      </c>
      <c r="AC83" s="665">
        <v>20</v>
      </c>
      <c r="AD83" s="665">
        <v>36</v>
      </c>
      <c r="AE83" s="665">
        <v>43</v>
      </c>
      <c r="AF83" s="665">
        <v>80</v>
      </c>
      <c r="AG83" s="665">
        <v>18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15"/>
        <v>0.14021206044119691</v>
      </c>
      <c r="F84" s="680">
        <f t="shared" si="16"/>
        <v>47.076666666666668</v>
      </c>
      <c r="G84" s="680">
        <f t="shared" si="17"/>
        <v>77.166666666666671</v>
      </c>
      <c r="H84" s="679">
        <f t="shared" si="18"/>
        <v>72</v>
      </c>
      <c r="I84" s="679">
        <f t="shared" si="19"/>
        <v>56</v>
      </c>
      <c r="J84" s="679">
        <f t="shared" si="20"/>
        <v>20.399999999999999</v>
      </c>
      <c r="K84" s="673">
        <v>80</v>
      </c>
      <c r="L84" s="673">
        <v>50</v>
      </c>
      <c r="M84" s="673">
        <v>88</v>
      </c>
      <c r="N84" s="673">
        <v>95</v>
      </c>
      <c r="O84" s="673">
        <v>97</v>
      </c>
      <c r="P84" s="673">
        <v>53</v>
      </c>
      <c r="Q84" s="673">
        <v>56</v>
      </c>
      <c r="R84" s="673">
        <v>56</v>
      </c>
      <c r="S84" s="673">
        <v>48</v>
      </c>
      <c r="T84" s="673">
        <v>84</v>
      </c>
      <c r="U84" s="673">
        <v>68</v>
      </c>
      <c r="V84" s="665">
        <v>120</v>
      </c>
      <c r="W84" s="665">
        <v>83</v>
      </c>
      <c r="X84" s="665">
        <v>69</v>
      </c>
      <c r="Y84" s="665">
        <v>53</v>
      </c>
      <c r="Z84" s="665">
        <v>38</v>
      </c>
      <c r="AA84" s="665">
        <v>44</v>
      </c>
      <c r="AB84" s="665">
        <v>49</v>
      </c>
      <c r="AC84" s="665">
        <v>20</v>
      </c>
      <c r="AD84" s="665">
        <v>27</v>
      </c>
      <c r="AE84" s="665">
        <v>33</v>
      </c>
      <c r="AF84" s="665">
        <v>9</v>
      </c>
      <c r="AG84" s="665">
        <v>13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15"/>
        <v>0.14148283462065406</v>
      </c>
      <c r="F85" s="680">
        <f t="shared" si="16"/>
        <v>47.50333333333333</v>
      </c>
      <c r="G85" s="680">
        <f t="shared" si="17"/>
        <v>80.833333333333329</v>
      </c>
      <c r="H85" s="679">
        <f t="shared" si="18"/>
        <v>62</v>
      </c>
      <c r="I85" s="679">
        <f t="shared" si="19"/>
        <v>41</v>
      </c>
      <c r="J85" s="679">
        <f t="shared" si="20"/>
        <v>36.799999999999997</v>
      </c>
      <c r="K85" s="673">
        <v>65</v>
      </c>
      <c r="L85" s="673">
        <v>95</v>
      </c>
      <c r="M85" s="673">
        <v>84</v>
      </c>
      <c r="N85" s="673">
        <v>95</v>
      </c>
      <c r="O85" s="673">
        <v>68</v>
      </c>
      <c r="P85" s="673">
        <v>78</v>
      </c>
      <c r="Q85" s="673">
        <v>72</v>
      </c>
      <c r="R85" s="673">
        <v>64</v>
      </c>
      <c r="S85" s="673">
        <v>59</v>
      </c>
      <c r="T85" s="673">
        <v>52</v>
      </c>
      <c r="U85" s="673">
        <v>66</v>
      </c>
      <c r="V85" s="665">
        <v>59</v>
      </c>
      <c r="W85" s="665">
        <v>47</v>
      </c>
      <c r="X85" s="665">
        <v>32</v>
      </c>
      <c r="Y85" s="665">
        <v>43</v>
      </c>
      <c r="Z85" s="665">
        <v>33</v>
      </c>
      <c r="AA85" s="665">
        <v>37</v>
      </c>
      <c r="AB85" s="665">
        <v>54</v>
      </c>
      <c r="AC85" s="665">
        <v>40</v>
      </c>
      <c r="AD85" s="665">
        <v>53</v>
      </c>
      <c r="AE85" s="665">
        <v>40</v>
      </c>
      <c r="AF85" s="665">
        <v>30</v>
      </c>
      <c r="AG85" s="665">
        <v>21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15"/>
        <v>0.18103568095625758</v>
      </c>
      <c r="F86" s="680">
        <f t="shared" si="16"/>
        <v>60.783333333333331</v>
      </c>
      <c r="G86" s="680">
        <f t="shared" si="17"/>
        <v>74.166666666666671</v>
      </c>
      <c r="H86" s="679">
        <f t="shared" si="18"/>
        <v>64.833333333333329</v>
      </c>
      <c r="I86" s="679">
        <f t="shared" si="19"/>
        <v>60</v>
      </c>
      <c r="J86" s="679">
        <f t="shared" si="20"/>
        <v>56</v>
      </c>
      <c r="K86" s="673">
        <v>115</v>
      </c>
      <c r="L86" s="673">
        <v>53</v>
      </c>
      <c r="M86" s="673">
        <v>58</v>
      </c>
      <c r="N86" s="673">
        <v>81</v>
      </c>
      <c r="O86" s="673">
        <v>84</v>
      </c>
      <c r="P86" s="673">
        <v>54</v>
      </c>
      <c r="Q86" s="673">
        <v>84</v>
      </c>
      <c r="R86" s="673">
        <v>61</v>
      </c>
      <c r="S86" s="673">
        <v>64</v>
      </c>
      <c r="T86" s="673">
        <v>43</v>
      </c>
      <c r="U86" s="673">
        <v>56</v>
      </c>
      <c r="V86" s="665">
        <v>81</v>
      </c>
      <c r="W86" s="665">
        <v>62</v>
      </c>
      <c r="X86" s="665">
        <v>68</v>
      </c>
      <c r="Y86" s="665">
        <v>49</v>
      </c>
      <c r="Z86" s="665">
        <v>53</v>
      </c>
      <c r="AA86" s="665">
        <v>55</v>
      </c>
      <c r="AB86" s="665">
        <v>73</v>
      </c>
      <c r="AC86" s="665">
        <v>83</v>
      </c>
      <c r="AD86" s="665">
        <v>53</v>
      </c>
      <c r="AE86" s="665">
        <v>53</v>
      </c>
      <c r="AF86" s="665">
        <v>49</v>
      </c>
      <c r="AG86" s="665">
        <v>42</v>
      </c>
      <c r="AH86" s="665"/>
    </row>
  </sheetData>
  <mergeCells count="36">
    <mergeCell ref="C6:D7"/>
    <mergeCell ref="K6:V6"/>
    <mergeCell ref="W6:AH6"/>
    <mergeCell ref="C8:D8"/>
    <mergeCell ref="C9:D9"/>
    <mergeCell ref="E6:E7"/>
    <mergeCell ref="G6:H6"/>
    <mergeCell ref="I6:J6"/>
    <mergeCell ref="F6:F7"/>
    <mergeCell ref="C10:D10"/>
    <mergeCell ref="C11:D11"/>
    <mergeCell ref="C12:D12"/>
    <mergeCell ref="C15:D16"/>
    <mergeCell ref="K15:V15"/>
    <mergeCell ref="W15:AH15"/>
    <mergeCell ref="C17:D17"/>
    <mergeCell ref="C18:D18"/>
    <mergeCell ref="C19:D19"/>
    <mergeCell ref="C20:D20"/>
    <mergeCell ref="E15:E16"/>
    <mergeCell ref="F15:F16"/>
    <mergeCell ref="K28:V28"/>
    <mergeCell ref="W28:AH28"/>
    <mergeCell ref="E28:E29"/>
    <mergeCell ref="C22:D22"/>
    <mergeCell ref="C23:D23"/>
    <mergeCell ref="C24:D24"/>
    <mergeCell ref="C25:D25"/>
    <mergeCell ref="F28:F29"/>
    <mergeCell ref="C30:D30"/>
    <mergeCell ref="G28:H28"/>
    <mergeCell ref="I28:J28"/>
    <mergeCell ref="G15:H15"/>
    <mergeCell ref="I15:J15"/>
    <mergeCell ref="C28:D29"/>
    <mergeCell ref="C21:D21"/>
  </mergeCells>
  <phoneticPr fontId="1" type="noConversion"/>
  <conditionalFormatting sqref="W31:AH86 I28 K28:AH28 K15:AH16 K6:AH7 G28 G29:AH29 F8:AH14 F30:AH30 F31:J86 F6 F1:AH5 F87:AH1048576 C1:D1048576 E17:AH27">
    <cfRule type="cellIs" dxfId="77" priority="9" operator="equal">
      <formula>0</formula>
    </cfRule>
  </conditionalFormatting>
  <conditionalFormatting sqref="K31:V86">
    <cfRule type="cellIs" dxfId="76" priority="8" operator="equal">
      <formula>0</formula>
    </cfRule>
  </conditionalFormatting>
  <conditionalFormatting sqref="G16:J16 G15 I15">
    <cfRule type="cellIs" dxfId="75" priority="7" operator="equal">
      <formula>0</formula>
    </cfRule>
  </conditionalFormatting>
  <conditionalFormatting sqref="G7:J7 G6 I6">
    <cfRule type="cellIs" dxfId="74" priority="6" operator="equal">
      <formula>0</formula>
    </cfRule>
  </conditionalFormatting>
  <conditionalFormatting sqref="F15">
    <cfRule type="cellIs" dxfId="73" priority="5" operator="equal">
      <formula>0</formula>
    </cfRule>
  </conditionalFormatting>
  <conditionalFormatting sqref="F28">
    <cfRule type="cellIs" dxfId="72" priority="4" operator="equal">
      <formula>0</formula>
    </cfRule>
  </conditionalFormatting>
  <conditionalFormatting sqref="E8:E14 E1:E6 E30:E1048576">
    <cfRule type="cellIs" dxfId="71" priority="3" operator="equal">
      <formula>0</formula>
    </cfRule>
  </conditionalFormatting>
  <conditionalFormatting sqref="E15">
    <cfRule type="cellIs" dxfId="70" priority="2" operator="equal">
      <formula>0</formula>
    </cfRule>
  </conditionalFormatting>
  <conditionalFormatting sqref="E28">
    <cfRule type="cellIs" dxfId="69" priority="1" operator="equal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492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493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1734.7199999999998</v>
      </c>
      <c r="G8" s="678">
        <f>SUM(G9:G12)</f>
        <v>1388.3333333333333</v>
      </c>
      <c r="H8" s="671">
        <f t="shared" ref="H8:J8" si="0">SUM(H9:H12)</f>
        <v>1650.3333333333335</v>
      </c>
      <c r="I8" s="671">
        <f t="shared" si="0"/>
        <v>2026.3333333333335</v>
      </c>
      <c r="J8" s="671">
        <f t="shared" si="0"/>
        <v>1644.8000000000002</v>
      </c>
      <c r="K8" s="671">
        <f t="shared" ref="K8:AH8" si="1">SUM(K9:K12)</f>
        <v>1093</v>
      </c>
      <c r="L8" s="671">
        <f t="shared" si="1"/>
        <v>1097</v>
      </c>
      <c r="M8" s="671">
        <f t="shared" si="1"/>
        <v>1414</v>
      </c>
      <c r="N8" s="671">
        <f t="shared" si="1"/>
        <v>1674</v>
      </c>
      <c r="O8" s="671">
        <f t="shared" si="1"/>
        <v>1745</v>
      </c>
      <c r="P8" s="671">
        <f t="shared" si="1"/>
        <v>1307</v>
      </c>
      <c r="Q8" s="671">
        <f t="shared" si="1"/>
        <v>1471</v>
      </c>
      <c r="R8" s="671">
        <f t="shared" si="1"/>
        <v>1499</v>
      </c>
      <c r="S8" s="671">
        <f t="shared" si="1"/>
        <v>1096</v>
      </c>
      <c r="T8" s="671">
        <f t="shared" si="1"/>
        <v>1532</v>
      </c>
      <c r="U8" s="671">
        <f t="shared" si="1"/>
        <v>2048</v>
      </c>
      <c r="V8" s="671">
        <f t="shared" si="1"/>
        <v>2256</v>
      </c>
      <c r="W8" s="671">
        <f t="shared" si="1"/>
        <v>2275</v>
      </c>
      <c r="X8" s="671">
        <f t="shared" si="1"/>
        <v>2244</v>
      </c>
      <c r="Y8" s="671">
        <f t="shared" si="1"/>
        <v>1974</v>
      </c>
      <c r="Z8" s="671">
        <f t="shared" si="1"/>
        <v>1688</v>
      </c>
      <c r="AA8" s="671">
        <f t="shared" si="1"/>
        <v>2050</v>
      </c>
      <c r="AB8" s="671">
        <f t="shared" si="1"/>
        <v>1927</v>
      </c>
      <c r="AC8" s="671">
        <f t="shared" si="1"/>
        <v>1784</v>
      </c>
      <c r="AD8" s="671">
        <f t="shared" si="1"/>
        <v>2215</v>
      </c>
      <c r="AE8" s="671">
        <f t="shared" si="1"/>
        <v>1826</v>
      </c>
      <c r="AF8" s="671">
        <f t="shared" si="1"/>
        <v>1940</v>
      </c>
      <c r="AG8" s="671">
        <f t="shared" si="1"/>
        <v>459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0.16350573387443892</v>
      </c>
      <c r="F9" s="683">
        <f t="shared" ref="F9:F12" si="3">G9*10%+H9*20%+I9*30%+J9*40%</f>
        <v>283.63666666666666</v>
      </c>
      <c r="G9" s="675">
        <f t="shared" ref="G9:G12" si="4">AVERAGE(K9:P9)</f>
        <v>175.16666666666666</v>
      </c>
      <c r="H9" s="672">
        <f t="shared" ref="H9:H12" si="5">AVERAGE(Q9:V9)</f>
        <v>214.5</v>
      </c>
      <c r="I9" s="672">
        <f t="shared" ref="I9:I12" si="6">AVERAGE(W9:AB9)</f>
        <v>431</v>
      </c>
      <c r="J9" s="672">
        <f t="shared" ref="J9:J12" si="7">AVERAGE(AC9:AG9)</f>
        <v>234.8</v>
      </c>
      <c r="K9" s="673">
        <f>SUMIF($B$18:$B$25,$C9,K$18:K$25)</f>
        <v>207</v>
      </c>
      <c r="L9" s="673">
        <f t="shared" ref="L9:AA12" si="8">SUMIF($B$18:$B$25,$C9,L$18:L$25)</f>
        <v>169</v>
      </c>
      <c r="M9" s="673">
        <f t="shared" si="8"/>
        <v>179</v>
      </c>
      <c r="N9" s="673">
        <f t="shared" si="8"/>
        <v>211</v>
      </c>
      <c r="O9" s="673">
        <f t="shared" si="8"/>
        <v>184</v>
      </c>
      <c r="P9" s="673">
        <f t="shared" si="8"/>
        <v>101</v>
      </c>
      <c r="Q9" s="673">
        <f t="shared" si="8"/>
        <v>142</v>
      </c>
      <c r="R9" s="673">
        <f t="shared" si="8"/>
        <v>180</v>
      </c>
      <c r="S9" s="673">
        <f t="shared" si="8"/>
        <v>152</v>
      </c>
      <c r="T9" s="673">
        <f t="shared" si="8"/>
        <v>221</v>
      </c>
      <c r="U9" s="673">
        <f t="shared" si="8"/>
        <v>265</v>
      </c>
      <c r="V9" s="673">
        <f t="shared" si="8"/>
        <v>327</v>
      </c>
      <c r="W9" s="673">
        <f t="shared" si="8"/>
        <v>455</v>
      </c>
      <c r="X9" s="673">
        <f t="shared" si="8"/>
        <v>571</v>
      </c>
      <c r="Y9" s="673">
        <f t="shared" si="8"/>
        <v>514</v>
      </c>
      <c r="Z9" s="673">
        <f t="shared" si="8"/>
        <v>295</v>
      </c>
      <c r="AA9" s="673">
        <f t="shared" si="8"/>
        <v>412</v>
      </c>
      <c r="AB9" s="673">
        <f t="shared" ref="AB9:AG12" si="9">SUMIF($B$18:$B$25,$C9,AB$18:AB$25)</f>
        <v>339</v>
      </c>
      <c r="AC9" s="673">
        <f t="shared" si="9"/>
        <v>285</v>
      </c>
      <c r="AD9" s="673">
        <f t="shared" si="9"/>
        <v>271</v>
      </c>
      <c r="AE9" s="673">
        <f t="shared" si="9"/>
        <v>241</v>
      </c>
      <c r="AF9" s="673">
        <f t="shared" si="9"/>
        <v>299</v>
      </c>
      <c r="AG9" s="673">
        <f t="shared" si="9"/>
        <v>78</v>
      </c>
      <c r="AH9" s="673"/>
    </row>
    <row r="10" spans="1:34">
      <c r="C10" s="1002" t="s">
        <v>332</v>
      </c>
      <c r="D10" s="984"/>
      <c r="E10" s="690">
        <f t="shared" si="2"/>
        <v>0.20764734366353077</v>
      </c>
      <c r="F10" s="683">
        <f t="shared" si="3"/>
        <v>360.21000000000004</v>
      </c>
      <c r="G10" s="675">
        <f t="shared" si="4"/>
        <v>293.5</v>
      </c>
      <c r="H10" s="672">
        <f t="shared" si="5"/>
        <v>297.5</v>
      </c>
      <c r="I10" s="672">
        <f t="shared" si="6"/>
        <v>421.33333333333331</v>
      </c>
      <c r="J10" s="672">
        <f t="shared" si="7"/>
        <v>362.4</v>
      </c>
      <c r="K10" s="673">
        <f t="shared" ref="K10:K12" si="10">SUMIF($B$18:$B$25,$C10,K$18:K$25)</f>
        <v>296</v>
      </c>
      <c r="L10" s="673">
        <f t="shared" si="8"/>
        <v>222</v>
      </c>
      <c r="M10" s="673">
        <f t="shared" si="8"/>
        <v>338</v>
      </c>
      <c r="N10" s="673">
        <f t="shared" si="8"/>
        <v>327</v>
      </c>
      <c r="O10" s="673">
        <f t="shared" si="8"/>
        <v>316</v>
      </c>
      <c r="P10" s="673">
        <f t="shared" si="8"/>
        <v>262</v>
      </c>
      <c r="Q10" s="673">
        <f t="shared" si="8"/>
        <v>270</v>
      </c>
      <c r="R10" s="673">
        <f t="shared" si="8"/>
        <v>312</v>
      </c>
      <c r="S10" s="673">
        <f t="shared" si="8"/>
        <v>201</v>
      </c>
      <c r="T10" s="673">
        <f t="shared" si="8"/>
        <v>261</v>
      </c>
      <c r="U10" s="673">
        <f t="shared" si="8"/>
        <v>332</v>
      </c>
      <c r="V10" s="673">
        <f t="shared" si="8"/>
        <v>409</v>
      </c>
      <c r="W10" s="673">
        <f t="shared" si="8"/>
        <v>414</v>
      </c>
      <c r="X10" s="673">
        <f t="shared" si="8"/>
        <v>415</v>
      </c>
      <c r="Y10" s="673">
        <f t="shared" si="8"/>
        <v>374</v>
      </c>
      <c r="Z10" s="673">
        <f t="shared" si="8"/>
        <v>421</v>
      </c>
      <c r="AA10" s="673">
        <f t="shared" si="8"/>
        <v>452</v>
      </c>
      <c r="AB10" s="673">
        <f t="shared" si="9"/>
        <v>452</v>
      </c>
      <c r="AC10" s="673">
        <f t="shared" si="9"/>
        <v>395</v>
      </c>
      <c r="AD10" s="673">
        <f t="shared" si="9"/>
        <v>545</v>
      </c>
      <c r="AE10" s="673">
        <f t="shared" si="9"/>
        <v>379</v>
      </c>
      <c r="AF10" s="673">
        <f t="shared" si="9"/>
        <v>375</v>
      </c>
      <c r="AG10" s="673">
        <f t="shared" si="9"/>
        <v>118</v>
      </c>
      <c r="AH10" s="673"/>
    </row>
    <row r="11" spans="1:34">
      <c r="C11" s="1002" t="s">
        <v>333</v>
      </c>
      <c r="D11" s="984"/>
      <c r="E11" s="690">
        <f t="shared" si="2"/>
        <v>0.33106207341818855</v>
      </c>
      <c r="F11" s="683">
        <f t="shared" si="3"/>
        <v>574.29999999999995</v>
      </c>
      <c r="G11" s="675">
        <f t="shared" si="4"/>
        <v>501.83333333333331</v>
      </c>
      <c r="H11" s="672">
        <f t="shared" si="5"/>
        <v>587.83333333333337</v>
      </c>
      <c r="I11" s="672">
        <f t="shared" si="6"/>
        <v>607.16666666666663</v>
      </c>
      <c r="J11" s="672">
        <f t="shared" si="7"/>
        <v>561</v>
      </c>
      <c r="K11" s="673">
        <f t="shared" si="10"/>
        <v>304</v>
      </c>
      <c r="L11" s="673">
        <f t="shared" si="8"/>
        <v>401</v>
      </c>
      <c r="M11" s="673">
        <f t="shared" si="8"/>
        <v>571</v>
      </c>
      <c r="N11" s="673">
        <f t="shared" si="8"/>
        <v>635</v>
      </c>
      <c r="O11" s="673">
        <f t="shared" si="8"/>
        <v>609</v>
      </c>
      <c r="P11" s="673">
        <f t="shared" si="8"/>
        <v>491</v>
      </c>
      <c r="Q11" s="673">
        <f t="shared" si="8"/>
        <v>563</v>
      </c>
      <c r="R11" s="673">
        <f t="shared" si="8"/>
        <v>515</v>
      </c>
      <c r="S11" s="673">
        <f t="shared" si="8"/>
        <v>416</v>
      </c>
      <c r="T11" s="673">
        <f t="shared" si="8"/>
        <v>487</v>
      </c>
      <c r="U11" s="673">
        <f t="shared" si="8"/>
        <v>760</v>
      </c>
      <c r="V11" s="673">
        <f t="shared" si="8"/>
        <v>786</v>
      </c>
      <c r="W11" s="673">
        <f t="shared" si="8"/>
        <v>713</v>
      </c>
      <c r="X11" s="673">
        <f t="shared" si="8"/>
        <v>618</v>
      </c>
      <c r="Y11" s="673">
        <f t="shared" si="8"/>
        <v>562</v>
      </c>
      <c r="Z11" s="673">
        <f t="shared" si="8"/>
        <v>535</v>
      </c>
      <c r="AA11" s="673">
        <f t="shared" si="8"/>
        <v>599</v>
      </c>
      <c r="AB11" s="673">
        <f t="shared" si="9"/>
        <v>616</v>
      </c>
      <c r="AC11" s="673">
        <f t="shared" si="9"/>
        <v>590</v>
      </c>
      <c r="AD11" s="673">
        <f t="shared" si="9"/>
        <v>796</v>
      </c>
      <c r="AE11" s="673">
        <f t="shared" si="9"/>
        <v>651</v>
      </c>
      <c r="AF11" s="673">
        <f t="shared" si="9"/>
        <v>635</v>
      </c>
      <c r="AG11" s="673">
        <f t="shared" si="9"/>
        <v>133</v>
      </c>
      <c r="AH11" s="673"/>
    </row>
    <row r="12" spans="1:34">
      <c r="C12" s="1002" t="s">
        <v>334</v>
      </c>
      <c r="D12" s="984"/>
      <c r="E12" s="690">
        <f t="shared" si="2"/>
        <v>0.29778484904384189</v>
      </c>
      <c r="F12" s="683">
        <f t="shared" si="3"/>
        <v>516.57333333333338</v>
      </c>
      <c r="G12" s="675">
        <f t="shared" si="4"/>
        <v>417.83333333333331</v>
      </c>
      <c r="H12" s="672">
        <f t="shared" si="5"/>
        <v>550.5</v>
      </c>
      <c r="I12" s="672">
        <f t="shared" si="6"/>
        <v>566.83333333333337</v>
      </c>
      <c r="J12" s="672">
        <f t="shared" si="7"/>
        <v>486.6</v>
      </c>
      <c r="K12" s="673">
        <f t="shared" si="10"/>
        <v>286</v>
      </c>
      <c r="L12" s="673">
        <f t="shared" si="8"/>
        <v>305</v>
      </c>
      <c r="M12" s="673">
        <f t="shared" si="8"/>
        <v>326</v>
      </c>
      <c r="N12" s="673">
        <f t="shared" si="8"/>
        <v>501</v>
      </c>
      <c r="O12" s="673">
        <f t="shared" si="8"/>
        <v>636</v>
      </c>
      <c r="P12" s="673">
        <f t="shared" si="8"/>
        <v>453</v>
      </c>
      <c r="Q12" s="673">
        <f t="shared" si="8"/>
        <v>496</v>
      </c>
      <c r="R12" s="673">
        <f t="shared" si="8"/>
        <v>492</v>
      </c>
      <c r="S12" s="673">
        <f t="shared" si="8"/>
        <v>327</v>
      </c>
      <c r="T12" s="673">
        <f t="shared" si="8"/>
        <v>563</v>
      </c>
      <c r="U12" s="673">
        <f t="shared" si="8"/>
        <v>691</v>
      </c>
      <c r="V12" s="673">
        <f t="shared" si="8"/>
        <v>734</v>
      </c>
      <c r="W12" s="673">
        <f t="shared" si="8"/>
        <v>693</v>
      </c>
      <c r="X12" s="673">
        <f t="shared" si="8"/>
        <v>640</v>
      </c>
      <c r="Y12" s="673">
        <f t="shared" si="8"/>
        <v>524</v>
      </c>
      <c r="Z12" s="673">
        <f t="shared" si="8"/>
        <v>437</v>
      </c>
      <c r="AA12" s="673">
        <f t="shared" si="8"/>
        <v>587</v>
      </c>
      <c r="AB12" s="673">
        <f t="shared" si="9"/>
        <v>520</v>
      </c>
      <c r="AC12" s="673">
        <f t="shared" si="9"/>
        <v>514</v>
      </c>
      <c r="AD12" s="673">
        <f t="shared" si="9"/>
        <v>603</v>
      </c>
      <c r="AE12" s="673">
        <f t="shared" si="9"/>
        <v>555</v>
      </c>
      <c r="AF12" s="673">
        <f t="shared" si="9"/>
        <v>631</v>
      </c>
      <c r="AG12" s="673">
        <f t="shared" si="9"/>
        <v>130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1.0000000000000002</v>
      </c>
      <c r="F17" s="684">
        <f>SUM(F18:F25)</f>
        <v>1734.7200000000003</v>
      </c>
      <c r="G17" s="674">
        <f>SUM(G18:G25)</f>
        <v>1388.3333333333333</v>
      </c>
      <c r="H17" s="674">
        <f t="shared" ref="H17:J17" si="12">SUM(H18:H25)</f>
        <v>1650.3333333333335</v>
      </c>
      <c r="I17" s="674">
        <f t="shared" si="12"/>
        <v>2026.3333333333335</v>
      </c>
      <c r="J17" s="674">
        <f t="shared" si="12"/>
        <v>1644.8000000000002</v>
      </c>
      <c r="K17" s="671">
        <f t="shared" ref="K17:AH17" si="13">SUM(K18:K25)</f>
        <v>1093</v>
      </c>
      <c r="L17" s="671">
        <f t="shared" si="13"/>
        <v>1097</v>
      </c>
      <c r="M17" s="671">
        <f t="shared" si="13"/>
        <v>1414</v>
      </c>
      <c r="N17" s="671">
        <f t="shared" si="13"/>
        <v>1674</v>
      </c>
      <c r="O17" s="671">
        <f t="shared" si="13"/>
        <v>1745</v>
      </c>
      <c r="P17" s="671">
        <f t="shared" si="13"/>
        <v>1307</v>
      </c>
      <c r="Q17" s="671">
        <f t="shared" si="13"/>
        <v>1471</v>
      </c>
      <c r="R17" s="671">
        <f t="shared" si="13"/>
        <v>1499</v>
      </c>
      <c r="S17" s="671">
        <f t="shared" si="13"/>
        <v>1096</v>
      </c>
      <c r="T17" s="671">
        <f t="shared" si="13"/>
        <v>1532</v>
      </c>
      <c r="U17" s="671">
        <f t="shared" si="13"/>
        <v>2048</v>
      </c>
      <c r="V17" s="671">
        <f t="shared" si="13"/>
        <v>2256</v>
      </c>
      <c r="W17" s="671">
        <f t="shared" si="13"/>
        <v>2275</v>
      </c>
      <c r="X17" s="671">
        <f t="shared" si="13"/>
        <v>2244</v>
      </c>
      <c r="Y17" s="671">
        <f t="shared" si="13"/>
        <v>1974</v>
      </c>
      <c r="Z17" s="671">
        <f t="shared" si="13"/>
        <v>1688</v>
      </c>
      <c r="AA17" s="671">
        <f t="shared" si="13"/>
        <v>2050</v>
      </c>
      <c r="AB17" s="671">
        <f t="shared" si="13"/>
        <v>1927</v>
      </c>
      <c r="AC17" s="671">
        <f t="shared" si="13"/>
        <v>1784</v>
      </c>
      <c r="AD17" s="671">
        <f t="shared" si="13"/>
        <v>2215</v>
      </c>
      <c r="AE17" s="671">
        <f t="shared" si="13"/>
        <v>1826</v>
      </c>
      <c r="AF17" s="671">
        <f t="shared" si="13"/>
        <v>1940</v>
      </c>
      <c r="AG17" s="671">
        <f t="shared" si="13"/>
        <v>459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0.11601872348275227</v>
      </c>
      <c r="F18" s="683">
        <f t="shared" ref="F18:F25" si="14">G18*10%+H18*20%+I18*30%+J18*40%</f>
        <v>201.26</v>
      </c>
      <c r="G18" s="675">
        <f t="shared" ref="G18:G25" si="15">AVERAGE(K18:P18)</f>
        <v>137.83333333333334</v>
      </c>
      <c r="H18" s="675">
        <f t="shared" ref="H18:H25" si="16">AVERAGE(Q18:V18)</f>
        <v>159.33333333333334</v>
      </c>
      <c r="I18" s="675">
        <f t="shared" ref="I18:I25" si="17">AVERAGE(W18:AB18)</f>
        <v>310.16666666666669</v>
      </c>
      <c r="J18" s="675">
        <f t="shared" ref="J18:J25" si="18">AVERAGE(AC18:AG18)</f>
        <v>156.4</v>
      </c>
      <c r="K18" s="673">
        <f>SUMIF($B$31:$B$86,$C18,K$31:K$86)</f>
        <v>163</v>
      </c>
      <c r="L18" s="673">
        <f t="shared" ref="L18:AA25" si="19">SUMIF($B$31:$B$86,$C18,L$31:L$86)</f>
        <v>136</v>
      </c>
      <c r="M18" s="673">
        <f t="shared" si="19"/>
        <v>150</v>
      </c>
      <c r="N18" s="673">
        <f t="shared" si="19"/>
        <v>182</v>
      </c>
      <c r="O18" s="673">
        <f t="shared" si="19"/>
        <v>124</v>
      </c>
      <c r="P18" s="673">
        <f t="shared" si="19"/>
        <v>72</v>
      </c>
      <c r="Q18" s="673">
        <f t="shared" si="19"/>
        <v>103</v>
      </c>
      <c r="R18" s="673">
        <f t="shared" si="19"/>
        <v>133</v>
      </c>
      <c r="S18" s="673">
        <f t="shared" si="19"/>
        <v>102</v>
      </c>
      <c r="T18" s="673">
        <f t="shared" si="19"/>
        <v>155</v>
      </c>
      <c r="U18" s="673">
        <f t="shared" si="19"/>
        <v>197</v>
      </c>
      <c r="V18" s="673">
        <f t="shared" si="19"/>
        <v>266</v>
      </c>
      <c r="W18" s="673">
        <f t="shared" si="19"/>
        <v>321</v>
      </c>
      <c r="X18" s="673">
        <f t="shared" si="19"/>
        <v>393</v>
      </c>
      <c r="Y18" s="673">
        <f t="shared" si="19"/>
        <v>389</v>
      </c>
      <c r="Z18" s="673">
        <f t="shared" si="19"/>
        <v>212</v>
      </c>
      <c r="AA18" s="673">
        <f t="shared" si="19"/>
        <v>313</v>
      </c>
      <c r="AB18" s="673">
        <f t="shared" ref="AB18:AG25" si="20">SUMIF($B$31:$B$86,$C18,AB$31:AB$86)</f>
        <v>233</v>
      </c>
      <c r="AC18" s="673">
        <f t="shared" si="20"/>
        <v>192</v>
      </c>
      <c r="AD18" s="673">
        <f t="shared" si="20"/>
        <v>170</v>
      </c>
      <c r="AE18" s="673">
        <f t="shared" si="20"/>
        <v>143</v>
      </c>
      <c r="AF18" s="673">
        <f t="shared" si="20"/>
        <v>213</v>
      </c>
      <c r="AG18" s="673">
        <f t="shared" si="20"/>
        <v>64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4.7487010391686658E-2</v>
      </c>
      <c r="F19" s="683">
        <f t="shared" si="14"/>
        <v>82.376666666666665</v>
      </c>
      <c r="G19" s="675">
        <f t="shared" si="15"/>
        <v>37.333333333333336</v>
      </c>
      <c r="H19" s="675">
        <f t="shared" si="16"/>
        <v>55.166666666666664</v>
      </c>
      <c r="I19" s="675">
        <f t="shared" si="17"/>
        <v>120.83333333333333</v>
      </c>
      <c r="J19" s="675">
        <f t="shared" si="18"/>
        <v>78.400000000000006</v>
      </c>
      <c r="K19" s="673">
        <f t="shared" ref="K19:K25" si="21">SUMIF($B$31:$B$86,$C19,K$31:K$86)</f>
        <v>44</v>
      </c>
      <c r="L19" s="673">
        <f t="shared" si="19"/>
        <v>33</v>
      </c>
      <c r="M19" s="673">
        <f t="shared" si="19"/>
        <v>29</v>
      </c>
      <c r="N19" s="673">
        <f t="shared" si="19"/>
        <v>29</v>
      </c>
      <c r="O19" s="673">
        <f t="shared" si="19"/>
        <v>60</v>
      </c>
      <c r="P19" s="673">
        <f t="shared" si="19"/>
        <v>29</v>
      </c>
      <c r="Q19" s="673">
        <f t="shared" si="19"/>
        <v>39</v>
      </c>
      <c r="R19" s="673">
        <f t="shared" si="19"/>
        <v>47</v>
      </c>
      <c r="S19" s="673">
        <f t="shared" si="19"/>
        <v>50</v>
      </c>
      <c r="T19" s="673">
        <f t="shared" si="19"/>
        <v>66</v>
      </c>
      <c r="U19" s="673">
        <f t="shared" si="19"/>
        <v>68</v>
      </c>
      <c r="V19" s="673">
        <f t="shared" si="19"/>
        <v>61</v>
      </c>
      <c r="W19" s="673">
        <f t="shared" si="19"/>
        <v>134</v>
      </c>
      <c r="X19" s="673">
        <f t="shared" si="19"/>
        <v>178</v>
      </c>
      <c r="Y19" s="673">
        <f t="shared" si="19"/>
        <v>125</v>
      </c>
      <c r="Z19" s="673">
        <f t="shared" si="19"/>
        <v>83</v>
      </c>
      <c r="AA19" s="673">
        <f t="shared" si="19"/>
        <v>99</v>
      </c>
      <c r="AB19" s="673">
        <f t="shared" si="20"/>
        <v>106</v>
      </c>
      <c r="AC19" s="673">
        <f t="shared" si="20"/>
        <v>93</v>
      </c>
      <c r="AD19" s="673">
        <f t="shared" si="20"/>
        <v>101</v>
      </c>
      <c r="AE19" s="673">
        <f t="shared" si="20"/>
        <v>98</v>
      </c>
      <c r="AF19" s="673">
        <f t="shared" si="20"/>
        <v>86</v>
      </c>
      <c r="AG19" s="673">
        <f t="shared" si="20"/>
        <v>14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6.9746126175982304E-2</v>
      </c>
      <c r="F20" s="683">
        <f t="shared" si="14"/>
        <v>120.99000000000001</v>
      </c>
      <c r="G20" s="675">
        <f t="shared" si="15"/>
        <v>83.333333333333329</v>
      </c>
      <c r="H20" s="675">
        <f t="shared" si="16"/>
        <v>73.333333333333329</v>
      </c>
      <c r="I20" s="675">
        <f t="shared" si="17"/>
        <v>153.83333333333334</v>
      </c>
      <c r="J20" s="675">
        <f t="shared" si="18"/>
        <v>129.6</v>
      </c>
      <c r="K20" s="673">
        <f t="shared" si="21"/>
        <v>79</v>
      </c>
      <c r="L20" s="673">
        <f t="shared" si="19"/>
        <v>76</v>
      </c>
      <c r="M20" s="673">
        <f t="shared" si="19"/>
        <v>95</v>
      </c>
      <c r="N20" s="673">
        <f t="shared" si="19"/>
        <v>70</v>
      </c>
      <c r="O20" s="673">
        <f t="shared" si="19"/>
        <v>81</v>
      </c>
      <c r="P20" s="673">
        <f t="shared" si="19"/>
        <v>99</v>
      </c>
      <c r="Q20" s="673">
        <f t="shared" si="19"/>
        <v>77</v>
      </c>
      <c r="R20" s="673">
        <f t="shared" si="19"/>
        <v>72</v>
      </c>
      <c r="S20" s="673">
        <f t="shared" si="19"/>
        <v>55</v>
      </c>
      <c r="T20" s="673">
        <f t="shared" si="19"/>
        <v>69</v>
      </c>
      <c r="U20" s="673">
        <f t="shared" si="19"/>
        <v>70</v>
      </c>
      <c r="V20" s="673">
        <f t="shared" si="19"/>
        <v>97</v>
      </c>
      <c r="W20" s="673">
        <f t="shared" si="19"/>
        <v>124</v>
      </c>
      <c r="X20" s="673">
        <f t="shared" si="19"/>
        <v>93</v>
      </c>
      <c r="Y20" s="673">
        <f t="shared" si="19"/>
        <v>151</v>
      </c>
      <c r="Z20" s="673">
        <f t="shared" si="19"/>
        <v>169</v>
      </c>
      <c r="AA20" s="673">
        <f t="shared" si="19"/>
        <v>193</v>
      </c>
      <c r="AB20" s="673">
        <f t="shared" si="20"/>
        <v>193</v>
      </c>
      <c r="AC20" s="673">
        <f t="shared" si="20"/>
        <v>154</v>
      </c>
      <c r="AD20" s="673">
        <f t="shared" si="20"/>
        <v>176</v>
      </c>
      <c r="AE20" s="673">
        <f t="shared" si="20"/>
        <v>137</v>
      </c>
      <c r="AF20" s="673">
        <f t="shared" si="20"/>
        <v>144</v>
      </c>
      <c r="AG20" s="673">
        <f t="shared" si="20"/>
        <v>37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0.13790121748754844</v>
      </c>
      <c r="F21" s="683">
        <f t="shared" si="14"/>
        <v>239.22</v>
      </c>
      <c r="G21" s="675">
        <f t="shared" si="15"/>
        <v>210.16666666666666</v>
      </c>
      <c r="H21" s="675">
        <f t="shared" si="16"/>
        <v>224.16666666666666</v>
      </c>
      <c r="I21" s="675">
        <f t="shared" si="17"/>
        <v>267.5</v>
      </c>
      <c r="J21" s="675">
        <f t="shared" si="18"/>
        <v>232.8</v>
      </c>
      <c r="K21" s="673">
        <f t="shared" si="21"/>
        <v>217</v>
      </c>
      <c r="L21" s="673">
        <f t="shared" si="19"/>
        <v>146</v>
      </c>
      <c r="M21" s="673">
        <f t="shared" si="19"/>
        <v>243</v>
      </c>
      <c r="N21" s="673">
        <f t="shared" si="19"/>
        <v>257</v>
      </c>
      <c r="O21" s="673">
        <f t="shared" si="19"/>
        <v>235</v>
      </c>
      <c r="P21" s="673">
        <f t="shared" si="19"/>
        <v>163</v>
      </c>
      <c r="Q21" s="673">
        <f t="shared" si="19"/>
        <v>193</v>
      </c>
      <c r="R21" s="673">
        <f t="shared" si="19"/>
        <v>240</v>
      </c>
      <c r="S21" s="673">
        <f t="shared" si="19"/>
        <v>146</v>
      </c>
      <c r="T21" s="673">
        <f t="shared" si="19"/>
        <v>192</v>
      </c>
      <c r="U21" s="673">
        <f t="shared" si="19"/>
        <v>262</v>
      </c>
      <c r="V21" s="673">
        <f t="shared" si="19"/>
        <v>312</v>
      </c>
      <c r="W21" s="673">
        <f t="shared" si="19"/>
        <v>290</v>
      </c>
      <c r="X21" s="673">
        <f t="shared" si="19"/>
        <v>322</v>
      </c>
      <c r="Y21" s="673">
        <f t="shared" si="19"/>
        <v>223</v>
      </c>
      <c r="Z21" s="673">
        <f t="shared" si="19"/>
        <v>252</v>
      </c>
      <c r="AA21" s="673">
        <f t="shared" si="19"/>
        <v>259</v>
      </c>
      <c r="AB21" s="673">
        <f t="shared" si="20"/>
        <v>259</v>
      </c>
      <c r="AC21" s="673">
        <f t="shared" si="20"/>
        <v>241</v>
      </c>
      <c r="AD21" s="673">
        <f t="shared" si="20"/>
        <v>369</v>
      </c>
      <c r="AE21" s="673">
        <f t="shared" si="20"/>
        <v>242</v>
      </c>
      <c r="AF21" s="673">
        <f t="shared" si="20"/>
        <v>231</v>
      </c>
      <c r="AG21" s="673">
        <f t="shared" si="20"/>
        <v>81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0.17408188833548549</v>
      </c>
      <c r="F22" s="683">
        <f t="shared" si="14"/>
        <v>301.98333333333335</v>
      </c>
      <c r="G22" s="675">
        <f t="shared" si="15"/>
        <v>283</v>
      </c>
      <c r="H22" s="675">
        <f t="shared" si="16"/>
        <v>284.16666666666669</v>
      </c>
      <c r="I22" s="675">
        <f t="shared" si="17"/>
        <v>304.16666666666669</v>
      </c>
      <c r="J22" s="675">
        <f t="shared" si="18"/>
        <v>314</v>
      </c>
      <c r="K22" s="673">
        <f t="shared" si="21"/>
        <v>170</v>
      </c>
      <c r="L22" s="673">
        <f t="shared" si="19"/>
        <v>256</v>
      </c>
      <c r="M22" s="673">
        <f t="shared" si="19"/>
        <v>351</v>
      </c>
      <c r="N22" s="673">
        <f t="shared" si="19"/>
        <v>331</v>
      </c>
      <c r="O22" s="673">
        <f t="shared" si="19"/>
        <v>317</v>
      </c>
      <c r="P22" s="673">
        <f t="shared" si="19"/>
        <v>273</v>
      </c>
      <c r="Q22" s="673">
        <f t="shared" si="19"/>
        <v>292</v>
      </c>
      <c r="R22" s="673">
        <f t="shared" si="19"/>
        <v>236</v>
      </c>
      <c r="S22" s="673">
        <f t="shared" si="19"/>
        <v>206</v>
      </c>
      <c r="T22" s="673">
        <f t="shared" si="19"/>
        <v>265</v>
      </c>
      <c r="U22" s="673">
        <f t="shared" si="19"/>
        <v>348</v>
      </c>
      <c r="V22" s="673">
        <f t="shared" si="19"/>
        <v>358</v>
      </c>
      <c r="W22" s="673">
        <f t="shared" si="19"/>
        <v>350</v>
      </c>
      <c r="X22" s="673">
        <f t="shared" si="19"/>
        <v>315</v>
      </c>
      <c r="Y22" s="673">
        <f t="shared" si="19"/>
        <v>275</v>
      </c>
      <c r="Z22" s="673">
        <f t="shared" si="19"/>
        <v>263</v>
      </c>
      <c r="AA22" s="673">
        <f t="shared" si="19"/>
        <v>295</v>
      </c>
      <c r="AB22" s="673">
        <f t="shared" si="20"/>
        <v>327</v>
      </c>
      <c r="AC22" s="673">
        <f t="shared" si="20"/>
        <v>324</v>
      </c>
      <c r="AD22" s="673">
        <f t="shared" si="20"/>
        <v>445</v>
      </c>
      <c r="AE22" s="673">
        <f t="shared" si="20"/>
        <v>373</v>
      </c>
      <c r="AF22" s="673">
        <f t="shared" si="20"/>
        <v>365</v>
      </c>
      <c r="AG22" s="673">
        <f t="shared" si="20"/>
        <v>63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0.15698018508270309</v>
      </c>
      <c r="F23" s="683">
        <f t="shared" si="14"/>
        <v>272.31666666666666</v>
      </c>
      <c r="G23" s="675">
        <f t="shared" si="15"/>
        <v>218.83333333333334</v>
      </c>
      <c r="H23" s="675">
        <f t="shared" si="16"/>
        <v>303.66666666666669</v>
      </c>
      <c r="I23" s="675">
        <f t="shared" si="17"/>
        <v>303</v>
      </c>
      <c r="J23" s="675">
        <f t="shared" si="18"/>
        <v>247</v>
      </c>
      <c r="K23" s="673">
        <f t="shared" si="21"/>
        <v>134</v>
      </c>
      <c r="L23" s="673">
        <f t="shared" si="19"/>
        <v>145</v>
      </c>
      <c r="M23" s="673">
        <f t="shared" si="19"/>
        <v>220</v>
      </c>
      <c r="N23" s="673">
        <f t="shared" si="19"/>
        <v>304</v>
      </c>
      <c r="O23" s="673">
        <f t="shared" si="19"/>
        <v>292</v>
      </c>
      <c r="P23" s="673">
        <f t="shared" si="19"/>
        <v>218</v>
      </c>
      <c r="Q23" s="673">
        <f t="shared" si="19"/>
        <v>271</v>
      </c>
      <c r="R23" s="673">
        <f t="shared" si="19"/>
        <v>279</v>
      </c>
      <c r="S23" s="673">
        <f t="shared" si="19"/>
        <v>210</v>
      </c>
      <c r="T23" s="673">
        <f t="shared" si="19"/>
        <v>222</v>
      </c>
      <c r="U23" s="673">
        <f t="shared" si="19"/>
        <v>412</v>
      </c>
      <c r="V23" s="673">
        <f t="shared" si="19"/>
        <v>428</v>
      </c>
      <c r="W23" s="673">
        <f t="shared" si="19"/>
        <v>363</v>
      </c>
      <c r="X23" s="673">
        <f t="shared" si="19"/>
        <v>303</v>
      </c>
      <c r="Y23" s="673">
        <f t="shared" si="19"/>
        <v>287</v>
      </c>
      <c r="Z23" s="673">
        <f t="shared" si="19"/>
        <v>272</v>
      </c>
      <c r="AA23" s="673">
        <f t="shared" si="19"/>
        <v>304</v>
      </c>
      <c r="AB23" s="673">
        <f t="shared" si="20"/>
        <v>289</v>
      </c>
      <c r="AC23" s="673">
        <f t="shared" si="20"/>
        <v>266</v>
      </c>
      <c r="AD23" s="673">
        <f t="shared" si="20"/>
        <v>351</v>
      </c>
      <c r="AE23" s="673">
        <f t="shared" si="20"/>
        <v>278</v>
      </c>
      <c r="AF23" s="673">
        <f t="shared" si="20"/>
        <v>270</v>
      </c>
      <c r="AG23" s="673">
        <f t="shared" si="20"/>
        <v>70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0.1446688802803911</v>
      </c>
      <c r="F24" s="683">
        <f t="shared" si="14"/>
        <v>250.96000000000004</v>
      </c>
      <c r="G24" s="675">
        <f t="shared" si="15"/>
        <v>188.33333333333334</v>
      </c>
      <c r="H24" s="675">
        <f t="shared" si="16"/>
        <v>262.33333333333331</v>
      </c>
      <c r="I24" s="675">
        <f t="shared" si="17"/>
        <v>287.66666666666669</v>
      </c>
      <c r="J24" s="675">
        <f t="shared" si="18"/>
        <v>233.4</v>
      </c>
      <c r="K24" s="673">
        <f t="shared" si="21"/>
        <v>149</v>
      </c>
      <c r="L24" s="673">
        <f t="shared" si="19"/>
        <v>118</v>
      </c>
      <c r="M24" s="673">
        <f t="shared" si="19"/>
        <v>134</v>
      </c>
      <c r="N24" s="673">
        <f t="shared" si="19"/>
        <v>204</v>
      </c>
      <c r="O24" s="673">
        <f t="shared" si="19"/>
        <v>326</v>
      </c>
      <c r="P24" s="673">
        <f t="shared" si="19"/>
        <v>199</v>
      </c>
      <c r="Q24" s="673">
        <f t="shared" si="19"/>
        <v>176</v>
      </c>
      <c r="R24" s="673">
        <f t="shared" si="19"/>
        <v>172</v>
      </c>
      <c r="S24" s="673">
        <f t="shared" si="19"/>
        <v>116</v>
      </c>
      <c r="T24" s="673">
        <f t="shared" si="19"/>
        <v>278</v>
      </c>
      <c r="U24" s="673">
        <f t="shared" si="19"/>
        <v>386</v>
      </c>
      <c r="V24" s="673">
        <f t="shared" si="19"/>
        <v>446</v>
      </c>
      <c r="W24" s="673">
        <f t="shared" si="19"/>
        <v>379</v>
      </c>
      <c r="X24" s="673">
        <f t="shared" si="19"/>
        <v>355</v>
      </c>
      <c r="Y24" s="673">
        <f t="shared" si="19"/>
        <v>246</v>
      </c>
      <c r="Z24" s="673">
        <f t="shared" si="19"/>
        <v>220</v>
      </c>
      <c r="AA24" s="673">
        <f t="shared" si="19"/>
        <v>271</v>
      </c>
      <c r="AB24" s="673">
        <f t="shared" si="20"/>
        <v>255</v>
      </c>
      <c r="AC24" s="673">
        <f t="shared" si="20"/>
        <v>249</v>
      </c>
      <c r="AD24" s="673">
        <f t="shared" si="20"/>
        <v>276</v>
      </c>
      <c r="AE24" s="673">
        <f t="shared" si="20"/>
        <v>266</v>
      </c>
      <c r="AF24" s="673">
        <f t="shared" si="20"/>
        <v>321</v>
      </c>
      <c r="AG24" s="673">
        <f t="shared" si="20"/>
        <v>55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0.15311596876345079</v>
      </c>
      <c r="F25" s="683">
        <f t="shared" si="14"/>
        <v>265.61333333333334</v>
      </c>
      <c r="G25" s="675">
        <f t="shared" si="15"/>
        <v>229.5</v>
      </c>
      <c r="H25" s="675">
        <f t="shared" si="16"/>
        <v>288.16666666666669</v>
      </c>
      <c r="I25" s="675">
        <f t="shared" si="17"/>
        <v>279.16666666666669</v>
      </c>
      <c r="J25" s="675">
        <f t="shared" si="18"/>
        <v>253.2</v>
      </c>
      <c r="K25" s="676">
        <f t="shared" si="21"/>
        <v>137</v>
      </c>
      <c r="L25" s="676">
        <f t="shared" si="19"/>
        <v>187</v>
      </c>
      <c r="M25" s="676">
        <f t="shared" si="19"/>
        <v>192</v>
      </c>
      <c r="N25" s="676">
        <f t="shared" si="19"/>
        <v>297</v>
      </c>
      <c r="O25" s="676">
        <f t="shared" si="19"/>
        <v>310</v>
      </c>
      <c r="P25" s="676">
        <f t="shared" si="19"/>
        <v>254</v>
      </c>
      <c r="Q25" s="676">
        <f t="shared" si="19"/>
        <v>320</v>
      </c>
      <c r="R25" s="676">
        <f t="shared" si="19"/>
        <v>320</v>
      </c>
      <c r="S25" s="676">
        <f t="shared" si="19"/>
        <v>211</v>
      </c>
      <c r="T25" s="676">
        <f t="shared" si="19"/>
        <v>285</v>
      </c>
      <c r="U25" s="676">
        <f t="shared" si="19"/>
        <v>305</v>
      </c>
      <c r="V25" s="676">
        <f t="shared" si="19"/>
        <v>288</v>
      </c>
      <c r="W25" s="676">
        <f t="shared" si="19"/>
        <v>314</v>
      </c>
      <c r="X25" s="676">
        <f t="shared" si="19"/>
        <v>285</v>
      </c>
      <c r="Y25" s="676">
        <f t="shared" si="19"/>
        <v>278</v>
      </c>
      <c r="Z25" s="676">
        <f t="shared" si="19"/>
        <v>217</v>
      </c>
      <c r="AA25" s="676">
        <f t="shared" si="19"/>
        <v>316</v>
      </c>
      <c r="AB25" s="676">
        <f t="shared" si="20"/>
        <v>265</v>
      </c>
      <c r="AC25" s="676">
        <f t="shared" si="20"/>
        <v>265</v>
      </c>
      <c r="AD25" s="676">
        <f t="shared" si="20"/>
        <v>327</v>
      </c>
      <c r="AE25" s="676">
        <f t="shared" si="20"/>
        <v>289</v>
      </c>
      <c r="AF25" s="676">
        <f t="shared" si="20"/>
        <v>310</v>
      </c>
      <c r="AG25" s="676">
        <f t="shared" si="20"/>
        <v>75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1734.7200000000003</v>
      </c>
      <c r="G30" s="678">
        <f>SUM(G31:G86)</f>
        <v>1388.3333333333335</v>
      </c>
      <c r="H30" s="678">
        <f t="shared" ref="H30:J30" si="22">SUM(H31:H86)</f>
        <v>1650.3333333333333</v>
      </c>
      <c r="I30" s="678">
        <f t="shared" si="22"/>
        <v>2026.3333333333337</v>
      </c>
      <c r="J30" s="678">
        <f t="shared" si="22"/>
        <v>1644.7999999999995</v>
      </c>
      <c r="K30" s="671">
        <f>SUM(K31:K86)</f>
        <v>1093</v>
      </c>
      <c r="L30" s="671">
        <f t="shared" ref="L30:AH30" si="23">SUM(L31:L86)</f>
        <v>1097</v>
      </c>
      <c r="M30" s="671">
        <f t="shared" si="23"/>
        <v>1414</v>
      </c>
      <c r="N30" s="671">
        <f t="shared" si="23"/>
        <v>1674</v>
      </c>
      <c r="O30" s="671">
        <f t="shared" si="23"/>
        <v>1745</v>
      </c>
      <c r="P30" s="671">
        <f t="shared" si="23"/>
        <v>1307</v>
      </c>
      <c r="Q30" s="671">
        <f t="shared" si="23"/>
        <v>1471</v>
      </c>
      <c r="R30" s="671">
        <f t="shared" si="23"/>
        <v>1499</v>
      </c>
      <c r="S30" s="671">
        <f t="shared" si="23"/>
        <v>1096</v>
      </c>
      <c r="T30" s="671">
        <f t="shared" si="23"/>
        <v>1532</v>
      </c>
      <c r="U30" s="671">
        <f t="shared" si="23"/>
        <v>2048</v>
      </c>
      <c r="V30" s="671">
        <f t="shared" si="23"/>
        <v>2256</v>
      </c>
      <c r="W30" s="671">
        <f t="shared" si="23"/>
        <v>2275</v>
      </c>
      <c r="X30" s="671">
        <f t="shared" si="23"/>
        <v>2244</v>
      </c>
      <c r="Y30" s="671">
        <f t="shared" si="23"/>
        <v>1974</v>
      </c>
      <c r="Z30" s="671">
        <f t="shared" si="23"/>
        <v>1688</v>
      </c>
      <c r="AA30" s="671">
        <f t="shared" si="23"/>
        <v>2050</v>
      </c>
      <c r="AB30" s="671">
        <f t="shared" si="23"/>
        <v>1927</v>
      </c>
      <c r="AC30" s="671">
        <f t="shared" si="23"/>
        <v>1784</v>
      </c>
      <c r="AD30" s="671">
        <f t="shared" si="23"/>
        <v>2215</v>
      </c>
      <c r="AE30" s="671">
        <f t="shared" si="23"/>
        <v>1826</v>
      </c>
      <c r="AF30" s="671">
        <f t="shared" si="23"/>
        <v>1940</v>
      </c>
      <c r="AG30" s="671">
        <f t="shared" si="23"/>
        <v>459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0.19170890059293119</v>
      </c>
      <c r="F31" s="680">
        <f>G31*10%+H31*20%+I31*30%+J31*40%</f>
        <v>38.583333333333329</v>
      </c>
      <c r="G31" s="680">
        <f>AVERAGE(K31:P31)</f>
        <v>28.833333333333332</v>
      </c>
      <c r="H31" s="679">
        <f>AVERAGE(Q31:V31)</f>
        <v>33.5</v>
      </c>
      <c r="I31" s="679">
        <f>AVERAGE(W31:AB31)</f>
        <v>60.666666666666664</v>
      </c>
      <c r="J31" s="679">
        <f>AVERAGE(AC31:AG31)</f>
        <v>27</v>
      </c>
      <c r="K31" s="673">
        <v>17</v>
      </c>
      <c r="L31" s="673">
        <v>24</v>
      </c>
      <c r="M31" s="673">
        <v>32</v>
      </c>
      <c r="N31" s="673">
        <v>52</v>
      </c>
      <c r="O31" s="673">
        <v>33</v>
      </c>
      <c r="P31" s="673">
        <v>15</v>
      </c>
      <c r="Q31" s="673">
        <v>12</v>
      </c>
      <c r="R31" s="673">
        <v>12</v>
      </c>
      <c r="S31" s="673">
        <v>25</v>
      </c>
      <c r="T31" s="673">
        <v>28</v>
      </c>
      <c r="U31" s="673">
        <v>46</v>
      </c>
      <c r="V31" s="665">
        <v>78</v>
      </c>
      <c r="W31" s="665">
        <v>75</v>
      </c>
      <c r="X31" s="665">
        <v>87</v>
      </c>
      <c r="Y31" s="665">
        <v>64</v>
      </c>
      <c r="Z31" s="665">
        <v>40</v>
      </c>
      <c r="AA31" s="665">
        <v>64</v>
      </c>
      <c r="AB31" s="665">
        <v>34</v>
      </c>
      <c r="AC31" s="665">
        <v>23</v>
      </c>
      <c r="AD31" s="665">
        <v>41</v>
      </c>
      <c r="AE31" s="665">
        <v>26</v>
      </c>
      <c r="AF31" s="665">
        <v>33</v>
      </c>
      <c r="AG31" s="665">
        <v>12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5.7603762960018554E-2</v>
      </c>
      <c r="F32" s="680">
        <f t="shared" ref="F32:F86" si="25">G32*10%+H32*20%+I32*30%+J32*40%</f>
        <v>11.593333333333334</v>
      </c>
      <c r="G32" s="680">
        <f t="shared" ref="G32:G86" si="26">AVERAGE(K32:P32)</f>
        <v>12.5</v>
      </c>
      <c r="H32" s="679">
        <f t="shared" ref="H32:H86" si="27">AVERAGE(Q32:V32)</f>
        <v>10.666666666666666</v>
      </c>
      <c r="I32" s="679">
        <f t="shared" ref="I32:I86" si="28">AVERAGE(W32:AB32)</f>
        <v>17.5</v>
      </c>
      <c r="J32" s="679">
        <f t="shared" ref="J32:J86" si="29">AVERAGE(AC32:AG32)</f>
        <v>7.4</v>
      </c>
      <c r="K32" s="673">
        <v>11</v>
      </c>
      <c r="L32" s="673">
        <v>16</v>
      </c>
      <c r="M32" s="673">
        <v>15</v>
      </c>
      <c r="N32" s="673">
        <v>14</v>
      </c>
      <c r="O32" s="673">
        <v>15</v>
      </c>
      <c r="P32" s="673">
        <v>4</v>
      </c>
      <c r="Q32" s="673">
        <v>4</v>
      </c>
      <c r="R32" s="673">
        <v>12</v>
      </c>
      <c r="S32" s="673">
        <v>11</v>
      </c>
      <c r="T32" s="673">
        <v>12</v>
      </c>
      <c r="U32" s="673">
        <v>9</v>
      </c>
      <c r="V32" s="665">
        <v>16</v>
      </c>
      <c r="W32" s="665">
        <v>26</v>
      </c>
      <c r="X32" s="665">
        <v>22</v>
      </c>
      <c r="Y32" s="665">
        <v>17</v>
      </c>
      <c r="Z32" s="665">
        <v>3</v>
      </c>
      <c r="AA32" s="665">
        <v>16</v>
      </c>
      <c r="AB32" s="665">
        <v>21</v>
      </c>
      <c r="AC32" s="665">
        <v>6</v>
      </c>
      <c r="AD32" s="665">
        <v>13</v>
      </c>
      <c r="AE32" s="665">
        <v>7</v>
      </c>
      <c r="AF32" s="665">
        <v>6</v>
      </c>
      <c r="AG32" s="665">
        <v>5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9.4587432508529606E-2</v>
      </c>
      <c r="F33" s="680">
        <f t="shared" si="25"/>
        <v>19.036666666666669</v>
      </c>
      <c r="G33" s="680">
        <f t="shared" si="26"/>
        <v>11.333333333333334</v>
      </c>
      <c r="H33" s="679">
        <f t="shared" si="27"/>
        <v>9.6666666666666661</v>
      </c>
      <c r="I33" s="679">
        <f t="shared" si="28"/>
        <v>29.5</v>
      </c>
      <c r="J33" s="679">
        <f t="shared" si="29"/>
        <v>17.8</v>
      </c>
      <c r="K33" s="673">
        <v>15</v>
      </c>
      <c r="L33" s="673">
        <v>0</v>
      </c>
      <c r="M33" s="673">
        <v>18</v>
      </c>
      <c r="N33" s="673">
        <v>21</v>
      </c>
      <c r="O33" s="673">
        <v>12</v>
      </c>
      <c r="P33" s="673">
        <v>2</v>
      </c>
      <c r="Q33" s="673">
        <v>9</v>
      </c>
      <c r="R33" s="673">
        <v>14</v>
      </c>
      <c r="S33" s="673">
        <v>9</v>
      </c>
      <c r="T33" s="673">
        <v>3</v>
      </c>
      <c r="U33" s="673">
        <v>9</v>
      </c>
      <c r="V33" s="665">
        <v>14</v>
      </c>
      <c r="W33" s="665">
        <v>33</v>
      </c>
      <c r="X33" s="665">
        <v>48</v>
      </c>
      <c r="Y33" s="665">
        <v>22</v>
      </c>
      <c r="Z33" s="665">
        <v>23</v>
      </c>
      <c r="AA33" s="665">
        <v>33</v>
      </c>
      <c r="AB33" s="665">
        <v>18</v>
      </c>
      <c r="AC33" s="665">
        <v>14</v>
      </c>
      <c r="AD33" s="665">
        <v>11</v>
      </c>
      <c r="AE33" s="665">
        <v>28</v>
      </c>
      <c r="AF33" s="665">
        <v>32</v>
      </c>
      <c r="AG33" s="665">
        <v>4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4.4767961840405449E-2</v>
      </c>
      <c r="F34" s="680">
        <f t="shared" si="25"/>
        <v>9.01</v>
      </c>
      <c r="G34" s="680">
        <f t="shared" si="26"/>
        <v>4.5</v>
      </c>
      <c r="H34" s="679">
        <f t="shared" si="27"/>
        <v>8</v>
      </c>
      <c r="I34" s="679">
        <f t="shared" si="28"/>
        <v>18.666666666666668</v>
      </c>
      <c r="J34" s="679">
        <f t="shared" si="29"/>
        <v>3.4</v>
      </c>
      <c r="K34" s="673">
        <v>3</v>
      </c>
      <c r="L34" s="673">
        <v>6</v>
      </c>
      <c r="M34" s="673">
        <v>3</v>
      </c>
      <c r="N34" s="673">
        <v>7</v>
      </c>
      <c r="O34" s="673">
        <v>6</v>
      </c>
      <c r="P34" s="673">
        <v>2</v>
      </c>
      <c r="Q34" s="673">
        <v>7</v>
      </c>
      <c r="R34" s="673">
        <v>0</v>
      </c>
      <c r="S34" s="673">
        <v>5</v>
      </c>
      <c r="T34" s="673">
        <v>6</v>
      </c>
      <c r="U34" s="673">
        <v>10</v>
      </c>
      <c r="V34" s="665">
        <v>20</v>
      </c>
      <c r="W34" s="665">
        <v>20</v>
      </c>
      <c r="X34" s="665">
        <v>19</v>
      </c>
      <c r="Y34" s="665">
        <v>30</v>
      </c>
      <c r="Z34" s="665">
        <v>18</v>
      </c>
      <c r="AA34" s="665">
        <v>17</v>
      </c>
      <c r="AB34" s="665">
        <v>8</v>
      </c>
      <c r="AC34" s="665">
        <v>2</v>
      </c>
      <c r="AD34" s="665">
        <v>7</v>
      </c>
      <c r="AE34" s="665">
        <v>2</v>
      </c>
      <c r="AF34" s="665">
        <v>4</v>
      </c>
      <c r="AG34" s="665">
        <v>2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0.25072046109510088</v>
      </c>
      <c r="F35" s="680">
        <f t="shared" si="25"/>
        <v>50.46</v>
      </c>
      <c r="G35" s="680">
        <f t="shared" si="26"/>
        <v>57.333333333333336</v>
      </c>
      <c r="H35" s="679">
        <f t="shared" si="27"/>
        <v>44.833333333333336</v>
      </c>
      <c r="I35" s="679">
        <f t="shared" si="28"/>
        <v>68</v>
      </c>
      <c r="J35" s="679">
        <f t="shared" si="29"/>
        <v>38.4</v>
      </c>
      <c r="K35" s="673">
        <v>91</v>
      </c>
      <c r="L35" s="673">
        <v>71</v>
      </c>
      <c r="M35" s="673">
        <v>59</v>
      </c>
      <c r="N35" s="673">
        <v>65</v>
      </c>
      <c r="O35" s="673">
        <v>36</v>
      </c>
      <c r="P35" s="673">
        <v>22</v>
      </c>
      <c r="Q35" s="673">
        <v>40</v>
      </c>
      <c r="R35" s="673">
        <v>54</v>
      </c>
      <c r="S35" s="673">
        <v>19</v>
      </c>
      <c r="T35" s="673">
        <v>63</v>
      </c>
      <c r="U35" s="673">
        <v>43</v>
      </c>
      <c r="V35" s="665">
        <v>50</v>
      </c>
      <c r="W35" s="665">
        <v>42</v>
      </c>
      <c r="X35" s="665">
        <v>81</v>
      </c>
      <c r="Y35" s="665">
        <v>108</v>
      </c>
      <c r="Z35" s="665">
        <v>45</v>
      </c>
      <c r="AA35" s="665">
        <v>74</v>
      </c>
      <c r="AB35" s="665">
        <v>58</v>
      </c>
      <c r="AC35" s="665">
        <v>52</v>
      </c>
      <c r="AD35" s="665">
        <v>35</v>
      </c>
      <c r="AE35" s="665">
        <v>34</v>
      </c>
      <c r="AF35" s="665">
        <v>53</v>
      </c>
      <c r="AG35" s="665">
        <v>18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0.15714333035211506</v>
      </c>
      <c r="F36" s="680">
        <f t="shared" si="25"/>
        <v>31.626666666666672</v>
      </c>
      <c r="G36" s="680">
        <f t="shared" si="26"/>
        <v>7.833333333333333</v>
      </c>
      <c r="H36" s="679">
        <f t="shared" si="27"/>
        <v>28.666666666666668</v>
      </c>
      <c r="I36" s="679">
        <f t="shared" si="28"/>
        <v>41.833333333333336</v>
      </c>
      <c r="J36" s="679">
        <f t="shared" si="29"/>
        <v>31.4</v>
      </c>
      <c r="K36" s="673">
        <v>7</v>
      </c>
      <c r="L36" s="673">
        <v>7</v>
      </c>
      <c r="M36" s="673">
        <v>13</v>
      </c>
      <c r="N36" s="673">
        <v>9</v>
      </c>
      <c r="O36" s="673">
        <v>4</v>
      </c>
      <c r="P36" s="673">
        <v>7</v>
      </c>
      <c r="Q36" s="673">
        <v>17</v>
      </c>
      <c r="R36" s="673">
        <v>24</v>
      </c>
      <c r="S36" s="673">
        <v>22</v>
      </c>
      <c r="T36" s="673">
        <v>24</v>
      </c>
      <c r="U36" s="673">
        <v>47</v>
      </c>
      <c r="V36" s="665">
        <v>38</v>
      </c>
      <c r="W36" s="665">
        <v>55</v>
      </c>
      <c r="X36" s="665">
        <v>43</v>
      </c>
      <c r="Y36" s="665">
        <v>43</v>
      </c>
      <c r="Z36" s="665">
        <v>28</v>
      </c>
      <c r="AA36" s="665">
        <v>46</v>
      </c>
      <c r="AB36" s="665">
        <v>36</v>
      </c>
      <c r="AC36" s="665">
        <v>54</v>
      </c>
      <c r="AD36" s="665">
        <v>36</v>
      </c>
      <c r="AE36" s="665">
        <v>25</v>
      </c>
      <c r="AF36" s="665">
        <v>33</v>
      </c>
      <c r="AG36" s="665">
        <v>9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6.6133359833051783E-2</v>
      </c>
      <c r="F37" s="680">
        <f t="shared" si="25"/>
        <v>13.31</v>
      </c>
      <c r="G37" s="680">
        <f t="shared" si="26"/>
        <v>6.833333333333333</v>
      </c>
      <c r="H37" s="679">
        <f t="shared" si="27"/>
        <v>7.833333333333333</v>
      </c>
      <c r="I37" s="679">
        <f t="shared" si="28"/>
        <v>21.666666666666668</v>
      </c>
      <c r="J37" s="679">
        <f t="shared" si="29"/>
        <v>11.4</v>
      </c>
      <c r="K37" s="673">
        <v>13</v>
      </c>
      <c r="L37" s="673">
        <v>4</v>
      </c>
      <c r="M37" s="673">
        <v>7</v>
      </c>
      <c r="N37" s="673">
        <v>10</v>
      </c>
      <c r="O37" s="673">
        <v>4</v>
      </c>
      <c r="P37" s="673">
        <v>3</v>
      </c>
      <c r="Q37" s="673">
        <v>1</v>
      </c>
      <c r="R37" s="673">
        <v>7</v>
      </c>
      <c r="S37" s="673">
        <v>0</v>
      </c>
      <c r="T37" s="673">
        <v>14</v>
      </c>
      <c r="U37" s="673">
        <v>13</v>
      </c>
      <c r="V37" s="665">
        <v>12</v>
      </c>
      <c r="W37" s="665">
        <v>7</v>
      </c>
      <c r="X37" s="665">
        <v>23</v>
      </c>
      <c r="Y37" s="665">
        <v>33</v>
      </c>
      <c r="Z37" s="665">
        <v>17</v>
      </c>
      <c r="AA37" s="665">
        <v>27</v>
      </c>
      <c r="AB37" s="665">
        <v>23</v>
      </c>
      <c r="AC37" s="665">
        <v>10</v>
      </c>
      <c r="AD37" s="665">
        <v>19</v>
      </c>
      <c r="AE37" s="665">
        <v>8</v>
      </c>
      <c r="AF37" s="665">
        <v>18</v>
      </c>
      <c r="AG37" s="665">
        <v>2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0.13733479081784758</v>
      </c>
      <c r="F38" s="680">
        <f t="shared" si="25"/>
        <v>27.64</v>
      </c>
      <c r="G38" s="680">
        <f t="shared" si="26"/>
        <v>8.6666666666666661</v>
      </c>
      <c r="H38" s="679">
        <f t="shared" si="27"/>
        <v>16.166666666666668</v>
      </c>
      <c r="I38" s="679">
        <f t="shared" si="28"/>
        <v>52.333333333333336</v>
      </c>
      <c r="J38" s="679">
        <f t="shared" si="29"/>
        <v>19.600000000000001</v>
      </c>
      <c r="K38" s="673">
        <v>6</v>
      </c>
      <c r="L38" s="673">
        <v>8</v>
      </c>
      <c r="M38" s="673">
        <v>3</v>
      </c>
      <c r="N38" s="673">
        <v>4</v>
      </c>
      <c r="O38" s="673">
        <v>14</v>
      </c>
      <c r="P38" s="673">
        <v>17</v>
      </c>
      <c r="Q38" s="673">
        <v>13</v>
      </c>
      <c r="R38" s="673">
        <v>10</v>
      </c>
      <c r="S38" s="673">
        <v>11</v>
      </c>
      <c r="T38" s="673">
        <v>5</v>
      </c>
      <c r="U38" s="673">
        <v>20</v>
      </c>
      <c r="V38" s="665">
        <v>38</v>
      </c>
      <c r="W38" s="665">
        <v>63</v>
      </c>
      <c r="X38" s="665">
        <v>70</v>
      </c>
      <c r="Y38" s="665">
        <v>72</v>
      </c>
      <c r="Z38" s="665">
        <v>38</v>
      </c>
      <c r="AA38" s="665">
        <v>36</v>
      </c>
      <c r="AB38" s="665">
        <v>35</v>
      </c>
      <c r="AC38" s="665">
        <v>31</v>
      </c>
      <c r="AD38" s="665">
        <v>8</v>
      </c>
      <c r="AE38" s="665">
        <v>13</v>
      </c>
      <c r="AF38" s="665">
        <v>34</v>
      </c>
      <c r="AG38" s="665">
        <v>12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0.38069032493019866</v>
      </c>
      <c r="F39" s="680">
        <f t="shared" si="25"/>
        <v>31.36</v>
      </c>
      <c r="G39" s="680">
        <f t="shared" si="26"/>
        <v>22.333333333333332</v>
      </c>
      <c r="H39" s="679">
        <f t="shared" si="27"/>
        <v>23.333333333333332</v>
      </c>
      <c r="I39" s="679">
        <f t="shared" si="28"/>
        <v>45</v>
      </c>
      <c r="J39" s="679">
        <f t="shared" si="29"/>
        <v>27.4</v>
      </c>
      <c r="K39" s="673">
        <v>20</v>
      </c>
      <c r="L39" s="673">
        <v>16</v>
      </c>
      <c r="M39" s="673">
        <v>24</v>
      </c>
      <c r="N39" s="673">
        <v>18</v>
      </c>
      <c r="O39" s="673">
        <v>39</v>
      </c>
      <c r="P39" s="673">
        <v>17</v>
      </c>
      <c r="Q39" s="673">
        <v>25</v>
      </c>
      <c r="R39" s="673">
        <v>26</v>
      </c>
      <c r="S39" s="673">
        <v>22</v>
      </c>
      <c r="T39" s="673">
        <v>24</v>
      </c>
      <c r="U39" s="673">
        <v>19</v>
      </c>
      <c r="V39" s="665">
        <v>24</v>
      </c>
      <c r="W39" s="665">
        <v>50</v>
      </c>
      <c r="X39" s="665">
        <v>43</v>
      </c>
      <c r="Y39" s="665">
        <v>60</v>
      </c>
      <c r="Z39" s="665">
        <v>41</v>
      </c>
      <c r="AA39" s="665">
        <v>41</v>
      </c>
      <c r="AB39" s="665">
        <v>35</v>
      </c>
      <c r="AC39" s="665">
        <v>34</v>
      </c>
      <c r="AD39" s="665">
        <v>39</v>
      </c>
      <c r="AE39" s="665">
        <v>36</v>
      </c>
      <c r="AF39" s="665">
        <v>22</v>
      </c>
      <c r="AG39" s="665">
        <v>6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0.26573058714037145</v>
      </c>
      <c r="F40" s="680">
        <f t="shared" si="25"/>
        <v>21.89</v>
      </c>
      <c r="G40" s="680">
        <f t="shared" si="26"/>
        <v>4.833333333333333</v>
      </c>
      <c r="H40" s="679">
        <f t="shared" si="27"/>
        <v>14.833333333333334</v>
      </c>
      <c r="I40" s="679">
        <f t="shared" si="28"/>
        <v>28.666666666666668</v>
      </c>
      <c r="J40" s="679">
        <f t="shared" si="29"/>
        <v>24.6</v>
      </c>
      <c r="K40" s="673">
        <v>12</v>
      </c>
      <c r="L40" s="673">
        <v>4</v>
      </c>
      <c r="M40" s="673">
        <v>1</v>
      </c>
      <c r="N40" s="673">
        <v>3</v>
      </c>
      <c r="O40" s="673">
        <v>5</v>
      </c>
      <c r="P40" s="673">
        <v>4</v>
      </c>
      <c r="Q40" s="673">
        <v>10</v>
      </c>
      <c r="R40" s="673">
        <v>12</v>
      </c>
      <c r="S40" s="673">
        <v>16</v>
      </c>
      <c r="T40" s="673">
        <v>14</v>
      </c>
      <c r="U40" s="673">
        <v>18</v>
      </c>
      <c r="V40" s="665">
        <v>19</v>
      </c>
      <c r="W40" s="665">
        <v>37</v>
      </c>
      <c r="X40" s="665">
        <v>40</v>
      </c>
      <c r="Y40" s="665">
        <v>26</v>
      </c>
      <c r="Z40" s="665">
        <v>16</v>
      </c>
      <c r="AA40" s="665">
        <v>25</v>
      </c>
      <c r="AB40" s="665">
        <v>28</v>
      </c>
      <c r="AC40" s="665">
        <v>36</v>
      </c>
      <c r="AD40" s="665">
        <v>31</v>
      </c>
      <c r="AE40" s="665">
        <v>30</v>
      </c>
      <c r="AF40" s="665">
        <v>22</v>
      </c>
      <c r="AG40" s="665">
        <v>4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0.35357908792942983</v>
      </c>
      <c r="F41" s="680">
        <f t="shared" si="25"/>
        <v>29.126666666666665</v>
      </c>
      <c r="G41" s="680">
        <f t="shared" si="26"/>
        <v>10.166666666666666</v>
      </c>
      <c r="H41" s="679">
        <f t="shared" si="27"/>
        <v>17</v>
      </c>
      <c r="I41" s="679">
        <f t="shared" si="28"/>
        <v>47.166666666666664</v>
      </c>
      <c r="J41" s="679">
        <f t="shared" si="29"/>
        <v>26.4</v>
      </c>
      <c r="K41" s="673">
        <v>12</v>
      </c>
      <c r="L41" s="673">
        <v>13</v>
      </c>
      <c r="M41" s="673">
        <v>4</v>
      </c>
      <c r="N41" s="673">
        <v>8</v>
      </c>
      <c r="O41" s="673">
        <v>16</v>
      </c>
      <c r="P41" s="673">
        <v>8</v>
      </c>
      <c r="Q41" s="673">
        <v>4</v>
      </c>
      <c r="R41" s="673">
        <v>9</v>
      </c>
      <c r="S41" s="673">
        <v>12</v>
      </c>
      <c r="T41" s="673">
        <v>28</v>
      </c>
      <c r="U41" s="673">
        <v>31</v>
      </c>
      <c r="V41" s="665">
        <v>18</v>
      </c>
      <c r="W41" s="665">
        <v>47</v>
      </c>
      <c r="X41" s="665">
        <v>95</v>
      </c>
      <c r="Y41" s="665">
        <v>39</v>
      </c>
      <c r="Z41" s="665">
        <v>26</v>
      </c>
      <c r="AA41" s="665">
        <v>33</v>
      </c>
      <c r="AB41" s="665">
        <v>43</v>
      </c>
      <c r="AC41" s="665">
        <v>23</v>
      </c>
      <c r="AD41" s="665">
        <v>31</v>
      </c>
      <c r="AE41" s="665">
        <v>32</v>
      </c>
      <c r="AF41" s="665">
        <v>42</v>
      </c>
      <c r="AG41" s="665">
        <v>4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0.10675813428107006</v>
      </c>
      <c r="F42" s="680">
        <f t="shared" si="25"/>
        <v>12.916666666666668</v>
      </c>
      <c r="G42" s="680">
        <f t="shared" si="26"/>
        <v>4.833333333333333</v>
      </c>
      <c r="H42" s="679">
        <f t="shared" si="27"/>
        <v>7.166666666666667</v>
      </c>
      <c r="I42" s="679">
        <f t="shared" si="28"/>
        <v>16.666666666666668</v>
      </c>
      <c r="J42" s="679">
        <f t="shared" si="29"/>
        <v>15</v>
      </c>
      <c r="K42" s="673">
        <v>0</v>
      </c>
      <c r="L42" s="673">
        <v>7</v>
      </c>
      <c r="M42" s="673">
        <v>9</v>
      </c>
      <c r="N42" s="673">
        <v>7</v>
      </c>
      <c r="O42" s="673">
        <v>2</v>
      </c>
      <c r="P42" s="673">
        <v>4</v>
      </c>
      <c r="Q42" s="673">
        <v>2</v>
      </c>
      <c r="R42" s="673">
        <v>3</v>
      </c>
      <c r="S42" s="673">
        <v>9</v>
      </c>
      <c r="T42" s="673">
        <v>7</v>
      </c>
      <c r="U42" s="673">
        <v>10</v>
      </c>
      <c r="V42" s="665">
        <v>12</v>
      </c>
      <c r="W42" s="665">
        <v>13</v>
      </c>
      <c r="X42" s="665">
        <v>8</v>
      </c>
      <c r="Y42" s="665">
        <v>17</v>
      </c>
      <c r="Z42" s="665">
        <v>23</v>
      </c>
      <c r="AA42" s="665">
        <v>20</v>
      </c>
      <c r="AB42" s="665">
        <v>19</v>
      </c>
      <c r="AC42" s="665">
        <v>10</v>
      </c>
      <c r="AD42" s="665">
        <v>20</v>
      </c>
      <c r="AE42" s="665">
        <v>15</v>
      </c>
      <c r="AF42" s="665">
        <v>21</v>
      </c>
      <c r="AG42" s="665">
        <v>9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0.32322230487368103</v>
      </c>
      <c r="F43" s="680">
        <f t="shared" si="25"/>
        <v>39.106666666666669</v>
      </c>
      <c r="G43" s="680">
        <f t="shared" si="26"/>
        <v>40.333333333333336</v>
      </c>
      <c r="H43" s="679">
        <f t="shared" si="27"/>
        <v>31.666666666666668</v>
      </c>
      <c r="I43" s="679">
        <f t="shared" si="28"/>
        <v>44.333333333333336</v>
      </c>
      <c r="J43" s="679">
        <f t="shared" si="29"/>
        <v>38.6</v>
      </c>
      <c r="K43" s="673">
        <v>46</v>
      </c>
      <c r="L43" s="673">
        <v>28</v>
      </c>
      <c r="M43" s="673">
        <v>43</v>
      </c>
      <c r="N43" s="673">
        <v>38</v>
      </c>
      <c r="O43" s="673">
        <v>37</v>
      </c>
      <c r="P43" s="673">
        <v>50</v>
      </c>
      <c r="Q43" s="673">
        <v>38</v>
      </c>
      <c r="R43" s="673">
        <v>26</v>
      </c>
      <c r="S43" s="673">
        <v>23</v>
      </c>
      <c r="T43" s="673">
        <v>39</v>
      </c>
      <c r="U43" s="673">
        <v>26</v>
      </c>
      <c r="V43" s="665">
        <v>38</v>
      </c>
      <c r="W43" s="665">
        <v>43</v>
      </c>
      <c r="X43" s="665">
        <v>25</v>
      </c>
      <c r="Y43" s="665">
        <v>54</v>
      </c>
      <c r="Z43" s="665">
        <v>56</v>
      </c>
      <c r="AA43" s="665">
        <v>44</v>
      </c>
      <c r="AB43" s="665">
        <v>44</v>
      </c>
      <c r="AC43" s="665">
        <v>50</v>
      </c>
      <c r="AD43" s="665">
        <v>51</v>
      </c>
      <c r="AE43" s="665">
        <v>33</v>
      </c>
      <c r="AF43" s="665">
        <v>47</v>
      </c>
      <c r="AG43" s="665">
        <v>12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9.9429704934292068E-2</v>
      </c>
      <c r="F44" s="680">
        <f t="shared" si="25"/>
        <v>12.029999999999998</v>
      </c>
      <c r="G44" s="680">
        <f t="shared" si="26"/>
        <v>6.5</v>
      </c>
      <c r="H44" s="679">
        <f t="shared" si="27"/>
        <v>7</v>
      </c>
      <c r="I44" s="679">
        <f t="shared" si="28"/>
        <v>18.333333333333332</v>
      </c>
      <c r="J44" s="679">
        <f t="shared" si="29"/>
        <v>11.2</v>
      </c>
      <c r="K44" s="673">
        <v>7</v>
      </c>
      <c r="L44" s="673">
        <v>5</v>
      </c>
      <c r="M44" s="673">
        <v>13</v>
      </c>
      <c r="N44" s="673">
        <v>2</v>
      </c>
      <c r="O44" s="673">
        <v>3</v>
      </c>
      <c r="P44" s="673">
        <v>9</v>
      </c>
      <c r="Q44" s="673">
        <v>12</v>
      </c>
      <c r="R44" s="673">
        <v>9</v>
      </c>
      <c r="S44" s="673">
        <v>5</v>
      </c>
      <c r="T44" s="673">
        <v>2</v>
      </c>
      <c r="U44" s="673">
        <v>10</v>
      </c>
      <c r="V44" s="665">
        <v>4</v>
      </c>
      <c r="W44" s="665">
        <v>29</v>
      </c>
      <c r="X44" s="665">
        <v>15</v>
      </c>
      <c r="Y44" s="665">
        <v>15</v>
      </c>
      <c r="Z44" s="665">
        <v>15</v>
      </c>
      <c r="AA44" s="665">
        <v>13</v>
      </c>
      <c r="AB44" s="665">
        <v>23</v>
      </c>
      <c r="AC44" s="665">
        <v>10</v>
      </c>
      <c r="AD44" s="665">
        <v>14</v>
      </c>
      <c r="AE44" s="665">
        <v>20</v>
      </c>
      <c r="AF44" s="665">
        <v>12</v>
      </c>
      <c r="AG44" s="665">
        <v>0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8.039231892442901E-2</v>
      </c>
      <c r="F45" s="680">
        <f t="shared" si="25"/>
        <v>9.7266666666666666</v>
      </c>
      <c r="G45" s="680">
        <f t="shared" si="26"/>
        <v>7</v>
      </c>
      <c r="H45" s="679">
        <f t="shared" si="27"/>
        <v>1.3333333333333333</v>
      </c>
      <c r="I45" s="679">
        <f t="shared" si="28"/>
        <v>7.333333333333333</v>
      </c>
      <c r="J45" s="679">
        <f t="shared" si="29"/>
        <v>16.399999999999999</v>
      </c>
      <c r="K45" s="673">
        <v>10</v>
      </c>
      <c r="L45" s="673">
        <v>16</v>
      </c>
      <c r="M45" s="673">
        <v>12</v>
      </c>
      <c r="N45" s="673">
        <v>4</v>
      </c>
      <c r="O45" s="673">
        <v>0</v>
      </c>
      <c r="P45" s="673">
        <v>0</v>
      </c>
      <c r="Q45" s="673">
        <v>0</v>
      </c>
      <c r="R45" s="673">
        <v>6</v>
      </c>
      <c r="S45" s="673">
        <v>2</v>
      </c>
      <c r="T45" s="673">
        <v>0</v>
      </c>
      <c r="U45" s="673">
        <v>0</v>
      </c>
      <c r="V45" s="665">
        <v>0</v>
      </c>
      <c r="W45" s="665">
        <v>2</v>
      </c>
      <c r="X45" s="665">
        <v>0</v>
      </c>
      <c r="Y45" s="665">
        <v>2</v>
      </c>
      <c r="Z45" s="665">
        <v>7</v>
      </c>
      <c r="AA45" s="665">
        <v>15</v>
      </c>
      <c r="AB45" s="665">
        <v>18</v>
      </c>
      <c r="AC45" s="665">
        <v>19</v>
      </c>
      <c r="AD45" s="665">
        <v>26</v>
      </c>
      <c r="AE45" s="665">
        <v>14</v>
      </c>
      <c r="AF45" s="665">
        <v>19</v>
      </c>
      <c r="AG45" s="665">
        <v>4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0.12414249111496817</v>
      </c>
      <c r="F46" s="680">
        <f t="shared" si="25"/>
        <v>15.02</v>
      </c>
      <c r="G46" s="680">
        <f t="shared" si="26"/>
        <v>11.5</v>
      </c>
      <c r="H46" s="679">
        <f t="shared" si="27"/>
        <v>13.5</v>
      </c>
      <c r="I46" s="679">
        <f t="shared" si="28"/>
        <v>22.833333333333332</v>
      </c>
      <c r="J46" s="679">
        <f t="shared" si="29"/>
        <v>10.8</v>
      </c>
      <c r="K46" s="673">
        <v>6</v>
      </c>
      <c r="L46" s="673">
        <v>4</v>
      </c>
      <c r="M46" s="673">
        <v>4</v>
      </c>
      <c r="N46" s="673">
        <v>11</v>
      </c>
      <c r="O46" s="673">
        <v>22</v>
      </c>
      <c r="P46" s="673">
        <v>22</v>
      </c>
      <c r="Q46" s="673">
        <v>12</v>
      </c>
      <c r="R46" s="673">
        <v>17</v>
      </c>
      <c r="S46" s="673">
        <v>12</v>
      </c>
      <c r="T46" s="673">
        <v>12</v>
      </c>
      <c r="U46" s="673">
        <v>10</v>
      </c>
      <c r="V46" s="665">
        <v>18</v>
      </c>
      <c r="W46" s="665">
        <v>9</v>
      </c>
      <c r="X46" s="665">
        <v>17</v>
      </c>
      <c r="Y46" s="665">
        <v>18</v>
      </c>
      <c r="Z46" s="665">
        <v>25</v>
      </c>
      <c r="AA46" s="665">
        <v>41</v>
      </c>
      <c r="AB46" s="665">
        <v>27</v>
      </c>
      <c r="AC46" s="665">
        <v>18</v>
      </c>
      <c r="AD46" s="665">
        <v>13</v>
      </c>
      <c r="AE46" s="665">
        <v>14</v>
      </c>
      <c r="AF46" s="665">
        <v>7</v>
      </c>
      <c r="AG46" s="665">
        <v>2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9.6536903876353414E-2</v>
      </c>
      <c r="F47" s="680">
        <f t="shared" si="25"/>
        <v>11.68</v>
      </c>
      <c r="G47" s="680">
        <f t="shared" si="26"/>
        <v>3.5</v>
      </c>
      <c r="H47" s="679">
        <f t="shared" si="27"/>
        <v>5</v>
      </c>
      <c r="I47" s="679">
        <f t="shared" si="28"/>
        <v>14.166666666666666</v>
      </c>
      <c r="J47" s="679">
        <f t="shared" si="29"/>
        <v>15.2</v>
      </c>
      <c r="K47" s="673">
        <v>2</v>
      </c>
      <c r="L47" s="673">
        <v>14</v>
      </c>
      <c r="M47" s="673">
        <v>2</v>
      </c>
      <c r="N47" s="673">
        <v>0</v>
      </c>
      <c r="O47" s="673">
        <v>2</v>
      </c>
      <c r="P47" s="673">
        <v>1</v>
      </c>
      <c r="Q47" s="673">
        <v>9</v>
      </c>
      <c r="R47" s="673">
        <v>6</v>
      </c>
      <c r="S47" s="673">
        <v>0</v>
      </c>
      <c r="T47" s="673">
        <v>7</v>
      </c>
      <c r="U47" s="673">
        <v>2</v>
      </c>
      <c r="V47" s="665">
        <v>6</v>
      </c>
      <c r="W47" s="665">
        <v>2</v>
      </c>
      <c r="X47" s="665">
        <v>6</v>
      </c>
      <c r="Y47" s="665">
        <v>21</v>
      </c>
      <c r="Z47" s="665">
        <v>17</v>
      </c>
      <c r="AA47" s="665">
        <v>15</v>
      </c>
      <c r="AB47" s="665">
        <v>24</v>
      </c>
      <c r="AC47" s="665">
        <v>16</v>
      </c>
      <c r="AD47" s="665">
        <v>22</v>
      </c>
      <c r="AE47" s="665">
        <v>17</v>
      </c>
      <c r="AF47" s="665">
        <v>16</v>
      </c>
      <c r="AG47" s="665">
        <v>5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0.10458164586604954</v>
      </c>
      <c r="F48" s="680">
        <f t="shared" si="25"/>
        <v>12.653333333333334</v>
      </c>
      <c r="G48" s="680">
        <f t="shared" si="26"/>
        <v>8</v>
      </c>
      <c r="H48" s="679">
        <f t="shared" si="27"/>
        <v>6.666666666666667</v>
      </c>
      <c r="I48" s="679">
        <f t="shared" si="28"/>
        <v>22</v>
      </c>
      <c r="J48" s="679">
        <f t="shared" si="29"/>
        <v>9.8000000000000007</v>
      </c>
      <c r="K48" s="673">
        <v>6</v>
      </c>
      <c r="L48" s="673">
        <v>1</v>
      </c>
      <c r="M48" s="673">
        <v>12</v>
      </c>
      <c r="N48" s="673">
        <v>8</v>
      </c>
      <c r="O48" s="673">
        <v>12</v>
      </c>
      <c r="P48" s="673">
        <v>9</v>
      </c>
      <c r="Q48" s="673">
        <v>4</v>
      </c>
      <c r="R48" s="673">
        <v>5</v>
      </c>
      <c r="S48" s="673">
        <v>2</v>
      </c>
      <c r="T48" s="673">
        <v>0</v>
      </c>
      <c r="U48" s="673">
        <v>12</v>
      </c>
      <c r="V48" s="665">
        <v>17</v>
      </c>
      <c r="W48" s="665">
        <v>22</v>
      </c>
      <c r="X48" s="665">
        <v>18</v>
      </c>
      <c r="Y48" s="665">
        <v>20</v>
      </c>
      <c r="Z48" s="665">
        <v>19</v>
      </c>
      <c r="AA48" s="665">
        <v>29</v>
      </c>
      <c r="AB48" s="665">
        <v>24</v>
      </c>
      <c r="AC48" s="665">
        <v>12</v>
      </c>
      <c r="AD48" s="665">
        <v>14</v>
      </c>
      <c r="AE48" s="665">
        <v>7</v>
      </c>
      <c r="AF48" s="665">
        <v>11</v>
      </c>
      <c r="AG48" s="665">
        <v>5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6.4936496129156668E-2</v>
      </c>
      <c r="F49" s="680">
        <f t="shared" si="25"/>
        <v>7.8566666666666665</v>
      </c>
      <c r="G49" s="680">
        <f t="shared" si="26"/>
        <v>1.6666666666666667</v>
      </c>
      <c r="H49" s="679">
        <f t="shared" si="27"/>
        <v>1</v>
      </c>
      <c r="I49" s="679">
        <f t="shared" si="28"/>
        <v>8.1666666666666661</v>
      </c>
      <c r="J49" s="679">
        <f t="shared" si="29"/>
        <v>12.6</v>
      </c>
      <c r="K49" s="673">
        <v>2</v>
      </c>
      <c r="L49" s="673">
        <v>1</v>
      </c>
      <c r="M49" s="673">
        <v>0</v>
      </c>
      <c r="N49" s="673">
        <v>0</v>
      </c>
      <c r="O49" s="673">
        <v>3</v>
      </c>
      <c r="P49" s="673">
        <v>4</v>
      </c>
      <c r="Q49" s="673">
        <v>0</v>
      </c>
      <c r="R49" s="673">
        <v>0</v>
      </c>
      <c r="S49" s="673">
        <v>2</v>
      </c>
      <c r="T49" s="673">
        <v>2</v>
      </c>
      <c r="U49" s="673">
        <v>0</v>
      </c>
      <c r="V49" s="665">
        <v>2</v>
      </c>
      <c r="W49" s="665">
        <v>4</v>
      </c>
      <c r="X49" s="665">
        <v>4</v>
      </c>
      <c r="Y49" s="665">
        <v>4</v>
      </c>
      <c r="Z49" s="665">
        <v>7</v>
      </c>
      <c r="AA49" s="665">
        <v>16</v>
      </c>
      <c r="AB49" s="665">
        <v>14</v>
      </c>
      <c r="AC49" s="665">
        <v>19</v>
      </c>
      <c r="AD49" s="665">
        <v>16</v>
      </c>
      <c r="AE49" s="665">
        <v>17</v>
      </c>
      <c r="AF49" s="665">
        <v>11</v>
      </c>
      <c r="AG49" s="665">
        <v>0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0.13063289022656968</v>
      </c>
      <c r="F50" s="680">
        <f t="shared" si="25"/>
        <v>31.25</v>
      </c>
      <c r="G50" s="680">
        <f t="shared" si="26"/>
        <v>25.833333333333332</v>
      </c>
      <c r="H50" s="679">
        <f t="shared" si="27"/>
        <v>34.833333333333336</v>
      </c>
      <c r="I50" s="679">
        <f t="shared" si="28"/>
        <v>41.666666666666664</v>
      </c>
      <c r="J50" s="679">
        <f t="shared" si="29"/>
        <v>23</v>
      </c>
      <c r="K50" s="673">
        <v>44</v>
      </c>
      <c r="L50" s="673">
        <v>18</v>
      </c>
      <c r="M50" s="673">
        <v>23</v>
      </c>
      <c r="N50" s="673">
        <v>24</v>
      </c>
      <c r="O50" s="673">
        <v>28</v>
      </c>
      <c r="P50" s="673">
        <v>18</v>
      </c>
      <c r="Q50" s="673">
        <v>33</v>
      </c>
      <c r="R50" s="673">
        <v>32</v>
      </c>
      <c r="S50" s="673">
        <v>12</v>
      </c>
      <c r="T50" s="673">
        <v>21</v>
      </c>
      <c r="U50" s="673">
        <v>43</v>
      </c>
      <c r="V50" s="665">
        <v>68</v>
      </c>
      <c r="W50" s="665">
        <v>38</v>
      </c>
      <c r="X50" s="665">
        <v>61</v>
      </c>
      <c r="Y50" s="665">
        <v>49</v>
      </c>
      <c r="Z50" s="665">
        <v>34</v>
      </c>
      <c r="AA50" s="665">
        <v>36</v>
      </c>
      <c r="AB50" s="665">
        <v>32</v>
      </c>
      <c r="AC50" s="665">
        <v>25</v>
      </c>
      <c r="AD50" s="665">
        <v>27</v>
      </c>
      <c r="AE50" s="665">
        <v>29</v>
      </c>
      <c r="AF50" s="665">
        <v>28</v>
      </c>
      <c r="AG50" s="665">
        <v>6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7.6387147117019202E-2</v>
      </c>
      <c r="F51" s="680">
        <f t="shared" si="25"/>
        <v>18.273333333333333</v>
      </c>
      <c r="G51" s="680">
        <f t="shared" si="26"/>
        <v>14.5</v>
      </c>
      <c r="H51" s="679">
        <f t="shared" si="27"/>
        <v>13.666666666666666</v>
      </c>
      <c r="I51" s="679">
        <f t="shared" si="28"/>
        <v>16.833333333333332</v>
      </c>
      <c r="J51" s="679">
        <f t="shared" si="29"/>
        <v>22.6</v>
      </c>
      <c r="K51" s="673">
        <v>15</v>
      </c>
      <c r="L51" s="673">
        <v>15</v>
      </c>
      <c r="M51" s="673">
        <v>11</v>
      </c>
      <c r="N51" s="673">
        <v>22</v>
      </c>
      <c r="O51" s="673">
        <v>16</v>
      </c>
      <c r="P51" s="673">
        <v>8</v>
      </c>
      <c r="Q51" s="673">
        <v>11</v>
      </c>
      <c r="R51" s="673">
        <v>10</v>
      </c>
      <c r="S51" s="673">
        <v>11</v>
      </c>
      <c r="T51" s="673">
        <v>7</v>
      </c>
      <c r="U51" s="673">
        <v>17</v>
      </c>
      <c r="V51" s="665">
        <v>26</v>
      </c>
      <c r="W51" s="665">
        <v>27</v>
      </c>
      <c r="X51" s="665">
        <v>27</v>
      </c>
      <c r="Y51" s="665">
        <v>12</v>
      </c>
      <c r="Z51" s="665">
        <v>14</v>
      </c>
      <c r="AA51" s="665">
        <v>7</v>
      </c>
      <c r="AB51" s="665">
        <v>14</v>
      </c>
      <c r="AC51" s="665">
        <v>25</v>
      </c>
      <c r="AD51" s="665">
        <v>26</v>
      </c>
      <c r="AE51" s="665">
        <v>23</v>
      </c>
      <c r="AF51" s="665">
        <v>22</v>
      </c>
      <c r="AG51" s="665">
        <v>17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0.12266254215087925</v>
      </c>
      <c r="F52" s="680">
        <f t="shared" si="25"/>
        <v>29.343333333333334</v>
      </c>
      <c r="G52" s="680">
        <f t="shared" si="26"/>
        <v>26.333333333333332</v>
      </c>
      <c r="H52" s="679">
        <f t="shared" si="27"/>
        <v>24</v>
      </c>
      <c r="I52" s="679">
        <f t="shared" si="28"/>
        <v>35.166666666666664</v>
      </c>
      <c r="J52" s="679">
        <f t="shared" si="29"/>
        <v>28.4</v>
      </c>
      <c r="K52" s="673">
        <v>19</v>
      </c>
      <c r="L52" s="673">
        <v>10</v>
      </c>
      <c r="M52" s="673">
        <v>38</v>
      </c>
      <c r="N52" s="673">
        <v>20</v>
      </c>
      <c r="O52" s="673">
        <v>39</v>
      </c>
      <c r="P52" s="673">
        <v>32</v>
      </c>
      <c r="Q52" s="673">
        <v>25</v>
      </c>
      <c r="R52" s="673">
        <v>22</v>
      </c>
      <c r="S52" s="673">
        <v>25</v>
      </c>
      <c r="T52" s="673">
        <v>20</v>
      </c>
      <c r="U52" s="673">
        <v>29</v>
      </c>
      <c r="V52" s="665">
        <v>23</v>
      </c>
      <c r="W52" s="665">
        <v>32</v>
      </c>
      <c r="X52" s="665">
        <v>33</v>
      </c>
      <c r="Y52" s="665">
        <v>34</v>
      </c>
      <c r="Z52" s="665">
        <v>36</v>
      </c>
      <c r="AA52" s="665">
        <v>37</v>
      </c>
      <c r="AB52" s="665">
        <v>39</v>
      </c>
      <c r="AC52" s="665">
        <v>26</v>
      </c>
      <c r="AD52" s="665">
        <v>48</v>
      </c>
      <c r="AE52" s="665">
        <v>24</v>
      </c>
      <c r="AF52" s="665">
        <v>32</v>
      </c>
      <c r="AG52" s="665">
        <v>12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7.7975643062174291E-2</v>
      </c>
      <c r="F53" s="680">
        <f t="shared" si="25"/>
        <v>18.653333333333332</v>
      </c>
      <c r="G53" s="680">
        <f t="shared" si="26"/>
        <v>11.5</v>
      </c>
      <c r="H53" s="679">
        <f t="shared" si="27"/>
        <v>14.666666666666666</v>
      </c>
      <c r="I53" s="679">
        <f t="shared" si="28"/>
        <v>20.833333333333332</v>
      </c>
      <c r="J53" s="679">
        <f t="shared" si="29"/>
        <v>20.8</v>
      </c>
      <c r="K53" s="673">
        <v>11</v>
      </c>
      <c r="L53" s="673">
        <v>13</v>
      </c>
      <c r="M53" s="673">
        <v>8</v>
      </c>
      <c r="N53" s="673">
        <v>25</v>
      </c>
      <c r="O53" s="673">
        <v>4</v>
      </c>
      <c r="P53" s="673">
        <v>8</v>
      </c>
      <c r="Q53" s="673">
        <v>16</v>
      </c>
      <c r="R53" s="673">
        <v>12</v>
      </c>
      <c r="S53" s="673">
        <v>10</v>
      </c>
      <c r="T53" s="673">
        <v>13</v>
      </c>
      <c r="U53" s="673">
        <v>10</v>
      </c>
      <c r="V53" s="665">
        <v>27</v>
      </c>
      <c r="W53" s="665">
        <v>27</v>
      </c>
      <c r="X53" s="665">
        <v>22</v>
      </c>
      <c r="Y53" s="665">
        <v>19</v>
      </c>
      <c r="Z53" s="665">
        <v>14</v>
      </c>
      <c r="AA53" s="665">
        <v>29</v>
      </c>
      <c r="AB53" s="665">
        <v>14</v>
      </c>
      <c r="AC53" s="665">
        <v>27</v>
      </c>
      <c r="AD53" s="665">
        <v>38</v>
      </c>
      <c r="AE53" s="665">
        <v>9</v>
      </c>
      <c r="AF53" s="665">
        <v>20</v>
      </c>
      <c r="AG53" s="665">
        <v>10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0.16162249533205142</v>
      </c>
      <c r="F54" s="680">
        <f t="shared" si="25"/>
        <v>38.663333333333341</v>
      </c>
      <c r="G54" s="680">
        <f t="shared" si="26"/>
        <v>31.666666666666668</v>
      </c>
      <c r="H54" s="679">
        <f t="shared" si="27"/>
        <v>27.833333333333332</v>
      </c>
      <c r="I54" s="679">
        <f t="shared" si="28"/>
        <v>36.833333333333336</v>
      </c>
      <c r="J54" s="679">
        <f t="shared" si="29"/>
        <v>47.2</v>
      </c>
      <c r="K54" s="673">
        <v>22</v>
      </c>
      <c r="L54" s="673">
        <v>12</v>
      </c>
      <c r="M54" s="673">
        <v>40</v>
      </c>
      <c r="N54" s="673">
        <v>57</v>
      </c>
      <c r="O54" s="673">
        <v>38</v>
      </c>
      <c r="P54" s="673">
        <v>21</v>
      </c>
      <c r="Q54" s="673">
        <v>25</v>
      </c>
      <c r="R54" s="673">
        <v>26</v>
      </c>
      <c r="S54" s="673">
        <v>20</v>
      </c>
      <c r="T54" s="673">
        <v>22</v>
      </c>
      <c r="U54" s="673">
        <v>38</v>
      </c>
      <c r="V54" s="665">
        <v>36</v>
      </c>
      <c r="W54" s="665">
        <v>59</v>
      </c>
      <c r="X54" s="665">
        <v>50</v>
      </c>
      <c r="Y54" s="665">
        <v>15</v>
      </c>
      <c r="Z54" s="665">
        <v>25</v>
      </c>
      <c r="AA54" s="665">
        <v>40</v>
      </c>
      <c r="AB54" s="665">
        <v>32</v>
      </c>
      <c r="AC54" s="665">
        <v>40</v>
      </c>
      <c r="AD54" s="665">
        <v>75</v>
      </c>
      <c r="AE54" s="665">
        <v>69</v>
      </c>
      <c r="AF54" s="665">
        <v>37</v>
      </c>
      <c r="AG54" s="665">
        <v>15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0.2415349887133183</v>
      </c>
      <c r="F55" s="680">
        <f t="shared" si="25"/>
        <v>57.78</v>
      </c>
      <c r="G55" s="680">
        <f t="shared" si="26"/>
        <v>55.666666666666664</v>
      </c>
      <c r="H55" s="679">
        <f t="shared" si="27"/>
        <v>56.666666666666664</v>
      </c>
      <c r="I55" s="679">
        <f t="shared" si="28"/>
        <v>69.333333333333329</v>
      </c>
      <c r="J55" s="679">
        <f t="shared" si="29"/>
        <v>50.2</v>
      </c>
      <c r="K55" s="673">
        <v>69</v>
      </c>
      <c r="L55" s="673">
        <v>40</v>
      </c>
      <c r="M55" s="673">
        <v>62</v>
      </c>
      <c r="N55" s="673">
        <v>54</v>
      </c>
      <c r="O55" s="673">
        <v>69</v>
      </c>
      <c r="P55" s="673">
        <v>40</v>
      </c>
      <c r="Q55" s="673">
        <v>42</v>
      </c>
      <c r="R55" s="673">
        <v>87</v>
      </c>
      <c r="S55" s="673">
        <v>41</v>
      </c>
      <c r="T55" s="673">
        <v>40</v>
      </c>
      <c r="U55" s="673">
        <v>56</v>
      </c>
      <c r="V55" s="665">
        <v>74</v>
      </c>
      <c r="W55" s="665">
        <v>57</v>
      </c>
      <c r="X55" s="665">
        <v>73</v>
      </c>
      <c r="Y55" s="665">
        <v>58</v>
      </c>
      <c r="Z55" s="665">
        <v>96</v>
      </c>
      <c r="AA55" s="665">
        <v>68</v>
      </c>
      <c r="AB55" s="665">
        <v>64</v>
      </c>
      <c r="AC55" s="665">
        <v>53</v>
      </c>
      <c r="AD55" s="665">
        <v>79</v>
      </c>
      <c r="AE55" s="665">
        <v>46</v>
      </c>
      <c r="AF55" s="665">
        <v>64</v>
      </c>
      <c r="AG55" s="665">
        <v>9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5.0734331020260294E-2</v>
      </c>
      <c r="F56" s="680">
        <f t="shared" si="25"/>
        <v>12.136666666666667</v>
      </c>
      <c r="G56" s="680">
        <f t="shared" si="26"/>
        <v>16.333333333333332</v>
      </c>
      <c r="H56" s="679">
        <f t="shared" si="27"/>
        <v>15.666666666666666</v>
      </c>
      <c r="I56" s="679">
        <f t="shared" si="28"/>
        <v>7.5</v>
      </c>
      <c r="J56" s="679">
        <f t="shared" si="29"/>
        <v>12.8</v>
      </c>
      <c r="K56" s="673">
        <v>12</v>
      </c>
      <c r="L56" s="673">
        <v>16</v>
      </c>
      <c r="M56" s="673">
        <v>21</v>
      </c>
      <c r="N56" s="673">
        <v>24</v>
      </c>
      <c r="O56" s="673">
        <v>8</v>
      </c>
      <c r="P56" s="673">
        <v>17</v>
      </c>
      <c r="Q56" s="673">
        <v>18</v>
      </c>
      <c r="R56" s="673">
        <v>20</v>
      </c>
      <c r="S56" s="673">
        <v>10</v>
      </c>
      <c r="T56" s="673">
        <v>14</v>
      </c>
      <c r="U56" s="673">
        <v>16</v>
      </c>
      <c r="V56" s="665">
        <v>16</v>
      </c>
      <c r="W56" s="665">
        <v>5</v>
      </c>
      <c r="X56" s="665">
        <v>7</v>
      </c>
      <c r="Y56" s="665">
        <v>5</v>
      </c>
      <c r="Z56" s="665">
        <v>3</v>
      </c>
      <c r="AA56" s="665">
        <v>4</v>
      </c>
      <c r="AB56" s="665">
        <v>21</v>
      </c>
      <c r="AC56" s="665">
        <v>12</v>
      </c>
      <c r="AD56" s="665">
        <v>29</v>
      </c>
      <c r="AE56" s="665">
        <v>14</v>
      </c>
      <c r="AF56" s="665">
        <v>7</v>
      </c>
      <c r="AG56" s="665">
        <v>2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0.13844996237772764</v>
      </c>
      <c r="F57" s="680">
        <f t="shared" si="25"/>
        <v>33.120000000000005</v>
      </c>
      <c r="G57" s="680">
        <f t="shared" si="26"/>
        <v>28.333333333333332</v>
      </c>
      <c r="H57" s="679">
        <f t="shared" si="27"/>
        <v>36.833333333333336</v>
      </c>
      <c r="I57" s="679">
        <f t="shared" si="28"/>
        <v>39.333333333333336</v>
      </c>
      <c r="J57" s="679">
        <f t="shared" si="29"/>
        <v>27.8</v>
      </c>
      <c r="K57" s="673">
        <v>25</v>
      </c>
      <c r="L57" s="673">
        <v>22</v>
      </c>
      <c r="M57" s="673">
        <v>40</v>
      </c>
      <c r="N57" s="673">
        <v>31</v>
      </c>
      <c r="O57" s="673">
        <v>33</v>
      </c>
      <c r="P57" s="673">
        <v>19</v>
      </c>
      <c r="Q57" s="673">
        <v>23</v>
      </c>
      <c r="R57" s="673">
        <v>31</v>
      </c>
      <c r="S57" s="673">
        <v>17</v>
      </c>
      <c r="T57" s="673">
        <v>55</v>
      </c>
      <c r="U57" s="673">
        <v>53</v>
      </c>
      <c r="V57" s="665">
        <v>42</v>
      </c>
      <c r="W57" s="665">
        <v>45</v>
      </c>
      <c r="X57" s="665">
        <v>49</v>
      </c>
      <c r="Y57" s="665">
        <v>31</v>
      </c>
      <c r="Z57" s="665">
        <v>30</v>
      </c>
      <c r="AA57" s="665">
        <v>38</v>
      </c>
      <c r="AB57" s="665">
        <v>43</v>
      </c>
      <c r="AC57" s="665">
        <v>33</v>
      </c>
      <c r="AD57" s="665">
        <v>47</v>
      </c>
      <c r="AE57" s="665">
        <v>28</v>
      </c>
      <c r="AF57" s="665">
        <v>21</v>
      </c>
      <c r="AG57" s="665">
        <v>10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9.4828632926761955E-2</v>
      </c>
      <c r="F58" s="680">
        <f t="shared" si="25"/>
        <v>28.636666666666667</v>
      </c>
      <c r="G58" s="680">
        <f t="shared" si="26"/>
        <v>22.333333333333332</v>
      </c>
      <c r="H58" s="679">
        <f t="shared" si="27"/>
        <v>28.166666666666668</v>
      </c>
      <c r="I58" s="679">
        <f t="shared" si="28"/>
        <v>32.166666666666664</v>
      </c>
      <c r="J58" s="679">
        <f t="shared" si="29"/>
        <v>27.8</v>
      </c>
      <c r="K58" s="673">
        <v>15</v>
      </c>
      <c r="L58" s="673">
        <v>13</v>
      </c>
      <c r="M58" s="673">
        <v>27</v>
      </c>
      <c r="N58" s="673">
        <v>33</v>
      </c>
      <c r="O58" s="673">
        <v>34</v>
      </c>
      <c r="P58" s="673">
        <v>12</v>
      </c>
      <c r="Q58" s="673">
        <v>21</v>
      </c>
      <c r="R58" s="673">
        <v>35</v>
      </c>
      <c r="S58" s="673">
        <v>21</v>
      </c>
      <c r="T58" s="673">
        <v>28</v>
      </c>
      <c r="U58" s="673">
        <v>29</v>
      </c>
      <c r="V58" s="665">
        <v>35</v>
      </c>
      <c r="W58" s="665">
        <v>25</v>
      </c>
      <c r="X58" s="665">
        <v>48</v>
      </c>
      <c r="Y58" s="665">
        <v>30</v>
      </c>
      <c r="Z58" s="665">
        <v>25</v>
      </c>
      <c r="AA58" s="665">
        <v>31</v>
      </c>
      <c r="AB58" s="665">
        <v>34</v>
      </c>
      <c r="AC58" s="665">
        <v>34</v>
      </c>
      <c r="AD58" s="665">
        <v>35</v>
      </c>
      <c r="AE58" s="665">
        <v>38</v>
      </c>
      <c r="AF58" s="665">
        <v>29</v>
      </c>
      <c r="AG58" s="665">
        <v>3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0.10743418510955348</v>
      </c>
      <c r="F59" s="680">
        <f t="shared" si="25"/>
        <v>32.443333333333328</v>
      </c>
      <c r="G59" s="680">
        <f t="shared" si="26"/>
        <v>21.5</v>
      </c>
      <c r="H59" s="679">
        <f t="shared" si="27"/>
        <v>27.666666666666668</v>
      </c>
      <c r="I59" s="679">
        <f t="shared" si="28"/>
        <v>31.333333333333332</v>
      </c>
      <c r="J59" s="679">
        <f t="shared" si="29"/>
        <v>38.4</v>
      </c>
      <c r="K59" s="673">
        <v>13</v>
      </c>
      <c r="L59" s="673">
        <v>12</v>
      </c>
      <c r="M59" s="673">
        <v>30</v>
      </c>
      <c r="N59" s="673">
        <v>27</v>
      </c>
      <c r="O59" s="673">
        <v>23</v>
      </c>
      <c r="P59" s="673">
        <v>24</v>
      </c>
      <c r="Q59" s="673">
        <v>23</v>
      </c>
      <c r="R59" s="673">
        <v>29</v>
      </c>
      <c r="S59" s="673">
        <v>15</v>
      </c>
      <c r="T59" s="673">
        <v>33</v>
      </c>
      <c r="U59" s="673">
        <v>35</v>
      </c>
      <c r="V59" s="665">
        <v>31</v>
      </c>
      <c r="W59" s="665">
        <v>30</v>
      </c>
      <c r="X59" s="665">
        <v>30</v>
      </c>
      <c r="Y59" s="665">
        <v>28</v>
      </c>
      <c r="Z59" s="665">
        <v>32</v>
      </c>
      <c r="AA59" s="665">
        <v>39</v>
      </c>
      <c r="AB59" s="665">
        <v>29</v>
      </c>
      <c r="AC59" s="665">
        <v>37</v>
      </c>
      <c r="AD59" s="665">
        <v>67</v>
      </c>
      <c r="AE59" s="665">
        <v>33</v>
      </c>
      <c r="AF59" s="665">
        <v>44</v>
      </c>
      <c r="AG59" s="665">
        <v>11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0.11267730007174789</v>
      </c>
      <c r="F60" s="680">
        <f t="shared" si="25"/>
        <v>34.026666666666671</v>
      </c>
      <c r="G60" s="680">
        <f t="shared" si="26"/>
        <v>43</v>
      </c>
      <c r="H60" s="679">
        <f t="shared" si="27"/>
        <v>29.333333333333332</v>
      </c>
      <c r="I60" s="679">
        <f t="shared" si="28"/>
        <v>28.333333333333332</v>
      </c>
      <c r="J60" s="679">
        <f t="shared" si="29"/>
        <v>38.4</v>
      </c>
      <c r="K60" s="673">
        <v>23</v>
      </c>
      <c r="L60" s="673">
        <v>30</v>
      </c>
      <c r="M60" s="673">
        <v>32</v>
      </c>
      <c r="N60" s="673">
        <v>64</v>
      </c>
      <c r="O60" s="673">
        <v>52</v>
      </c>
      <c r="P60" s="673">
        <v>57</v>
      </c>
      <c r="Q60" s="673">
        <v>38</v>
      </c>
      <c r="R60" s="673">
        <v>30</v>
      </c>
      <c r="S60" s="673">
        <v>35</v>
      </c>
      <c r="T60" s="673">
        <v>18</v>
      </c>
      <c r="U60" s="673">
        <v>30</v>
      </c>
      <c r="V60" s="665">
        <v>25</v>
      </c>
      <c r="W60" s="665">
        <v>54</v>
      </c>
      <c r="X60" s="665">
        <v>36</v>
      </c>
      <c r="Y60" s="665">
        <v>16</v>
      </c>
      <c r="Z60" s="665">
        <v>16</v>
      </c>
      <c r="AA60" s="665">
        <v>25</v>
      </c>
      <c r="AB60" s="665">
        <v>23</v>
      </c>
      <c r="AC60" s="665">
        <v>24</v>
      </c>
      <c r="AD60" s="665">
        <v>45</v>
      </c>
      <c r="AE60" s="665">
        <v>49</v>
      </c>
      <c r="AF60" s="665">
        <v>60</v>
      </c>
      <c r="AG60" s="665">
        <v>14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0.1369943153595673</v>
      </c>
      <c r="F61" s="680">
        <f t="shared" si="25"/>
        <v>41.37</v>
      </c>
      <c r="G61" s="680">
        <f t="shared" si="26"/>
        <v>37.166666666666664</v>
      </c>
      <c r="H61" s="679">
        <f t="shared" si="27"/>
        <v>46.166666666666664</v>
      </c>
      <c r="I61" s="679">
        <f t="shared" si="28"/>
        <v>39</v>
      </c>
      <c r="J61" s="679">
        <f t="shared" si="29"/>
        <v>41.8</v>
      </c>
      <c r="K61" s="673">
        <v>16</v>
      </c>
      <c r="L61" s="673">
        <v>21</v>
      </c>
      <c r="M61" s="673">
        <v>38</v>
      </c>
      <c r="N61" s="673">
        <v>54</v>
      </c>
      <c r="O61" s="673">
        <v>41</v>
      </c>
      <c r="P61" s="673">
        <v>53</v>
      </c>
      <c r="Q61" s="673">
        <v>64</v>
      </c>
      <c r="R61" s="673">
        <v>36</v>
      </c>
      <c r="S61" s="673">
        <v>33</v>
      </c>
      <c r="T61" s="673">
        <v>40</v>
      </c>
      <c r="U61" s="673">
        <v>51</v>
      </c>
      <c r="V61" s="665">
        <v>53</v>
      </c>
      <c r="W61" s="665">
        <v>51</v>
      </c>
      <c r="X61" s="665">
        <v>50</v>
      </c>
      <c r="Y61" s="665">
        <v>28</v>
      </c>
      <c r="Z61" s="665">
        <v>28</v>
      </c>
      <c r="AA61" s="665">
        <v>40</v>
      </c>
      <c r="AB61" s="665">
        <v>37</v>
      </c>
      <c r="AC61" s="665">
        <v>52</v>
      </c>
      <c r="AD61" s="665">
        <v>62</v>
      </c>
      <c r="AE61" s="665">
        <v>45</v>
      </c>
      <c r="AF61" s="665">
        <v>44</v>
      </c>
      <c r="AG61" s="665">
        <v>6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0.15448976212815277</v>
      </c>
      <c r="F62" s="680">
        <f t="shared" si="25"/>
        <v>46.653333333333336</v>
      </c>
      <c r="G62" s="680">
        <f t="shared" si="26"/>
        <v>38</v>
      </c>
      <c r="H62" s="679">
        <f t="shared" si="27"/>
        <v>43.666666666666664</v>
      </c>
      <c r="I62" s="679">
        <f t="shared" si="28"/>
        <v>54</v>
      </c>
      <c r="J62" s="679">
        <f t="shared" si="29"/>
        <v>44.8</v>
      </c>
      <c r="K62" s="673">
        <v>24</v>
      </c>
      <c r="L62" s="673">
        <v>36</v>
      </c>
      <c r="M62" s="673">
        <v>61</v>
      </c>
      <c r="N62" s="673">
        <v>41</v>
      </c>
      <c r="O62" s="673">
        <v>30</v>
      </c>
      <c r="P62" s="673">
        <v>36</v>
      </c>
      <c r="Q62" s="673">
        <v>40</v>
      </c>
      <c r="R62" s="673">
        <v>28</v>
      </c>
      <c r="S62" s="673">
        <v>31</v>
      </c>
      <c r="T62" s="673">
        <v>48</v>
      </c>
      <c r="U62" s="673">
        <v>56</v>
      </c>
      <c r="V62" s="665">
        <v>59</v>
      </c>
      <c r="W62" s="665">
        <v>58</v>
      </c>
      <c r="X62" s="665">
        <v>43</v>
      </c>
      <c r="Y62" s="665">
        <v>68</v>
      </c>
      <c r="Z62" s="665">
        <v>59</v>
      </c>
      <c r="AA62" s="665">
        <v>45</v>
      </c>
      <c r="AB62" s="665">
        <v>51</v>
      </c>
      <c r="AC62" s="665">
        <v>42</v>
      </c>
      <c r="AD62" s="665">
        <v>65</v>
      </c>
      <c r="AE62" s="665">
        <v>52</v>
      </c>
      <c r="AF62" s="665">
        <v>53</v>
      </c>
      <c r="AG62" s="665">
        <v>12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0.10614272310833929</v>
      </c>
      <c r="F63" s="680">
        <f t="shared" si="25"/>
        <v>32.053333333333327</v>
      </c>
      <c r="G63" s="680">
        <f t="shared" si="26"/>
        <v>27.333333333333332</v>
      </c>
      <c r="H63" s="679">
        <f t="shared" si="27"/>
        <v>16</v>
      </c>
      <c r="I63" s="679">
        <f t="shared" si="28"/>
        <v>31.333333333333332</v>
      </c>
      <c r="J63" s="679">
        <f t="shared" si="29"/>
        <v>41.8</v>
      </c>
      <c r="K63" s="673">
        <v>11</v>
      </c>
      <c r="L63" s="673">
        <v>25</v>
      </c>
      <c r="M63" s="673">
        <v>44</v>
      </c>
      <c r="N63" s="673">
        <v>29</v>
      </c>
      <c r="O63" s="673">
        <v>29</v>
      </c>
      <c r="P63" s="673">
        <v>26</v>
      </c>
      <c r="Q63" s="673">
        <v>11</v>
      </c>
      <c r="R63" s="673">
        <v>9</v>
      </c>
      <c r="S63" s="673">
        <v>5</v>
      </c>
      <c r="T63" s="673">
        <v>7</v>
      </c>
      <c r="U63" s="673">
        <v>31</v>
      </c>
      <c r="V63" s="665">
        <v>33</v>
      </c>
      <c r="W63" s="665">
        <v>35</v>
      </c>
      <c r="X63" s="665">
        <v>28</v>
      </c>
      <c r="Y63" s="665">
        <v>30</v>
      </c>
      <c r="Z63" s="665">
        <v>25</v>
      </c>
      <c r="AA63" s="665">
        <v>28</v>
      </c>
      <c r="AB63" s="665">
        <v>42</v>
      </c>
      <c r="AC63" s="665">
        <v>36</v>
      </c>
      <c r="AD63" s="665">
        <v>54</v>
      </c>
      <c r="AE63" s="665">
        <v>56</v>
      </c>
      <c r="AF63" s="665">
        <v>55</v>
      </c>
      <c r="AG63" s="665">
        <v>8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8.4320326728848163E-2</v>
      </c>
      <c r="F64" s="680">
        <f t="shared" si="25"/>
        <v>25.463333333333331</v>
      </c>
      <c r="G64" s="680">
        <f t="shared" si="26"/>
        <v>16</v>
      </c>
      <c r="H64" s="679">
        <f t="shared" si="27"/>
        <v>24.666666666666668</v>
      </c>
      <c r="I64" s="679">
        <f t="shared" si="28"/>
        <v>29.5</v>
      </c>
      <c r="J64" s="679">
        <f t="shared" si="29"/>
        <v>25.2</v>
      </c>
      <c r="K64" s="673">
        <v>10</v>
      </c>
      <c r="L64" s="673">
        <v>16</v>
      </c>
      <c r="M64" s="673">
        <v>23</v>
      </c>
      <c r="N64" s="673">
        <v>14</v>
      </c>
      <c r="O64" s="673">
        <v>24</v>
      </c>
      <c r="P64" s="673">
        <v>9</v>
      </c>
      <c r="Q64" s="673">
        <v>12</v>
      </c>
      <c r="R64" s="673">
        <v>10</v>
      </c>
      <c r="S64" s="673">
        <v>11</v>
      </c>
      <c r="T64" s="673">
        <v>23</v>
      </c>
      <c r="U64" s="673">
        <v>44</v>
      </c>
      <c r="V64" s="665">
        <v>48</v>
      </c>
      <c r="W64" s="665">
        <v>28</v>
      </c>
      <c r="X64" s="665">
        <v>22</v>
      </c>
      <c r="Y64" s="665">
        <v>22</v>
      </c>
      <c r="Z64" s="665">
        <v>33</v>
      </c>
      <c r="AA64" s="665">
        <v>36</v>
      </c>
      <c r="AB64" s="665">
        <v>36</v>
      </c>
      <c r="AC64" s="665">
        <v>33</v>
      </c>
      <c r="AD64" s="665">
        <v>33</v>
      </c>
      <c r="AE64" s="665">
        <v>29</v>
      </c>
      <c r="AF64" s="665">
        <v>28</v>
      </c>
      <c r="AG64" s="665">
        <v>3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0.1362437220597163</v>
      </c>
      <c r="F65" s="680">
        <f t="shared" si="25"/>
        <v>41.143333333333331</v>
      </c>
      <c r="G65" s="680">
        <f t="shared" si="26"/>
        <v>57.5</v>
      </c>
      <c r="H65" s="679">
        <f t="shared" si="27"/>
        <v>52.166666666666664</v>
      </c>
      <c r="I65" s="679">
        <f t="shared" si="28"/>
        <v>40</v>
      </c>
      <c r="J65" s="679">
        <f t="shared" si="29"/>
        <v>32.4</v>
      </c>
      <c r="K65" s="673">
        <v>44</v>
      </c>
      <c r="L65" s="673">
        <v>84</v>
      </c>
      <c r="M65" s="673">
        <v>60</v>
      </c>
      <c r="N65" s="673">
        <v>55</v>
      </c>
      <c r="O65" s="673">
        <v>70</v>
      </c>
      <c r="P65" s="673">
        <v>32</v>
      </c>
      <c r="Q65" s="673">
        <v>60</v>
      </c>
      <c r="R65" s="673">
        <v>53</v>
      </c>
      <c r="S65" s="673">
        <v>47</v>
      </c>
      <c r="T65" s="673">
        <v>50</v>
      </c>
      <c r="U65" s="673">
        <v>41</v>
      </c>
      <c r="V65" s="665">
        <v>62</v>
      </c>
      <c r="W65" s="665">
        <v>54</v>
      </c>
      <c r="X65" s="665">
        <v>37</v>
      </c>
      <c r="Y65" s="665">
        <v>30</v>
      </c>
      <c r="Z65" s="665">
        <v>27</v>
      </c>
      <c r="AA65" s="665">
        <v>32</v>
      </c>
      <c r="AB65" s="665">
        <v>60</v>
      </c>
      <c r="AC65" s="665">
        <v>44</v>
      </c>
      <c r="AD65" s="665">
        <v>42</v>
      </c>
      <c r="AE65" s="665">
        <v>42</v>
      </c>
      <c r="AF65" s="665">
        <v>29</v>
      </c>
      <c r="AG65" s="665">
        <v>5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6.6869032507312756E-2</v>
      </c>
      <c r="F66" s="680">
        <f t="shared" si="25"/>
        <v>20.193333333333332</v>
      </c>
      <c r="G66" s="680">
        <f t="shared" si="26"/>
        <v>20.166666666666668</v>
      </c>
      <c r="H66" s="679">
        <f t="shared" si="27"/>
        <v>16.333333333333332</v>
      </c>
      <c r="I66" s="679">
        <f t="shared" si="28"/>
        <v>18.5</v>
      </c>
      <c r="J66" s="679">
        <f t="shared" si="29"/>
        <v>23.4</v>
      </c>
      <c r="K66" s="673">
        <v>14</v>
      </c>
      <c r="L66" s="673">
        <v>19</v>
      </c>
      <c r="M66" s="673">
        <v>36</v>
      </c>
      <c r="N66" s="673">
        <v>14</v>
      </c>
      <c r="O66" s="673">
        <v>14</v>
      </c>
      <c r="P66" s="673">
        <v>24</v>
      </c>
      <c r="Q66" s="673">
        <v>23</v>
      </c>
      <c r="R66" s="673">
        <v>6</v>
      </c>
      <c r="S66" s="673">
        <v>8</v>
      </c>
      <c r="T66" s="673">
        <v>18</v>
      </c>
      <c r="U66" s="673">
        <v>31</v>
      </c>
      <c r="V66" s="665">
        <v>12</v>
      </c>
      <c r="W66" s="665">
        <v>15</v>
      </c>
      <c r="X66" s="665">
        <v>21</v>
      </c>
      <c r="Y66" s="665">
        <v>23</v>
      </c>
      <c r="Z66" s="665">
        <v>18</v>
      </c>
      <c r="AA66" s="665">
        <v>19</v>
      </c>
      <c r="AB66" s="665">
        <v>15</v>
      </c>
      <c r="AC66" s="665">
        <v>22</v>
      </c>
      <c r="AD66" s="665">
        <v>42</v>
      </c>
      <c r="AE66" s="665">
        <v>29</v>
      </c>
      <c r="AF66" s="665">
        <v>23</v>
      </c>
      <c r="AG66" s="665">
        <v>1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0.17894607993145237</v>
      </c>
      <c r="F67" s="680">
        <f t="shared" si="25"/>
        <v>48.730000000000004</v>
      </c>
      <c r="G67" s="680">
        <f t="shared" si="26"/>
        <v>48.833333333333336</v>
      </c>
      <c r="H67" s="679">
        <f t="shared" si="27"/>
        <v>50.833333333333336</v>
      </c>
      <c r="I67" s="679">
        <f t="shared" si="28"/>
        <v>50.666666666666664</v>
      </c>
      <c r="J67" s="679">
        <f t="shared" si="29"/>
        <v>46.2</v>
      </c>
      <c r="K67" s="673">
        <v>48</v>
      </c>
      <c r="L67" s="673">
        <v>57</v>
      </c>
      <c r="M67" s="673">
        <v>56</v>
      </c>
      <c r="N67" s="673">
        <v>64</v>
      </c>
      <c r="O67" s="673">
        <v>46</v>
      </c>
      <c r="P67" s="673">
        <v>22</v>
      </c>
      <c r="Q67" s="673">
        <v>34</v>
      </c>
      <c r="R67" s="673">
        <v>45</v>
      </c>
      <c r="S67" s="673">
        <v>26</v>
      </c>
      <c r="T67" s="673">
        <v>32</v>
      </c>
      <c r="U67" s="673">
        <v>77</v>
      </c>
      <c r="V67" s="665">
        <v>91</v>
      </c>
      <c r="W67" s="665">
        <v>46</v>
      </c>
      <c r="X67" s="665">
        <v>52</v>
      </c>
      <c r="Y67" s="665">
        <v>60</v>
      </c>
      <c r="Z67" s="665">
        <v>55</v>
      </c>
      <c r="AA67" s="665">
        <v>50</v>
      </c>
      <c r="AB67" s="665">
        <v>41</v>
      </c>
      <c r="AC67" s="665">
        <v>42</v>
      </c>
      <c r="AD67" s="665">
        <v>62</v>
      </c>
      <c r="AE67" s="665">
        <v>72</v>
      </c>
      <c r="AF67" s="665">
        <v>50</v>
      </c>
      <c r="AG67" s="665">
        <v>5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0.13030173205214518</v>
      </c>
      <c r="F68" s="680">
        <f t="shared" si="25"/>
        <v>35.483333333333334</v>
      </c>
      <c r="G68" s="680">
        <f t="shared" si="26"/>
        <v>32</v>
      </c>
      <c r="H68" s="679">
        <f t="shared" si="27"/>
        <v>36.666666666666664</v>
      </c>
      <c r="I68" s="679">
        <f t="shared" si="28"/>
        <v>39.166666666666664</v>
      </c>
      <c r="J68" s="679">
        <f t="shared" si="29"/>
        <v>33</v>
      </c>
      <c r="K68" s="673">
        <v>23</v>
      </c>
      <c r="L68" s="673">
        <v>10</v>
      </c>
      <c r="M68" s="673">
        <v>31</v>
      </c>
      <c r="N68" s="673">
        <v>46</v>
      </c>
      <c r="O68" s="673">
        <v>44</v>
      </c>
      <c r="P68" s="673">
        <v>38</v>
      </c>
      <c r="Q68" s="673">
        <v>29</v>
      </c>
      <c r="R68" s="673">
        <v>39</v>
      </c>
      <c r="S68" s="673">
        <v>15</v>
      </c>
      <c r="T68" s="673">
        <v>38</v>
      </c>
      <c r="U68" s="673">
        <v>33</v>
      </c>
      <c r="V68" s="665">
        <v>66</v>
      </c>
      <c r="W68" s="665">
        <v>60</v>
      </c>
      <c r="X68" s="665">
        <v>45</v>
      </c>
      <c r="Y68" s="665">
        <v>26</v>
      </c>
      <c r="Z68" s="665">
        <v>29</v>
      </c>
      <c r="AA68" s="665">
        <v>42</v>
      </c>
      <c r="AB68" s="665">
        <v>33</v>
      </c>
      <c r="AC68" s="665">
        <v>43</v>
      </c>
      <c r="AD68" s="665">
        <v>44</v>
      </c>
      <c r="AE68" s="665">
        <v>23</v>
      </c>
      <c r="AF68" s="665">
        <v>36</v>
      </c>
      <c r="AG68" s="665">
        <v>19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8.589264948895281E-2</v>
      </c>
      <c r="F69" s="680">
        <f t="shared" si="25"/>
        <v>23.39</v>
      </c>
      <c r="G69" s="680">
        <f t="shared" si="26"/>
        <v>13.666666666666666</v>
      </c>
      <c r="H69" s="679">
        <f t="shared" si="27"/>
        <v>22.166666666666668</v>
      </c>
      <c r="I69" s="679">
        <f t="shared" si="28"/>
        <v>25.833333333333332</v>
      </c>
      <c r="J69" s="679">
        <f t="shared" si="29"/>
        <v>24.6</v>
      </c>
      <c r="K69" s="673">
        <v>10</v>
      </c>
      <c r="L69" s="673">
        <v>5</v>
      </c>
      <c r="M69" s="673">
        <v>18</v>
      </c>
      <c r="N69" s="673">
        <v>20</v>
      </c>
      <c r="O69" s="673">
        <v>10</v>
      </c>
      <c r="P69" s="673">
        <v>19</v>
      </c>
      <c r="Q69" s="673">
        <v>36</v>
      </c>
      <c r="R69" s="673">
        <v>11</v>
      </c>
      <c r="S69" s="673">
        <v>14</v>
      </c>
      <c r="T69" s="673">
        <v>17</v>
      </c>
      <c r="U69" s="673">
        <v>26</v>
      </c>
      <c r="V69" s="665">
        <v>29</v>
      </c>
      <c r="W69" s="665">
        <v>37</v>
      </c>
      <c r="X69" s="665">
        <v>24</v>
      </c>
      <c r="Y69" s="665">
        <v>23</v>
      </c>
      <c r="Z69" s="665">
        <v>27</v>
      </c>
      <c r="AA69" s="665">
        <v>16</v>
      </c>
      <c r="AB69" s="665">
        <v>28</v>
      </c>
      <c r="AC69" s="665">
        <v>28</v>
      </c>
      <c r="AD69" s="665">
        <v>38</v>
      </c>
      <c r="AE69" s="665">
        <v>25</v>
      </c>
      <c r="AF69" s="665">
        <v>21</v>
      </c>
      <c r="AG69" s="665">
        <v>11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0.12960401493359444</v>
      </c>
      <c r="F70" s="680">
        <f t="shared" si="25"/>
        <v>35.293333333333329</v>
      </c>
      <c r="G70" s="680">
        <f t="shared" si="26"/>
        <v>36.333333333333336</v>
      </c>
      <c r="H70" s="679">
        <f t="shared" si="27"/>
        <v>42.5</v>
      </c>
      <c r="I70" s="679">
        <f t="shared" si="28"/>
        <v>32.666666666666664</v>
      </c>
      <c r="J70" s="679">
        <f t="shared" si="29"/>
        <v>33.4</v>
      </c>
      <c r="K70" s="673">
        <v>14</v>
      </c>
      <c r="L70" s="673">
        <v>22</v>
      </c>
      <c r="M70" s="673">
        <v>22</v>
      </c>
      <c r="N70" s="673">
        <v>56</v>
      </c>
      <c r="O70" s="673">
        <v>60</v>
      </c>
      <c r="P70" s="673">
        <v>44</v>
      </c>
      <c r="Q70" s="673">
        <v>29</v>
      </c>
      <c r="R70" s="673">
        <v>51</v>
      </c>
      <c r="S70" s="673">
        <v>34</v>
      </c>
      <c r="T70" s="673">
        <v>22</v>
      </c>
      <c r="U70" s="673">
        <v>55</v>
      </c>
      <c r="V70" s="665">
        <v>64</v>
      </c>
      <c r="W70" s="665">
        <v>47</v>
      </c>
      <c r="X70" s="665">
        <v>24</v>
      </c>
      <c r="Y70" s="665">
        <v>23</v>
      </c>
      <c r="Z70" s="665">
        <v>26</v>
      </c>
      <c r="AA70" s="665">
        <v>40</v>
      </c>
      <c r="AB70" s="665">
        <v>36</v>
      </c>
      <c r="AC70" s="665">
        <v>30</v>
      </c>
      <c r="AD70" s="665">
        <v>48</v>
      </c>
      <c r="AE70" s="665">
        <v>39</v>
      </c>
      <c r="AF70" s="665">
        <v>37</v>
      </c>
      <c r="AG70" s="665">
        <v>13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0.27988248974845464</v>
      </c>
      <c r="F71" s="680">
        <f t="shared" si="25"/>
        <v>76.216666666666669</v>
      </c>
      <c r="G71" s="680">
        <f t="shared" si="26"/>
        <v>63.833333333333336</v>
      </c>
      <c r="H71" s="679">
        <f t="shared" si="27"/>
        <v>94.666666666666671</v>
      </c>
      <c r="I71" s="679">
        <f t="shared" si="28"/>
        <v>87</v>
      </c>
      <c r="J71" s="679">
        <f t="shared" si="29"/>
        <v>62</v>
      </c>
      <c r="K71" s="673">
        <v>36</v>
      </c>
      <c r="L71" s="673">
        <v>46</v>
      </c>
      <c r="M71" s="673">
        <v>80</v>
      </c>
      <c r="N71" s="673">
        <v>95</v>
      </c>
      <c r="O71" s="673">
        <v>60</v>
      </c>
      <c r="P71" s="673">
        <v>66</v>
      </c>
      <c r="Q71" s="673">
        <v>59</v>
      </c>
      <c r="R71" s="673">
        <v>83</v>
      </c>
      <c r="S71" s="673">
        <v>68</v>
      </c>
      <c r="T71" s="673">
        <v>79</v>
      </c>
      <c r="U71" s="673">
        <v>173</v>
      </c>
      <c r="V71" s="665">
        <v>106</v>
      </c>
      <c r="W71" s="665">
        <v>105</v>
      </c>
      <c r="X71" s="665">
        <v>84</v>
      </c>
      <c r="Y71" s="665">
        <v>89</v>
      </c>
      <c r="Z71" s="665">
        <v>80</v>
      </c>
      <c r="AA71" s="665">
        <v>71</v>
      </c>
      <c r="AB71" s="665">
        <v>93</v>
      </c>
      <c r="AC71" s="665">
        <v>52</v>
      </c>
      <c r="AD71" s="665">
        <v>88</v>
      </c>
      <c r="AE71" s="665">
        <v>77</v>
      </c>
      <c r="AF71" s="665">
        <v>84</v>
      </c>
      <c r="AG71" s="665">
        <v>9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0.19537303384540058</v>
      </c>
      <c r="F72" s="680">
        <f t="shared" si="25"/>
        <v>53.203333333333333</v>
      </c>
      <c r="G72" s="680">
        <f t="shared" si="26"/>
        <v>24.166666666666668</v>
      </c>
      <c r="H72" s="679">
        <f t="shared" si="27"/>
        <v>56.833333333333336</v>
      </c>
      <c r="I72" s="679">
        <f t="shared" si="28"/>
        <v>67.666666666666671</v>
      </c>
      <c r="J72" s="679">
        <f t="shared" si="29"/>
        <v>47.8</v>
      </c>
      <c r="K72" s="673">
        <v>3</v>
      </c>
      <c r="L72" s="673">
        <v>5</v>
      </c>
      <c r="M72" s="673">
        <v>13</v>
      </c>
      <c r="N72" s="673">
        <v>23</v>
      </c>
      <c r="O72" s="673">
        <v>72</v>
      </c>
      <c r="P72" s="673">
        <v>29</v>
      </c>
      <c r="Q72" s="673">
        <v>84</v>
      </c>
      <c r="R72" s="673">
        <v>50</v>
      </c>
      <c r="S72" s="673">
        <v>53</v>
      </c>
      <c r="T72" s="673">
        <v>34</v>
      </c>
      <c r="U72" s="673">
        <v>48</v>
      </c>
      <c r="V72" s="665">
        <v>72</v>
      </c>
      <c r="W72" s="665">
        <v>68</v>
      </c>
      <c r="X72" s="665">
        <v>74</v>
      </c>
      <c r="Y72" s="665">
        <v>66</v>
      </c>
      <c r="Z72" s="665">
        <v>55</v>
      </c>
      <c r="AA72" s="665">
        <v>85</v>
      </c>
      <c r="AB72" s="665">
        <v>58</v>
      </c>
      <c r="AC72" s="665">
        <v>71</v>
      </c>
      <c r="AD72" s="665">
        <v>71</v>
      </c>
      <c r="AE72" s="665">
        <v>42</v>
      </c>
      <c r="AF72" s="665">
        <v>42</v>
      </c>
      <c r="AG72" s="665">
        <v>13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7.2521517373286576E-2</v>
      </c>
      <c r="F73" s="680">
        <f t="shared" si="25"/>
        <v>18.200000000000003</v>
      </c>
      <c r="G73" s="680">
        <f t="shared" si="26"/>
        <v>19</v>
      </c>
      <c r="H73" s="679">
        <f t="shared" si="27"/>
        <v>18.5</v>
      </c>
      <c r="I73" s="679">
        <f t="shared" si="28"/>
        <v>20.666666666666668</v>
      </c>
      <c r="J73" s="679">
        <f t="shared" si="29"/>
        <v>16</v>
      </c>
      <c r="K73" s="673">
        <v>0</v>
      </c>
      <c r="L73" s="673">
        <v>1</v>
      </c>
      <c r="M73" s="673">
        <v>5</v>
      </c>
      <c r="N73" s="673">
        <v>28</v>
      </c>
      <c r="O73" s="673">
        <v>31</v>
      </c>
      <c r="P73" s="673">
        <v>49</v>
      </c>
      <c r="Q73" s="673">
        <v>26</v>
      </c>
      <c r="R73" s="673">
        <v>11</v>
      </c>
      <c r="S73" s="673">
        <v>10</v>
      </c>
      <c r="T73" s="673">
        <v>28</v>
      </c>
      <c r="U73" s="673">
        <v>16</v>
      </c>
      <c r="V73" s="665">
        <v>20</v>
      </c>
      <c r="W73" s="665">
        <v>15</v>
      </c>
      <c r="X73" s="665">
        <v>22</v>
      </c>
      <c r="Y73" s="665">
        <v>25</v>
      </c>
      <c r="Z73" s="665">
        <v>16</v>
      </c>
      <c r="AA73" s="665">
        <v>18</v>
      </c>
      <c r="AB73" s="665">
        <v>28</v>
      </c>
      <c r="AC73" s="665">
        <v>23</v>
      </c>
      <c r="AD73" s="665">
        <v>22</v>
      </c>
      <c r="AE73" s="665">
        <v>9</v>
      </c>
      <c r="AF73" s="665">
        <v>21</v>
      </c>
      <c r="AG73" s="665">
        <v>5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0.14032780788439059</v>
      </c>
      <c r="F74" s="680">
        <f t="shared" si="25"/>
        <v>35.216666666666669</v>
      </c>
      <c r="G74" s="680">
        <f t="shared" si="26"/>
        <v>24.833333333333332</v>
      </c>
      <c r="H74" s="679">
        <f t="shared" si="27"/>
        <v>33.166666666666664</v>
      </c>
      <c r="I74" s="679">
        <f t="shared" si="28"/>
        <v>39</v>
      </c>
      <c r="J74" s="679">
        <f t="shared" si="29"/>
        <v>36</v>
      </c>
      <c r="K74" s="673">
        <v>26</v>
      </c>
      <c r="L74" s="673">
        <v>10</v>
      </c>
      <c r="M74" s="673">
        <v>21</v>
      </c>
      <c r="N74" s="673">
        <v>24</v>
      </c>
      <c r="O74" s="673">
        <v>41</v>
      </c>
      <c r="P74" s="673">
        <v>27</v>
      </c>
      <c r="Q74" s="673">
        <v>29</v>
      </c>
      <c r="R74" s="673">
        <v>26</v>
      </c>
      <c r="S74" s="673">
        <v>12</v>
      </c>
      <c r="T74" s="673">
        <v>39</v>
      </c>
      <c r="U74" s="673">
        <v>35</v>
      </c>
      <c r="V74" s="665">
        <v>58</v>
      </c>
      <c r="W74" s="665">
        <v>44</v>
      </c>
      <c r="X74" s="665">
        <v>54</v>
      </c>
      <c r="Y74" s="665">
        <v>32</v>
      </c>
      <c r="Z74" s="665">
        <v>42</v>
      </c>
      <c r="AA74" s="665">
        <v>39</v>
      </c>
      <c r="AB74" s="665">
        <v>23</v>
      </c>
      <c r="AC74" s="665">
        <v>20</v>
      </c>
      <c r="AD74" s="665">
        <v>52</v>
      </c>
      <c r="AE74" s="665">
        <v>32</v>
      </c>
      <c r="AF74" s="665">
        <v>62</v>
      </c>
      <c r="AG74" s="665">
        <v>14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0.1453219636595473</v>
      </c>
      <c r="F75" s="680">
        <f t="shared" si="25"/>
        <v>36.47</v>
      </c>
      <c r="G75" s="680">
        <f t="shared" si="26"/>
        <v>43.166666666666664</v>
      </c>
      <c r="H75" s="679">
        <f t="shared" si="27"/>
        <v>46.166666666666664</v>
      </c>
      <c r="I75" s="679">
        <f t="shared" si="28"/>
        <v>42</v>
      </c>
      <c r="J75" s="679">
        <f t="shared" si="29"/>
        <v>25.8</v>
      </c>
      <c r="K75" s="673">
        <v>58</v>
      </c>
      <c r="L75" s="673">
        <v>46</v>
      </c>
      <c r="M75" s="673">
        <v>39</v>
      </c>
      <c r="N75" s="673">
        <v>39</v>
      </c>
      <c r="O75" s="673">
        <v>56</v>
      </c>
      <c r="P75" s="673">
        <v>21</v>
      </c>
      <c r="Q75" s="673">
        <v>43</v>
      </c>
      <c r="R75" s="673">
        <v>22</v>
      </c>
      <c r="S75" s="673">
        <v>17</v>
      </c>
      <c r="T75" s="673">
        <v>48</v>
      </c>
      <c r="U75" s="673">
        <v>50</v>
      </c>
      <c r="V75" s="665">
        <v>97</v>
      </c>
      <c r="W75" s="665">
        <v>57</v>
      </c>
      <c r="X75" s="665">
        <v>68</v>
      </c>
      <c r="Y75" s="665">
        <v>39</v>
      </c>
      <c r="Z75" s="665">
        <v>28</v>
      </c>
      <c r="AA75" s="665">
        <v>29</v>
      </c>
      <c r="AB75" s="665">
        <v>31</v>
      </c>
      <c r="AC75" s="665">
        <v>24</v>
      </c>
      <c r="AD75" s="665">
        <v>30</v>
      </c>
      <c r="AE75" s="665">
        <v>38</v>
      </c>
      <c r="AF75" s="665">
        <v>25</v>
      </c>
      <c r="AG75" s="665">
        <v>12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0.18888800340027626</v>
      </c>
      <c r="F76" s="680">
        <f t="shared" si="25"/>
        <v>47.403333333333336</v>
      </c>
      <c r="G76" s="680">
        <f t="shared" si="26"/>
        <v>31.5</v>
      </c>
      <c r="H76" s="679">
        <f t="shared" si="27"/>
        <v>49.666666666666664</v>
      </c>
      <c r="I76" s="679">
        <f t="shared" si="28"/>
        <v>46.666666666666664</v>
      </c>
      <c r="J76" s="679">
        <f t="shared" si="29"/>
        <v>50.8</v>
      </c>
      <c r="K76" s="673">
        <v>15</v>
      </c>
      <c r="L76" s="673">
        <v>19</v>
      </c>
      <c r="M76" s="673">
        <v>13</v>
      </c>
      <c r="N76" s="673">
        <v>40</v>
      </c>
      <c r="O76" s="673">
        <v>87</v>
      </c>
      <c r="P76" s="673">
        <v>15</v>
      </c>
      <c r="Q76" s="673">
        <v>9</v>
      </c>
      <c r="R76" s="673">
        <v>26</v>
      </c>
      <c r="S76" s="673">
        <v>23</v>
      </c>
      <c r="T76" s="673">
        <v>65</v>
      </c>
      <c r="U76" s="673">
        <v>105</v>
      </c>
      <c r="V76" s="665">
        <v>70</v>
      </c>
      <c r="W76" s="665">
        <v>84</v>
      </c>
      <c r="X76" s="665">
        <v>63</v>
      </c>
      <c r="Y76" s="665">
        <v>18</v>
      </c>
      <c r="Z76" s="665">
        <v>29</v>
      </c>
      <c r="AA76" s="665">
        <v>43</v>
      </c>
      <c r="AB76" s="665">
        <v>43</v>
      </c>
      <c r="AC76" s="665">
        <v>39</v>
      </c>
      <c r="AD76" s="665">
        <v>66</v>
      </c>
      <c r="AE76" s="665">
        <v>65</v>
      </c>
      <c r="AF76" s="665">
        <v>76</v>
      </c>
      <c r="AG76" s="665">
        <v>8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0.12786898310487727</v>
      </c>
      <c r="F77" s="680">
        <f t="shared" si="25"/>
        <v>32.090000000000003</v>
      </c>
      <c r="G77" s="680">
        <f t="shared" si="26"/>
        <v>17.166666666666668</v>
      </c>
      <c r="H77" s="679">
        <f t="shared" si="27"/>
        <v>34.666666666666664</v>
      </c>
      <c r="I77" s="679">
        <f t="shared" si="28"/>
        <v>33.333333333333336</v>
      </c>
      <c r="J77" s="679">
        <f t="shared" si="29"/>
        <v>33.6</v>
      </c>
      <c r="K77" s="673">
        <v>20</v>
      </c>
      <c r="L77" s="673">
        <v>12</v>
      </c>
      <c r="M77" s="673">
        <v>12</v>
      </c>
      <c r="N77" s="673">
        <v>15</v>
      </c>
      <c r="O77" s="673">
        <v>32</v>
      </c>
      <c r="P77" s="673">
        <v>12</v>
      </c>
      <c r="Q77" s="673">
        <v>15</v>
      </c>
      <c r="R77" s="673">
        <v>12</v>
      </c>
      <c r="S77" s="673">
        <v>6</v>
      </c>
      <c r="T77" s="673">
        <v>23</v>
      </c>
      <c r="U77" s="673">
        <v>75</v>
      </c>
      <c r="V77" s="665">
        <v>77</v>
      </c>
      <c r="W77" s="665">
        <v>41</v>
      </c>
      <c r="X77" s="665">
        <v>54</v>
      </c>
      <c r="Y77" s="665">
        <v>21</v>
      </c>
      <c r="Z77" s="665">
        <v>21</v>
      </c>
      <c r="AA77" s="665">
        <v>28</v>
      </c>
      <c r="AB77" s="665">
        <v>35</v>
      </c>
      <c r="AC77" s="665">
        <v>42</v>
      </c>
      <c r="AD77" s="665">
        <v>29</v>
      </c>
      <c r="AE77" s="665">
        <v>41</v>
      </c>
      <c r="AF77" s="665">
        <v>49</v>
      </c>
      <c r="AG77" s="665">
        <v>7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0.17447667622994364</v>
      </c>
      <c r="F78" s="680">
        <f t="shared" si="25"/>
        <v>43.786666666666662</v>
      </c>
      <c r="G78" s="680">
        <f t="shared" si="26"/>
        <v>18.333333333333332</v>
      </c>
      <c r="H78" s="679">
        <f t="shared" si="27"/>
        <v>40.166666666666664</v>
      </c>
      <c r="I78" s="679">
        <f t="shared" si="28"/>
        <v>57.333333333333336</v>
      </c>
      <c r="J78" s="679">
        <f t="shared" si="29"/>
        <v>41.8</v>
      </c>
      <c r="K78" s="673">
        <v>7</v>
      </c>
      <c r="L78" s="673">
        <v>12</v>
      </c>
      <c r="M78" s="673">
        <v>14</v>
      </c>
      <c r="N78" s="673">
        <v>11</v>
      </c>
      <c r="O78" s="673">
        <v>29</v>
      </c>
      <c r="P78" s="673">
        <v>37</v>
      </c>
      <c r="Q78" s="673">
        <v>22</v>
      </c>
      <c r="R78" s="673">
        <v>44</v>
      </c>
      <c r="S78" s="673">
        <v>27</v>
      </c>
      <c r="T78" s="673">
        <v>32</v>
      </c>
      <c r="U78" s="673">
        <v>40</v>
      </c>
      <c r="V78" s="665">
        <v>76</v>
      </c>
      <c r="W78" s="665">
        <v>90</v>
      </c>
      <c r="X78" s="665">
        <v>54</v>
      </c>
      <c r="Y78" s="665">
        <v>60</v>
      </c>
      <c r="Z78" s="665">
        <v>50</v>
      </c>
      <c r="AA78" s="665">
        <v>55</v>
      </c>
      <c r="AB78" s="665">
        <v>35</v>
      </c>
      <c r="AC78" s="665">
        <v>57</v>
      </c>
      <c r="AD78" s="665">
        <v>56</v>
      </c>
      <c r="AE78" s="665">
        <v>50</v>
      </c>
      <c r="AF78" s="665">
        <v>41</v>
      </c>
      <c r="AG78" s="665">
        <v>5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0.1505950483476782</v>
      </c>
      <c r="F79" s="680">
        <f t="shared" si="25"/>
        <v>37.793333333333329</v>
      </c>
      <c r="G79" s="680">
        <f t="shared" si="26"/>
        <v>34.333333333333336</v>
      </c>
      <c r="H79" s="679">
        <f t="shared" si="27"/>
        <v>40</v>
      </c>
      <c r="I79" s="679">
        <f t="shared" si="28"/>
        <v>48.666666666666664</v>
      </c>
      <c r="J79" s="679">
        <f t="shared" si="29"/>
        <v>29.4</v>
      </c>
      <c r="K79" s="673">
        <v>23</v>
      </c>
      <c r="L79" s="673">
        <v>18</v>
      </c>
      <c r="M79" s="673">
        <v>30</v>
      </c>
      <c r="N79" s="673">
        <v>47</v>
      </c>
      <c r="O79" s="673">
        <v>50</v>
      </c>
      <c r="P79" s="673">
        <v>38</v>
      </c>
      <c r="Q79" s="673">
        <v>32</v>
      </c>
      <c r="R79" s="673">
        <v>31</v>
      </c>
      <c r="S79" s="673">
        <v>21</v>
      </c>
      <c r="T79" s="673">
        <v>43</v>
      </c>
      <c r="U79" s="673">
        <v>65</v>
      </c>
      <c r="V79" s="665">
        <v>48</v>
      </c>
      <c r="W79" s="665">
        <v>48</v>
      </c>
      <c r="X79" s="665">
        <v>40</v>
      </c>
      <c r="Y79" s="665">
        <v>51</v>
      </c>
      <c r="Z79" s="665">
        <v>34</v>
      </c>
      <c r="AA79" s="665">
        <v>59</v>
      </c>
      <c r="AB79" s="665">
        <v>60</v>
      </c>
      <c r="AC79" s="665">
        <v>44</v>
      </c>
      <c r="AD79" s="665">
        <v>21</v>
      </c>
      <c r="AE79" s="665">
        <v>31</v>
      </c>
      <c r="AF79" s="665">
        <v>47</v>
      </c>
      <c r="AG79" s="665">
        <v>4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0.11534310526579993</v>
      </c>
      <c r="F80" s="680">
        <f t="shared" si="25"/>
        <v>30.63666666666667</v>
      </c>
      <c r="G80" s="680">
        <f t="shared" si="26"/>
        <v>29.5</v>
      </c>
      <c r="H80" s="679">
        <f t="shared" si="27"/>
        <v>32.333333333333336</v>
      </c>
      <c r="I80" s="679">
        <f t="shared" si="28"/>
        <v>24.333333333333332</v>
      </c>
      <c r="J80" s="679">
        <f t="shared" si="29"/>
        <v>34.799999999999997</v>
      </c>
      <c r="K80" s="673">
        <v>11</v>
      </c>
      <c r="L80" s="673">
        <v>16</v>
      </c>
      <c r="M80" s="673">
        <v>23</v>
      </c>
      <c r="N80" s="673">
        <v>27</v>
      </c>
      <c r="O80" s="673">
        <v>63</v>
      </c>
      <c r="P80" s="673">
        <v>37</v>
      </c>
      <c r="Q80" s="673">
        <v>32</v>
      </c>
      <c r="R80" s="673">
        <v>37</v>
      </c>
      <c r="S80" s="673">
        <v>18</v>
      </c>
      <c r="T80" s="673">
        <v>38</v>
      </c>
      <c r="U80" s="673">
        <v>41</v>
      </c>
      <c r="V80" s="665">
        <v>28</v>
      </c>
      <c r="W80" s="665">
        <v>25</v>
      </c>
      <c r="X80" s="665">
        <v>16</v>
      </c>
      <c r="Y80" s="665">
        <v>10</v>
      </c>
      <c r="Z80" s="665">
        <v>21</v>
      </c>
      <c r="AA80" s="665">
        <v>33</v>
      </c>
      <c r="AB80" s="665">
        <v>41</v>
      </c>
      <c r="AC80" s="665">
        <v>41</v>
      </c>
      <c r="AD80" s="665">
        <v>42</v>
      </c>
      <c r="AE80" s="665">
        <v>31</v>
      </c>
      <c r="AF80" s="665">
        <v>50</v>
      </c>
      <c r="AG80" s="665">
        <v>10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9.7823904422468758E-2</v>
      </c>
      <c r="F81" s="680">
        <f t="shared" si="25"/>
        <v>25.983333333333334</v>
      </c>
      <c r="G81" s="680">
        <f t="shared" si="26"/>
        <v>32.666666666666664</v>
      </c>
      <c r="H81" s="679">
        <f t="shared" si="27"/>
        <v>22.833333333333332</v>
      </c>
      <c r="I81" s="679">
        <f t="shared" si="28"/>
        <v>31.166666666666668</v>
      </c>
      <c r="J81" s="679">
        <f t="shared" si="29"/>
        <v>22</v>
      </c>
      <c r="K81" s="673">
        <v>28</v>
      </c>
      <c r="L81" s="673">
        <v>42</v>
      </c>
      <c r="M81" s="673">
        <v>34</v>
      </c>
      <c r="N81" s="673">
        <v>46</v>
      </c>
      <c r="O81" s="673">
        <v>22</v>
      </c>
      <c r="P81" s="673">
        <v>24</v>
      </c>
      <c r="Q81" s="673">
        <v>30</v>
      </c>
      <c r="R81" s="673">
        <v>21</v>
      </c>
      <c r="S81" s="673">
        <v>20</v>
      </c>
      <c r="T81" s="673">
        <v>30</v>
      </c>
      <c r="U81" s="673">
        <v>25</v>
      </c>
      <c r="V81" s="665">
        <v>11</v>
      </c>
      <c r="W81" s="665">
        <v>27</v>
      </c>
      <c r="X81" s="665">
        <v>25</v>
      </c>
      <c r="Y81" s="665">
        <v>40</v>
      </c>
      <c r="Z81" s="665">
        <v>27</v>
      </c>
      <c r="AA81" s="665">
        <v>41</v>
      </c>
      <c r="AB81" s="665">
        <v>27</v>
      </c>
      <c r="AC81" s="665">
        <v>13</v>
      </c>
      <c r="AD81" s="665">
        <v>33</v>
      </c>
      <c r="AE81" s="665">
        <v>35</v>
      </c>
      <c r="AF81" s="665">
        <v>20</v>
      </c>
      <c r="AG81" s="665">
        <v>9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9.7961949701320203E-2</v>
      </c>
      <c r="F82" s="680">
        <f t="shared" si="25"/>
        <v>26.02</v>
      </c>
      <c r="G82" s="680">
        <f t="shared" si="26"/>
        <v>21.833333333333332</v>
      </c>
      <c r="H82" s="679">
        <f t="shared" si="27"/>
        <v>24.333333333333332</v>
      </c>
      <c r="I82" s="679">
        <f t="shared" si="28"/>
        <v>28.833333333333332</v>
      </c>
      <c r="J82" s="679">
        <f t="shared" si="29"/>
        <v>25.8</v>
      </c>
      <c r="K82" s="673">
        <v>28</v>
      </c>
      <c r="L82" s="673">
        <v>24</v>
      </c>
      <c r="M82" s="673">
        <v>17</v>
      </c>
      <c r="N82" s="673">
        <v>34</v>
      </c>
      <c r="O82" s="673">
        <v>16</v>
      </c>
      <c r="P82" s="673">
        <v>12</v>
      </c>
      <c r="Q82" s="673">
        <v>17</v>
      </c>
      <c r="R82" s="673">
        <v>20</v>
      </c>
      <c r="S82" s="673">
        <v>15</v>
      </c>
      <c r="T82" s="673">
        <v>21</v>
      </c>
      <c r="U82" s="673">
        <v>45</v>
      </c>
      <c r="V82" s="665">
        <v>28</v>
      </c>
      <c r="W82" s="665">
        <v>42</v>
      </c>
      <c r="X82" s="665">
        <v>26</v>
      </c>
      <c r="Y82" s="665">
        <v>24</v>
      </c>
      <c r="Z82" s="665">
        <v>21</v>
      </c>
      <c r="AA82" s="665">
        <v>36</v>
      </c>
      <c r="AB82" s="665">
        <v>24</v>
      </c>
      <c r="AC82" s="665">
        <v>21</v>
      </c>
      <c r="AD82" s="665">
        <v>27</v>
      </c>
      <c r="AE82" s="665">
        <v>37</v>
      </c>
      <c r="AF82" s="665">
        <v>35</v>
      </c>
      <c r="AG82" s="665">
        <v>9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9.600421665579037E-2</v>
      </c>
      <c r="F83" s="680">
        <f t="shared" si="25"/>
        <v>25.5</v>
      </c>
      <c r="G83" s="680">
        <f t="shared" si="26"/>
        <v>17.5</v>
      </c>
      <c r="H83" s="679">
        <f t="shared" si="27"/>
        <v>14.5</v>
      </c>
      <c r="I83" s="679">
        <f t="shared" si="28"/>
        <v>24.166666666666668</v>
      </c>
      <c r="J83" s="679">
        <f t="shared" si="29"/>
        <v>34</v>
      </c>
      <c r="K83" s="673">
        <v>22</v>
      </c>
      <c r="L83" s="673">
        <v>21</v>
      </c>
      <c r="M83" s="673">
        <v>16</v>
      </c>
      <c r="N83" s="673">
        <v>17</v>
      </c>
      <c r="O83" s="673">
        <v>14</v>
      </c>
      <c r="P83" s="673">
        <v>15</v>
      </c>
      <c r="Q83" s="673">
        <v>9</v>
      </c>
      <c r="R83" s="673">
        <v>3</v>
      </c>
      <c r="S83" s="673">
        <v>12</v>
      </c>
      <c r="T83" s="673">
        <v>17</v>
      </c>
      <c r="U83" s="673">
        <v>23</v>
      </c>
      <c r="V83" s="665">
        <v>23</v>
      </c>
      <c r="W83" s="665">
        <v>34</v>
      </c>
      <c r="X83" s="665">
        <v>19</v>
      </c>
      <c r="Y83" s="665">
        <v>20</v>
      </c>
      <c r="Z83" s="665">
        <v>20</v>
      </c>
      <c r="AA83" s="665">
        <v>27</v>
      </c>
      <c r="AB83" s="665">
        <v>25</v>
      </c>
      <c r="AC83" s="665">
        <v>47</v>
      </c>
      <c r="AD83" s="665">
        <v>29</v>
      </c>
      <c r="AE83" s="665">
        <v>32</v>
      </c>
      <c r="AF83" s="665">
        <v>52</v>
      </c>
      <c r="AG83" s="665">
        <v>10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0.23878068370061742</v>
      </c>
      <c r="F84" s="680">
        <f t="shared" si="25"/>
        <v>63.423333333333332</v>
      </c>
      <c r="G84" s="680">
        <f t="shared" si="26"/>
        <v>30.166666666666668</v>
      </c>
      <c r="H84" s="679">
        <f t="shared" si="27"/>
        <v>86.333333333333329</v>
      </c>
      <c r="I84" s="679">
        <f t="shared" si="28"/>
        <v>63</v>
      </c>
      <c r="J84" s="679">
        <f t="shared" si="29"/>
        <v>60.6</v>
      </c>
      <c r="K84" s="673">
        <v>10</v>
      </c>
      <c r="L84" s="673">
        <v>13</v>
      </c>
      <c r="M84" s="673">
        <v>30</v>
      </c>
      <c r="N84" s="673">
        <v>36</v>
      </c>
      <c r="O84" s="673">
        <v>41</v>
      </c>
      <c r="P84" s="673">
        <v>51</v>
      </c>
      <c r="Q84" s="673">
        <v>109</v>
      </c>
      <c r="R84" s="673">
        <v>84</v>
      </c>
      <c r="S84" s="673">
        <v>58</v>
      </c>
      <c r="T84" s="673">
        <v>90</v>
      </c>
      <c r="U84" s="673">
        <v>85</v>
      </c>
      <c r="V84" s="665">
        <v>92</v>
      </c>
      <c r="W84" s="665">
        <v>84</v>
      </c>
      <c r="X84" s="665">
        <v>77</v>
      </c>
      <c r="Y84" s="665">
        <v>67</v>
      </c>
      <c r="Z84" s="665">
        <v>38</v>
      </c>
      <c r="AA84" s="665">
        <v>64</v>
      </c>
      <c r="AB84" s="665">
        <v>48</v>
      </c>
      <c r="AC84" s="665">
        <v>63</v>
      </c>
      <c r="AD84" s="665">
        <v>98</v>
      </c>
      <c r="AE84" s="665">
        <v>55</v>
      </c>
      <c r="AF84" s="665">
        <v>66</v>
      </c>
      <c r="AG84" s="665">
        <v>21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0.11531800612419056</v>
      </c>
      <c r="F85" s="680">
        <f t="shared" si="25"/>
        <v>30.630000000000003</v>
      </c>
      <c r="G85" s="680">
        <f t="shared" si="26"/>
        <v>22.166666666666668</v>
      </c>
      <c r="H85" s="679">
        <f t="shared" si="27"/>
        <v>32.666666666666664</v>
      </c>
      <c r="I85" s="679">
        <f t="shared" si="28"/>
        <v>36.666666666666664</v>
      </c>
      <c r="J85" s="679">
        <f t="shared" si="29"/>
        <v>27.2</v>
      </c>
      <c r="K85" s="673">
        <v>6</v>
      </c>
      <c r="L85" s="673">
        <v>19</v>
      </c>
      <c r="M85" s="673">
        <v>14</v>
      </c>
      <c r="N85" s="673">
        <v>33</v>
      </c>
      <c r="O85" s="673">
        <v>38</v>
      </c>
      <c r="P85" s="673">
        <v>23</v>
      </c>
      <c r="Q85" s="673">
        <v>35</v>
      </c>
      <c r="R85" s="673">
        <v>46</v>
      </c>
      <c r="S85" s="673">
        <v>27</v>
      </c>
      <c r="T85" s="673">
        <v>27</v>
      </c>
      <c r="U85" s="673">
        <v>30</v>
      </c>
      <c r="V85" s="665">
        <v>31</v>
      </c>
      <c r="W85" s="665">
        <v>29</v>
      </c>
      <c r="X85" s="665">
        <v>62</v>
      </c>
      <c r="Y85" s="665">
        <v>35</v>
      </c>
      <c r="Z85" s="665">
        <v>26</v>
      </c>
      <c r="AA85" s="665">
        <v>43</v>
      </c>
      <c r="AB85" s="665">
        <v>25</v>
      </c>
      <c r="AC85" s="665">
        <v>25</v>
      </c>
      <c r="AD85" s="665">
        <v>30</v>
      </c>
      <c r="AE85" s="665">
        <v>38</v>
      </c>
      <c r="AF85" s="665">
        <v>35</v>
      </c>
      <c r="AG85" s="665">
        <v>8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0.23876813412981276</v>
      </c>
      <c r="F86" s="680">
        <f t="shared" si="25"/>
        <v>63.42</v>
      </c>
      <c r="G86" s="680">
        <f t="shared" si="26"/>
        <v>75.666666666666671</v>
      </c>
      <c r="H86" s="679">
        <f t="shared" si="27"/>
        <v>75.166666666666671</v>
      </c>
      <c r="I86" s="679">
        <f t="shared" si="28"/>
        <v>71</v>
      </c>
      <c r="J86" s="679">
        <f t="shared" si="29"/>
        <v>48.8</v>
      </c>
      <c r="K86" s="673">
        <v>32</v>
      </c>
      <c r="L86" s="673">
        <v>52</v>
      </c>
      <c r="M86" s="673">
        <v>58</v>
      </c>
      <c r="N86" s="673">
        <v>104</v>
      </c>
      <c r="O86" s="673">
        <v>116</v>
      </c>
      <c r="P86" s="673">
        <v>92</v>
      </c>
      <c r="Q86" s="673">
        <v>88</v>
      </c>
      <c r="R86" s="673">
        <v>109</v>
      </c>
      <c r="S86" s="673">
        <v>61</v>
      </c>
      <c r="T86" s="673">
        <v>62</v>
      </c>
      <c r="U86" s="673">
        <v>56</v>
      </c>
      <c r="V86" s="665">
        <v>75</v>
      </c>
      <c r="W86" s="665">
        <v>73</v>
      </c>
      <c r="X86" s="665">
        <v>60</v>
      </c>
      <c r="Y86" s="665">
        <v>82</v>
      </c>
      <c r="Z86" s="665">
        <v>64</v>
      </c>
      <c r="AA86" s="665">
        <v>72</v>
      </c>
      <c r="AB86" s="665">
        <v>75</v>
      </c>
      <c r="AC86" s="665">
        <v>55</v>
      </c>
      <c r="AD86" s="665">
        <v>68</v>
      </c>
      <c r="AE86" s="665">
        <v>61</v>
      </c>
      <c r="AF86" s="665">
        <v>52</v>
      </c>
      <c r="AG86" s="665">
        <v>8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68" priority="10" operator="equal">
      <formula>0</formula>
    </cfRule>
  </conditionalFormatting>
  <conditionalFormatting sqref="K31:V86">
    <cfRule type="cellIs" dxfId="67" priority="9" operator="equal">
      <formula>0</formula>
    </cfRule>
  </conditionalFormatting>
  <conditionalFormatting sqref="G16:J16 G15 I15">
    <cfRule type="cellIs" dxfId="66" priority="8" operator="equal">
      <formula>0</formula>
    </cfRule>
  </conditionalFormatting>
  <conditionalFormatting sqref="G7:J7 G6 I6">
    <cfRule type="cellIs" dxfId="65" priority="7" operator="equal">
      <formula>0</formula>
    </cfRule>
  </conditionalFormatting>
  <conditionalFormatting sqref="F15">
    <cfRule type="cellIs" dxfId="64" priority="6" operator="equal">
      <formula>0</formula>
    </cfRule>
  </conditionalFormatting>
  <conditionalFormatting sqref="F28">
    <cfRule type="cellIs" dxfId="63" priority="5" operator="equal">
      <formula>0</formula>
    </cfRule>
  </conditionalFormatting>
  <conditionalFormatting sqref="E8:E14 E1:E6 E30:E1048576">
    <cfRule type="cellIs" dxfId="62" priority="4" operator="equal">
      <formula>0</formula>
    </cfRule>
  </conditionalFormatting>
  <conditionalFormatting sqref="E15">
    <cfRule type="cellIs" dxfId="61" priority="3" operator="equal">
      <formula>0</formula>
    </cfRule>
  </conditionalFormatting>
  <conditionalFormatting sqref="E28">
    <cfRule type="cellIs" dxfId="60" priority="2" operator="equal">
      <formula>0</formula>
    </cfRule>
  </conditionalFormatting>
  <conditionalFormatting sqref="C2:C3">
    <cfRule type="cellIs" dxfId="59" priority="1" operator="equal">
      <formula>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490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491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2777.25</v>
      </c>
      <c r="G8" s="678">
        <f>SUM(G9:G12)</f>
        <v>3282.166666666667</v>
      </c>
      <c r="H8" s="671">
        <f t="shared" ref="H8:J8" si="0">SUM(H9:H12)</f>
        <v>3405.1666666666665</v>
      </c>
      <c r="I8" s="671">
        <f t="shared" si="0"/>
        <v>2705.3333333333335</v>
      </c>
      <c r="J8" s="671">
        <f t="shared" si="0"/>
        <v>2391</v>
      </c>
      <c r="K8" s="671">
        <f t="shared" ref="K8:AH8" si="1">SUM(K9:K12)</f>
        <v>3679</v>
      </c>
      <c r="L8" s="671">
        <f t="shared" si="1"/>
        <v>2665</v>
      </c>
      <c r="M8" s="671">
        <f t="shared" si="1"/>
        <v>3568</v>
      </c>
      <c r="N8" s="671">
        <f t="shared" si="1"/>
        <v>3504</v>
      </c>
      <c r="O8" s="671">
        <f t="shared" si="1"/>
        <v>3520</v>
      </c>
      <c r="P8" s="671">
        <f t="shared" si="1"/>
        <v>2757</v>
      </c>
      <c r="Q8" s="671">
        <f t="shared" si="1"/>
        <v>3254</v>
      </c>
      <c r="R8" s="671">
        <f t="shared" si="1"/>
        <v>3868</v>
      </c>
      <c r="S8" s="671">
        <f t="shared" si="1"/>
        <v>2695</v>
      </c>
      <c r="T8" s="671">
        <f t="shared" si="1"/>
        <v>3404</v>
      </c>
      <c r="U8" s="671">
        <f t="shared" si="1"/>
        <v>3535</v>
      </c>
      <c r="V8" s="671">
        <f t="shared" si="1"/>
        <v>3675</v>
      </c>
      <c r="W8" s="671">
        <f t="shared" si="1"/>
        <v>3279</v>
      </c>
      <c r="X8" s="671">
        <f t="shared" si="1"/>
        <v>2943</v>
      </c>
      <c r="Y8" s="671">
        <f t="shared" si="1"/>
        <v>2512</v>
      </c>
      <c r="Z8" s="671">
        <f t="shared" si="1"/>
        <v>2012</v>
      </c>
      <c r="AA8" s="671">
        <f t="shared" si="1"/>
        <v>2775</v>
      </c>
      <c r="AB8" s="671">
        <f t="shared" si="1"/>
        <v>2711</v>
      </c>
      <c r="AC8" s="671">
        <f t="shared" si="1"/>
        <v>2372</v>
      </c>
      <c r="AD8" s="671">
        <f t="shared" si="1"/>
        <v>2910</v>
      </c>
      <c r="AE8" s="671">
        <f t="shared" si="1"/>
        <v>2410</v>
      </c>
      <c r="AF8" s="671">
        <f t="shared" si="1"/>
        <v>2346</v>
      </c>
      <c r="AG8" s="671">
        <f t="shared" si="1"/>
        <v>1917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0.19592522579290064</v>
      </c>
      <c r="F9" s="683">
        <f t="shared" ref="F9:F12" si="3">G9*10%+H9*20%+I9*30%+J9*40%</f>
        <v>544.13333333333333</v>
      </c>
      <c r="G9" s="675">
        <f t="shared" ref="G9:G12" si="4">AVERAGE(K9:P9)</f>
        <v>642.83333333333337</v>
      </c>
      <c r="H9" s="672">
        <f t="shared" ref="H9:H12" si="5">AVERAGE(Q9:V9)</f>
        <v>674.5</v>
      </c>
      <c r="I9" s="672">
        <f t="shared" ref="I9:I12" si="6">AVERAGE(W9:AB9)</f>
        <v>577.83333333333337</v>
      </c>
      <c r="J9" s="672">
        <f t="shared" ref="J9:J12" si="7">AVERAGE(AC9:AG9)</f>
        <v>429</v>
      </c>
      <c r="K9" s="673">
        <f>SUMIF($B$18:$B$25,$C9,K$18:K$25)</f>
        <v>784</v>
      </c>
      <c r="L9" s="673">
        <f t="shared" ref="L9:AA12" si="8">SUMIF($B$18:$B$25,$C9,L$18:L$25)</f>
        <v>483</v>
      </c>
      <c r="M9" s="673">
        <f t="shared" si="8"/>
        <v>674</v>
      </c>
      <c r="N9" s="673">
        <f t="shared" si="8"/>
        <v>687</v>
      </c>
      <c r="O9" s="673">
        <f t="shared" si="8"/>
        <v>680</v>
      </c>
      <c r="P9" s="673">
        <f t="shared" si="8"/>
        <v>549</v>
      </c>
      <c r="Q9" s="673">
        <f t="shared" si="8"/>
        <v>646</v>
      </c>
      <c r="R9" s="673">
        <f t="shared" si="8"/>
        <v>743</v>
      </c>
      <c r="S9" s="673">
        <f t="shared" si="8"/>
        <v>608</v>
      </c>
      <c r="T9" s="673">
        <f t="shared" si="8"/>
        <v>758</v>
      </c>
      <c r="U9" s="673">
        <f t="shared" si="8"/>
        <v>621</v>
      </c>
      <c r="V9" s="673">
        <f t="shared" si="8"/>
        <v>671</v>
      </c>
      <c r="W9" s="673">
        <f t="shared" si="8"/>
        <v>669</v>
      </c>
      <c r="X9" s="673">
        <f t="shared" si="8"/>
        <v>644</v>
      </c>
      <c r="Y9" s="673">
        <f t="shared" si="8"/>
        <v>596</v>
      </c>
      <c r="Z9" s="673">
        <f t="shared" si="8"/>
        <v>390</v>
      </c>
      <c r="AA9" s="673">
        <f t="shared" si="8"/>
        <v>620</v>
      </c>
      <c r="AB9" s="673">
        <f t="shared" ref="AB9:AG12" si="9">SUMIF($B$18:$B$25,$C9,AB$18:AB$25)</f>
        <v>548</v>
      </c>
      <c r="AC9" s="673">
        <f t="shared" si="9"/>
        <v>456</v>
      </c>
      <c r="AD9" s="673">
        <f t="shared" si="9"/>
        <v>503</v>
      </c>
      <c r="AE9" s="673">
        <f t="shared" si="9"/>
        <v>435</v>
      </c>
      <c r="AF9" s="673">
        <f t="shared" si="9"/>
        <v>399</v>
      </c>
      <c r="AG9" s="673">
        <f t="shared" si="9"/>
        <v>352</v>
      </c>
      <c r="AH9" s="673"/>
    </row>
    <row r="10" spans="1:34">
      <c r="C10" s="1002" t="s">
        <v>332</v>
      </c>
      <c r="D10" s="984"/>
      <c r="E10" s="690">
        <f t="shared" si="2"/>
        <v>0.30396135265700486</v>
      </c>
      <c r="F10" s="683">
        <f t="shared" si="3"/>
        <v>844.17666666666673</v>
      </c>
      <c r="G10" s="675">
        <f t="shared" si="4"/>
        <v>1007.3333333333334</v>
      </c>
      <c r="H10" s="672">
        <f t="shared" si="5"/>
        <v>992.16666666666663</v>
      </c>
      <c r="I10" s="672">
        <f t="shared" si="6"/>
        <v>817.5</v>
      </c>
      <c r="J10" s="672">
        <f t="shared" si="7"/>
        <v>749.4</v>
      </c>
      <c r="K10" s="673">
        <f t="shared" ref="K10:K12" si="10">SUMIF($B$18:$B$25,$C10,K$18:K$25)</f>
        <v>1084</v>
      </c>
      <c r="L10" s="673">
        <f t="shared" si="8"/>
        <v>734</v>
      </c>
      <c r="M10" s="673">
        <f t="shared" si="8"/>
        <v>1230</v>
      </c>
      <c r="N10" s="673">
        <f t="shared" si="8"/>
        <v>1110</v>
      </c>
      <c r="O10" s="673">
        <f t="shared" si="8"/>
        <v>1066</v>
      </c>
      <c r="P10" s="673">
        <f t="shared" si="8"/>
        <v>820</v>
      </c>
      <c r="Q10" s="673">
        <f t="shared" si="8"/>
        <v>968</v>
      </c>
      <c r="R10" s="673">
        <f t="shared" si="8"/>
        <v>1142</v>
      </c>
      <c r="S10" s="673">
        <f t="shared" si="8"/>
        <v>756</v>
      </c>
      <c r="T10" s="673">
        <f t="shared" si="8"/>
        <v>1030</v>
      </c>
      <c r="U10" s="673">
        <f t="shared" si="8"/>
        <v>1068</v>
      </c>
      <c r="V10" s="673">
        <f t="shared" si="8"/>
        <v>989</v>
      </c>
      <c r="W10" s="673">
        <f t="shared" si="8"/>
        <v>936</v>
      </c>
      <c r="X10" s="673">
        <f t="shared" si="8"/>
        <v>811</v>
      </c>
      <c r="Y10" s="673">
        <f t="shared" si="8"/>
        <v>746</v>
      </c>
      <c r="Z10" s="673">
        <f t="shared" si="8"/>
        <v>589</v>
      </c>
      <c r="AA10" s="673">
        <f t="shared" si="8"/>
        <v>891</v>
      </c>
      <c r="AB10" s="673">
        <f t="shared" si="9"/>
        <v>932</v>
      </c>
      <c r="AC10" s="673">
        <f t="shared" si="9"/>
        <v>804</v>
      </c>
      <c r="AD10" s="673">
        <f t="shared" si="9"/>
        <v>959</v>
      </c>
      <c r="AE10" s="673">
        <f t="shared" si="9"/>
        <v>731</v>
      </c>
      <c r="AF10" s="673">
        <f t="shared" si="9"/>
        <v>673</v>
      </c>
      <c r="AG10" s="673">
        <f t="shared" si="9"/>
        <v>580</v>
      </c>
      <c r="AH10" s="673"/>
    </row>
    <row r="11" spans="1:34">
      <c r="C11" s="1002" t="s">
        <v>333</v>
      </c>
      <c r="D11" s="984"/>
      <c r="E11" s="690">
        <f t="shared" si="2"/>
        <v>0.27035736789990106</v>
      </c>
      <c r="F11" s="683">
        <f t="shared" si="3"/>
        <v>750.85000000000014</v>
      </c>
      <c r="G11" s="675">
        <f t="shared" si="4"/>
        <v>869.66666666666663</v>
      </c>
      <c r="H11" s="672">
        <f t="shared" si="5"/>
        <v>943.66666666666663</v>
      </c>
      <c r="I11" s="672">
        <f t="shared" si="6"/>
        <v>707.83333333333337</v>
      </c>
      <c r="J11" s="672">
        <f t="shared" si="7"/>
        <v>657</v>
      </c>
      <c r="K11" s="673">
        <f t="shared" si="10"/>
        <v>1029</v>
      </c>
      <c r="L11" s="673">
        <f t="shared" si="8"/>
        <v>812</v>
      </c>
      <c r="M11" s="673">
        <f t="shared" si="8"/>
        <v>902</v>
      </c>
      <c r="N11" s="673">
        <f t="shared" si="8"/>
        <v>883</v>
      </c>
      <c r="O11" s="673">
        <f t="shared" si="8"/>
        <v>890</v>
      </c>
      <c r="P11" s="673">
        <f t="shared" si="8"/>
        <v>702</v>
      </c>
      <c r="Q11" s="673">
        <f t="shared" si="8"/>
        <v>877</v>
      </c>
      <c r="R11" s="673">
        <f t="shared" si="8"/>
        <v>1090</v>
      </c>
      <c r="S11" s="673">
        <f t="shared" si="8"/>
        <v>726</v>
      </c>
      <c r="T11" s="673">
        <f t="shared" si="8"/>
        <v>834</v>
      </c>
      <c r="U11" s="673">
        <f t="shared" si="8"/>
        <v>1020</v>
      </c>
      <c r="V11" s="673">
        <f t="shared" si="8"/>
        <v>1115</v>
      </c>
      <c r="W11" s="673">
        <f t="shared" si="8"/>
        <v>957</v>
      </c>
      <c r="X11" s="673">
        <f t="shared" si="8"/>
        <v>773</v>
      </c>
      <c r="Y11" s="673">
        <f t="shared" si="8"/>
        <v>631</v>
      </c>
      <c r="Z11" s="673">
        <f t="shared" si="8"/>
        <v>556</v>
      </c>
      <c r="AA11" s="673">
        <f t="shared" si="8"/>
        <v>662</v>
      </c>
      <c r="AB11" s="673">
        <f t="shared" si="9"/>
        <v>668</v>
      </c>
      <c r="AC11" s="673">
        <f t="shared" si="9"/>
        <v>603</v>
      </c>
      <c r="AD11" s="673">
        <f t="shared" si="9"/>
        <v>827</v>
      </c>
      <c r="AE11" s="673">
        <f t="shared" si="9"/>
        <v>662</v>
      </c>
      <c r="AF11" s="673">
        <f t="shared" si="9"/>
        <v>667</v>
      </c>
      <c r="AG11" s="673">
        <f t="shared" si="9"/>
        <v>526</v>
      </c>
      <c r="AH11" s="673"/>
    </row>
    <row r="12" spans="1:34">
      <c r="C12" s="1002" t="s">
        <v>334</v>
      </c>
      <c r="D12" s="984"/>
      <c r="E12" s="690">
        <f t="shared" si="2"/>
        <v>0.22975605365019355</v>
      </c>
      <c r="F12" s="683">
        <f t="shared" si="3"/>
        <v>638.09</v>
      </c>
      <c r="G12" s="675">
        <f t="shared" si="4"/>
        <v>762.33333333333337</v>
      </c>
      <c r="H12" s="672">
        <f t="shared" si="5"/>
        <v>794.83333333333337</v>
      </c>
      <c r="I12" s="672">
        <f t="shared" si="6"/>
        <v>602.16666666666663</v>
      </c>
      <c r="J12" s="672">
        <f t="shared" si="7"/>
        <v>555.6</v>
      </c>
      <c r="K12" s="673">
        <f t="shared" si="10"/>
        <v>782</v>
      </c>
      <c r="L12" s="673">
        <f t="shared" si="8"/>
        <v>636</v>
      </c>
      <c r="M12" s="673">
        <f t="shared" si="8"/>
        <v>762</v>
      </c>
      <c r="N12" s="673">
        <f t="shared" si="8"/>
        <v>824</v>
      </c>
      <c r="O12" s="673">
        <f t="shared" si="8"/>
        <v>884</v>
      </c>
      <c r="P12" s="673">
        <f t="shared" si="8"/>
        <v>686</v>
      </c>
      <c r="Q12" s="673">
        <f t="shared" si="8"/>
        <v>763</v>
      </c>
      <c r="R12" s="673">
        <f t="shared" si="8"/>
        <v>893</v>
      </c>
      <c r="S12" s="673">
        <f t="shared" si="8"/>
        <v>605</v>
      </c>
      <c r="T12" s="673">
        <f t="shared" si="8"/>
        <v>782</v>
      </c>
      <c r="U12" s="673">
        <f t="shared" si="8"/>
        <v>826</v>
      </c>
      <c r="V12" s="673">
        <f t="shared" si="8"/>
        <v>900</v>
      </c>
      <c r="W12" s="673">
        <f t="shared" si="8"/>
        <v>717</v>
      </c>
      <c r="X12" s="673">
        <f t="shared" si="8"/>
        <v>715</v>
      </c>
      <c r="Y12" s="673">
        <f t="shared" si="8"/>
        <v>539</v>
      </c>
      <c r="Z12" s="673">
        <f t="shared" si="8"/>
        <v>477</v>
      </c>
      <c r="AA12" s="673">
        <f t="shared" si="8"/>
        <v>602</v>
      </c>
      <c r="AB12" s="673">
        <f t="shared" si="9"/>
        <v>563</v>
      </c>
      <c r="AC12" s="673">
        <f t="shared" si="9"/>
        <v>509</v>
      </c>
      <c r="AD12" s="673">
        <f t="shared" si="9"/>
        <v>621</v>
      </c>
      <c r="AE12" s="673">
        <f t="shared" si="9"/>
        <v>582</v>
      </c>
      <c r="AF12" s="673">
        <f t="shared" si="9"/>
        <v>607</v>
      </c>
      <c r="AG12" s="673">
        <f t="shared" si="9"/>
        <v>459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0.99999999999999989</v>
      </c>
      <c r="F17" s="684">
        <f>SUM(F18:F25)</f>
        <v>2777.2499999999995</v>
      </c>
      <c r="G17" s="674">
        <f>SUM(G18:G25)</f>
        <v>3282.166666666667</v>
      </c>
      <c r="H17" s="674">
        <f t="shared" ref="H17:J17" si="12">SUM(H18:H25)</f>
        <v>3405.166666666667</v>
      </c>
      <c r="I17" s="674">
        <f t="shared" si="12"/>
        <v>2705.333333333333</v>
      </c>
      <c r="J17" s="674">
        <f t="shared" si="12"/>
        <v>2391</v>
      </c>
      <c r="K17" s="671">
        <f t="shared" ref="K17:AH17" si="13">SUM(K18:K25)</f>
        <v>3679</v>
      </c>
      <c r="L17" s="671">
        <f t="shared" si="13"/>
        <v>2665</v>
      </c>
      <c r="M17" s="671">
        <f t="shared" si="13"/>
        <v>3568</v>
      </c>
      <c r="N17" s="671">
        <f t="shared" si="13"/>
        <v>3504</v>
      </c>
      <c r="O17" s="671">
        <f t="shared" si="13"/>
        <v>3520</v>
      </c>
      <c r="P17" s="671">
        <f t="shared" si="13"/>
        <v>2757</v>
      </c>
      <c r="Q17" s="671">
        <f t="shared" si="13"/>
        <v>3254</v>
      </c>
      <c r="R17" s="671">
        <f t="shared" si="13"/>
        <v>3868</v>
      </c>
      <c r="S17" s="671">
        <f t="shared" si="13"/>
        <v>2695</v>
      </c>
      <c r="T17" s="671">
        <f t="shared" si="13"/>
        <v>3404</v>
      </c>
      <c r="U17" s="671">
        <f t="shared" si="13"/>
        <v>3535</v>
      </c>
      <c r="V17" s="671">
        <f t="shared" si="13"/>
        <v>3675</v>
      </c>
      <c r="W17" s="671">
        <f t="shared" si="13"/>
        <v>3279</v>
      </c>
      <c r="X17" s="671">
        <f t="shared" si="13"/>
        <v>2943</v>
      </c>
      <c r="Y17" s="671">
        <f t="shared" si="13"/>
        <v>2512</v>
      </c>
      <c r="Z17" s="671">
        <f t="shared" si="13"/>
        <v>2012</v>
      </c>
      <c r="AA17" s="671">
        <f t="shared" si="13"/>
        <v>2775</v>
      </c>
      <c r="AB17" s="671">
        <f t="shared" si="13"/>
        <v>2711</v>
      </c>
      <c r="AC17" s="671">
        <f t="shared" si="13"/>
        <v>2372</v>
      </c>
      <c r="AD17" s="671">
        <f t="shared" si="13"/>
        <v>2910</v>
      </c>
      <c r="AE17" s="671">
        <f t="shared" si="13"/>
        <v>2410</v>
      </c>
      <c r="AF17" s="671">
        <f t="shared" si="13"/>
        <v>2346</v>
      </c>
      <c r="AG17" s="671">
        <f t="shared" si="13"/>
        <v>1917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0.14658145047559035</v>
      </c>
      <c r="F18" s="683">
        <f t="shared" ref="F18:F25" si="14">G18*10%+H18*20%+I18*30%+J18*40%</f>
        <v>407.09333333333331</v>
      </c>
      <c r="G18" s="675">
        <f t="shared" ref="G18:G25" si="15">AVERAGE(K18:P18)</f>
        <v>536</v>
      </c>
      <c r="H18" s="675">
        <f t="shared" ref="H18:H25" si="16">AVERAGE(Q18:V18)</f>
        <v>544.66666666666663</v>
      </c>
      <c r="I18" s="675">
        <f t="shared" ref="I18:I25" si="17">AVERAGE(W18:AB18)</f>
        <v>409.33333333333331</v>
      </c>
      <c r="J18" s="675">
        <f t="shared" ref="J18:J25" si="18">AVERAGE(AC18:AG18)</f>
        <v>304.39999999999998</v>
      </c>
      <c r="K18" s="673">
        <f>SUMIF($B$31:$B$86,$C18,K$31:K$86)</f>
        <v>641</v>
      </c>
      <c r="L18" s="673">
        <f t="shared" ref="L18:AA25" si="19">SUMIF($B$31:$B$86,$C18,L$31:L$86)</f>
        <v>379</v>
      </c>
      <c r="M18" s="673">
        <f t="shared" si="19"/>
        <v>572</v>
      </c>
      <c r="N18" s="673">
        <f t="shared" si="19"/>
        <v>586</v>
      </c>
      <c r="O18" s="673">
        <f t="shared" si="19"/>
        <v>581</v>
      </c>
      <c r="P18" s="673">
        <f t="shared" si="19"/>
        <v>457</v>
      </c>
      <c r="Q18" s="673">
        <f t="shared" si="19"/>
        <v>545</v>
      </c>
      <c r="R18" s="673">
        <f t="shared" si="19"/>
        <v>614</v>
      </c>
      <c r="S18" s="673">
        <f t="shared" si="19"/>
        <v>475</v>
      </c>
      <c r="T18" s="673">
        <f t="shared" si="19"/>
        <v>596</v>
      </c>
      <c r="U18" s="673">
        <f t="shared" si="19"/>
        <v>487</v>
      </c>
      <c r="V18" s="673">
        <f t="shared" si="19"/>
        <v>551</v>
      </c>
      <c r="W18" s="673">
        <f t="shared" si="19"/>
        <v>468</v>
      </c>
      <c r="X18" s="673">
        <f t="shared" si="19"/>
        <v>434</v>
      </c>
      <c r="Y18" s="673">
        <f t="shared" si="19"/>
        <v>429</v>
      </c>
      <c r="Z18" s="673">
        <f t="shared" si="19"/>
        <v>265</v>
      </c>
      <c r="AA18" s="673">
        <f t="shared" si="19"/>
        <v>469</v>
      </c>
      <c r="AB18" s="673">
        <f t="shared" ref="AB18:AG25" si="20">SUMIF($B$31:$B$86,$C18,AB$31:AB$86)</f>
        <v>391</v>
      </c>
      <c r="AC18" s="673">
        <f t="shared" si="20"/>
        <v>318</v>
      </c>
      <c r="AD18" s="673">
        <f t="shared" si="20"/>
        <v>352</v>
      </c>
      <c r="AE18" s="673">
        <f t="shared" si="20"/>
        <v>304</v>
      </c>
      <c r="AF18" s="673">
        <f t="shared" si="20"/>
        <v>280</v>
      </c>
      <c r="AG18" s="673">
        <f t="shared" si="20"/>
        <v>268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4.9343775317310296E-2</v>
      </c>
      <c r="F19" s="683">
        <f t="shared" si="14"/>
        <v>137.04000000000002</v>
      </c>
      <c r="G19" s="675">
        <f t="shared" si="15"/>
        <v>106.83333333333333</v>
      </c>
      <c r="H19" s="675">
        <f t="shared" si="16"/>
        <v>129.83333333333334</v>
      </c>
      <c r="I19" s="675">
        <f t="shared" si="17"/>
        <v>168.5</v>
      </c>
      <c r="J19" s="675">
        <f t="shared" si="18"/>
        <v>124.6</v>
      </c>
      <c r="K19" s="673">
        <f t="shared" ref="K19:K25" si="21">SUMIF($B$31:$B$86,$C19,K$31:K$86)</f>
        <v>143</v>
      </c>
      <c r="L19" s="673">
        <f t="shared" si="19"/>
        <v>104</v>
      </c>
      <c r="M19" s="673">
        <f t="shared" si="19"/>
        <v>102</v>
      </c>
      <c r="N19" s="673">
        <f t="shared" si="19"/>
        <v>101</v>
      </c>
      <c r="O19" s="673">
        <f t="shared" si="19"/>
        <v>99</v>
      </c>
      <c r="P19" s="673">
        <f t="shared" si="19"/>
        <v>92</v>
      </c>
      <c r="Q19" s="673">
        <f t="shared" si="19"/>
        <v>101</v>
      </c>
      <c r="R19" s="673">
        <f t="shared" si="19"/>
        <v>129</v>
      </c>
      <c r="S19" s="673">
        <f t="shared" si="19"/>
        <v>133</v>
      </c>
      <c r="T19" s="673">
        <f t="shared" si="19"/>
        <v>162</v>
      </c>
      <c r="U19" s="673">
        <f t="shared" si="19"/>
        <v>134</v>
      </c>
      <c r="V19" s="673">
        <f t="shared" si="19"/>
        <v>120</v>
      </c>
      <c r="W19" s="673">
        <f t="shared" si="19"/>
        <v>201</v>
      </c>
      <c r="X19" s="673">
        <f t="shared" si="19"/>
        <v>210</v>
      </c>
      <c r="Y19" s="673">
        <f t="shared" si="19"/>
        <v>167</v>
      </c>
      <c r="Z19" s="673">
        <f t="shared" si="19"/>
        <v>125</v>
      </c>
      <c r="AA19" s="673">
        <f t="shared" si="19"/>
        <v>151</v>
      </c>
      <c r="AB19" s="673">
        <f t="shared" si="20"/>
        <v>157</v>
      </c>
      <c r="AC19" s="673">
        <f t="shared" si="20"/>
        <v>138</v>
      </c>
      <c r="AD19" s="673">
        <f t="shared" si="20"/>
        <v>151</v>
      </c>
      <c r="AE19" s="673">
        <f t="shared" si="20"/>
        <v>131</v>
      </c>
      <c r="AF19" s="673">
        <f t="shared" si="20"/>
        <v>119</v>
      </c>
      <c r="AG19" s="673">
        <f t="shared" si="20"/>
        <v>84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0.15669817265280406</v>
      </c>
      <c r="F20" s="683">
        <f t="shared" si="14"/>
        <v>435.19000000000005</v>
      </c>
      <c r="G20" s="675">
        <f t="shared" si="15"/>
        <v>588.66666666666663</v>
      </c>
      <c r="H20" s="675">
        <f t="shared" si="16"/>
        <v>512.66666666666663</v>
      </c>
      <c r="I20" s="675">
        <f t="shared" si="17"/>
        <v>439.83333333333331</v>
      </c>
      <c r="J20" s="675">
        <f t="shared" si="18"/>
        <v>354.6</v>
      </c>
      <c r="K20" s="673">
        <f t="shared" si="21"/>
        <v>580</v>
      </c>
      <c r="L20" s="673">
        <f t="shared" si="19"/>
        <v>398</v>
      </c>
      <c r="M20" s="673">
        <f t="shared" si="19"/>
        <v>749</v>
      </c>
      <c r="N20" s="673">
        <f t="shared" si="19"/>
        <v>662</v>
      </c>
      <c r="O20" s="673">
        <f t="shared" si="19"/>
        <v>659</v>
      </c>
      <c r="P20" s="673">
        <f t="shared" si="19"/>
        <v>484</v>
      </c>
      <c r="Q20" s="673">
        <f t="shared" si="19"/>
        <v>522</v>
      </c>
      <c r="R20" s="673">
        <f t="shared" si="19"/>
        <v>571</v>
      </c>
      <c r="S20" s="673">
        <f t="shared" si="19"/>
        <v>410</v>
      </c>
      <c r="T20" s="673">
        <f t="shared" si="19"/>
        <v>519</v>
      </c>
      <c r="U20" s="673">
        <f t="shared" si="19"/>
        <v>539</v>
      </c>
      <c r="V20" s="673">
        <f t="shared" si="19"/>
        <v>515</v>
      </c>
      <c r="W20" s="673">
        <f t="shared" si="19"/>
        <v>494</v>
      </c>
      <c r="X20" s="673">
        <f t="shared" si="19"/>
        <v>442</v>
      </c>
      <c r="Y20" s="673">
        <f t="shared" si="19"/>
        <v>420</v>
      </c>
      <c r="Z20" s="673">
        <f t="shared" si="19"/>
        <v>310</v>
      </c>
      <c r="AA20" s="673">
        <f t="shared" si="19"/>
        <v>456</v>
      </c>
      <c r="AB20" s="673">
        <f t="shared" si="20"/>
        <v>517</v>
      </c>
      <c r="AC20" s="673">
        <f t="shared" si="20"/>
        <v>401</v>
      </c>
      <c r="AD20" s="673">
        <f t="shared" si="20"/>
        <v>421</v>
      </c>
      <c r="AE20" s="673">
        <f t="shared" si="20"/>
        <v>340</v>
      </c>
      <c r="AF20" s="673">
        <f t="shared" si="20"/>
        <v>308</v>
      </c>
      <c r="AG20" s="673">
        <f t="shared" si="20"/>
        <v>303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0.1472631800042008</v>
      </c>
      <c r="F21" s="683">
        <f t="shared" si="14"/>
        <v>408.98666666666668</v>
      </c>
      <c r="G21" s="675">
        <f t="shared" si="15"/>
        <v>418.66666666666669</v>
      </c>
      <c r="H21" s="675">
        <f t="shared" si="16"/>
        <v>479.5</v>
      </c>
      <c r="I21" s="675">
        <f t="shared" si="17"/>
        <v>377.66666666666669</v>
      </c>
      <c r="J21" s="675">
        <f t="shared" si="18"/>
        <v>394.8</v>
      </c>
      <c r="K21" s="673">
        <f t="shared" si="21"/>
        <v>504</v>
      </c>
      <c r="L21" s="673">
        <f t="shared" si="19"/>
        <v>336</v>
      </c>
      <c r="M21" s="673">
        <f t="shared" si="19"/>
        <v>481</v>
      </c>
      <c r="N21" s="673">
        <f t="shared" si="19"/>
        <v>448</v>
      </c>
      <c r="O21" s="673">
        <f t="shared" si="19"/>
        <v>407</v>
      </c>
      <c r="P21" s="673">
        <f t="shared" si="19"/>
        <v>336</v>
      </c>
      <c r="Q21" s="673">
        <f t="shared" si="19"/>
        <v>446</v>
      </c>
      <c r="R21" s="673">
        <f t="shared" si="19"/>
        <v>571</v>
      </c>
      <c r="S21" s="673">
        <f t="shared" si="19"/>
        <v>346</v>
      </c>
      <c r="T21" s="673">
        <f t="shared" si="19"/>
        <v>511</v>
      </c>
      <c r="U21" s="673">
        <f t="shared" si="19"/>
        <v>529</v>
      </c>
      <c r="V21" s="673">
        <f t="shared" si="19"/>
        <v>474</v>
      </c>
      <c r="W21" s="673">
        <f t="shared" si="19"/>
        <v>442</v>
      </c>
      <c r="X21" s="673">
        <f t="shared" si="19"/>
        <v>369</v>
      </c>
      <c r="Y21" s="673">
        <f t="shared" si="19"/>
        <v>326</v>
      </c>
      <c r="Z21" s="673">
        <f t="shared" si="19"/>
        <v>279</v>
      </c>
      <c r="AA21" s="673">
        <f t="shared" si="19"/>
        <v>435</v>
      </c>
      <c r="AB21" s="673">
        <f t="shared" si="20"/>
        <v>415</v>
      </c>
      <c r="AC21" s="673">
        <f t="shared" si="20"/>
        <v>403</v>
      </c>
      <c r="AD21" s="673">
        <f t="shared" si="20"/>
        <v>538</v>
      </c>
      <c r="AE21" s="673">
        <f t="shared" si="20"/>
        <v>391</v>
      </c>
      <c r="AF21" s="673">
        <f t="shared" si="20"/>
        <v>365</v>
      </c>
      <c r="AG21" s="673">
        <f t="shared" si="20"/>
        <v>277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0.15127674258109042</v>
      </c>
      <c r="F22" s="683">
        <f t="shared" si="14"/>
        <v>420.13333333333333</v>
      </c>
      <c r="G22" s="675">
        <f t="shared" si="15"/>
        <v>439.16666666666669</v>
      </c>
      <c r="H22" s="675">
        <f t="shared" si="16"/>
        <v>523.83333333333337</v>
      </c>
      <c r="I22" s="675">
        <f t="shared" si="17"/>
        <v>390.16666666666669</v>
      </c>
      <c r="J22" s="675">
        <f t="shared" si="18"/>
        <v>386</v>
      </c>
      <c r="K22" s="673">
        <f t="shared" si="21"/>
        <v>471</v>
      </c>
      <c r="L22" s="673">
        <f t="shared" si="19"/>
        <v>451</v>
      </c>
      <c r="M22" s="673">
        <f t="shared" si="19"/>
        <v>424</v>
      </c>
      <c r="N22" s="673">
        <f t="shared" si="19"/>
        <v>414</v>
      </c>
      <c r="O22" s="673">
        <f t="shared" si="19"/>
        <v>491</v>
      </c>
      <c r="P22" s="673">
        <f t="shared" si="19"/>
        <v>384</v>
      </c>
      <c r="Q22" s="673">
        <f t="shared" si="19"/>
        <v>475</v>
      </c>
      <c r="R22" s="673">
        <f t="shared" si="19"/>
        <v>551</v>
      </c>
      <c r="S22" s="673">
        <f t="shared" si="19"/>
        <v>389</v>
      </c>
      <c r="T22" s="673">
        <f t="shared" si="19"/>
        <v>490</v>
      </c>
      <c r="U22" s="673">
        <f t="shared" si="19"/>
        <v>595</v>
      </c>
      <c r="V22" s="673">
        <f t="shared" si="19"/>
        <v>643</v>
      </c>
      <c r="W22" s="673">
        <f t="shared" si="19"/>
        <v>543</v>
      </c>
      <c r="X22" s="673">
        <f t="shared" si="19"/>
        <v>437</v>
      </c>
      <c r="Y22" s="673">
        <f t="shared" si="19"/>
        <v>354</v>
      </c>
      <c r="Z22" s="673">
        <f t="shared" si="19"/>
        <v>303</v>
      </c>
      <c r="AA22" s="673">
        <f t="shared" si="19"/>
        <v>346</v>
      </c>
      <c r="AB22" s="673">
        <f t="shared" si="20"/>
        <v>358</v>
      </c>
      <c r="AC22" s="673">
        <f t="shared" si="20"/>
        <v>370</v>
      </c>
      <c r="AD22" s="673">
        <f t="shared" si="20"/>
        <v>471</v>
      </c>
      <c r="AE22" s="673">
        <f t="shared" si="20"/>
        <v>397</v>
      </c>
      <c r="AF22" s="673">
        <f t="shared" si="20"/>
        <v>403</v>
      </c>
      <c r="AG22" s="673">
        <f t="shared" si="20"/>
        <v>289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0.11908062531881058</v>
      </c>
      <c r="F23" s="683">
        <f t="shared" si="14"/>
        <v>330.7166666666667</v>
      </c>
      <c r="G23" s="675">
        <f t="shared" si="15"/>
        <v>430.5</v>
      </c>
      <c r="H23" s="675">
        <f t="shared" si="16"/>
        <v>419.83333333333331</v>
      </c>
      <c r="I23" s="675">
        <f t="shared" si="17"/>
        <v>317.66666666666669</v>
      </c>
      <c r="J23" s="675">
        <f t="shared" si="18"/>
        <v>271</v>
      </c>
      <c r="K23" s="673">
        <f t="shared" si="21"/>
        <v>558</v>
      </c>
      <c r="L23" s="673">
        <f t="shared" si="19"/>
        <v>361</v>
      </c>
      <c r="M23" s="673">
        <f t="shared" si="19"/>
        <v>478</v>
      </c>
      <c r="N23" s="673">
        <f t="shared" si="19"/>
        <v>469</v>
      </c>
      <c r="O23" s="673">
        <f t="shared" si="19"/>
        <v>399</v>
      </c>
      <c r="P23" s="673">
        <f t="shared" si="19"/>
        <v>318</v>
      </c>
      <c r="Q23" s="673">
        <f t="shared" si="19"/>
        <v>402</v>
      </c>
      <c r="R23" s="673">
        <f t="shared" si="19"/>
        <v>539</v>
      </c>
      <c r="S23" s="673">
        <f t="shared" si="19"/>
        <v>337</v>
      </c>
      <c r="T23" s="673">
        <f t="shared" si="19"/>
        <v>344</v>
      </c>
      <c r="U23" s="673">
        <f t="shared" si="19"/>
        <v>425</v>
      </c>
      <c r="V23" s="673">
        <f t="shared" si="19"/>
        <v>472</v>
      </c>
      <c r="W23" s="673">
        <f t="shared" si="19"/>
        <v>414</v>
      </c>
      <c r="X23" s="673">
        <f t="shared" si="19"/>
        <v>336</v>
      </c>
      <c r="Y23" s="673">
        <f t="shared" si="19"/>
        <v>277</v>
      </c>
      <c r="Z23" s="673">
        <f t="shared" si="19"/>
        <v>253</v>
      </c>
      <c r="AA23" s="673">
        <f t="shared" si="19"/>
        <v>316</v>
      </c>
      <c r="AB23" s="673">
        <f t="shared" si="20"/>
        <v>310</v>
      </c>
      <c r="AC23" s="673">
        <f t="shared" si="20"/>
        <v>233</v>
      </c>
      <c r="AD23" s="673">
        <f t="shared" si="20"/>
        <v>356</v>
      </c>
      <c r="AE23" s="673">
        <f t="shared" si="20"/>
        <v>265</v>
      </c>
      <c r="AF23" s="673">
        <f t="shared" si="20"/>
        <v>264</v>
      </c>
      <c r="AG23" s="673">
        <f t="shared" si="20"/>
        <v>237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0.12476970624418639</v>
      </c>
      <c r="F24" s="683">
        <f t="shared" si="14"/>
        <v>346.51666666666665</v>
      </c>
      <c r="G24" s="675">
        <f t="shared" si="15"/>
        <v>431</v>
      </c>
      <c r="H24" s="675">
        <f t="shared" si="16"/>
        <v>445.33333333333331</v>
      </c>
      <c r="I24" s="675">
        <f t="shared" si="17"/>
        <v>321.16666666666669</v>
      </c>
      <c r="J24" s="675">
        <f t="shared" si="18"/>
        <v>295</v>
      </c>
      <c r="K24" s="673">
        <f t="shared" si="21"/>
        <v>454</v>
      </c>
      <c r="L24" s="673">
        <f t="shared" si="19"/>
        <v>367</v>
      </c>
      <c r="M24" s="673">
        <f t="shared" si="19"/>
        <v>419</v>
      </c>
      <c r="N24" s="673">
        <f t="shared" si="19"/>
        <v>439</v>
      </c>
      <c r="O24" s="673">
        <f t="shared" si="19"/>
        <v>503</v>
      </c>
      <c r="P24" s="673">
        <f t="shared" si="19"/>
        <v>404</v>
      </c>
      <c r="Q24" s="673">
        <f t="shared" si="19"/>
        <v>390</v>
      </c>
      <c r="R24" s="673">
        <f t="shared" si="19"/>
        <v>483</v>
      </c>
      <c r="S24" s="673">
        <f t="shared" si="19"/>
        <v>322</v>
      </c>
      <c r="T24" s="673">
        <f t="shared" si="19"/>
        <v>460</v>
      </c>
      <c r="U24" s="673">
        <f t="shared" si="19"/>
        <v>489</v>
      </c>
      <c r="V24" s="673">
        <f t="shared" si="19"/>
        <v>528</v>
      </c>
      <c r="W24" s="673">
        <f t="shared" si="19"/>
        <v>408</v>
      </c>
      <c r="X24" s="673">
        <f t="shared" si="19"/>
        <v>371</v>
      </c>
      <c r="Y24" s="673">
        <f t="shared" si="19"/>
        <v>296</v>
      </c>
      <c r="Z24" s="673">
        <f t="shared" si="19"/>
        <v>274</v>
      </c>
      <c r="AA24" s="673">
        <f t="shared" si="19"/>
        <v>296</v>
      </c>
      <c r="AB24" s="673">
        <f t="shared" si="20"/>
        <v>282</v>
      </c>
      <c r="AC24" s="673">
        <f t="shared" si="20"/>
        <v>253</v>
      </c>
      <c r="AD24" s="673">
        <f t="shared" si="20"/>
        <v>322</v>
      </c>
      <c r="AE24" s="673">
        <f t="shared" si="20"/>
        <v>298</v>
      </c>
      <c r="AF24" s="673">
        <f t="shared" si="20"/>
        <v>344</v>
      </c>
      <c r="AG24" s="673">
        <f t="shared" si="20"/>
        <v>258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0.10498634740600714</v>
      </c>
      <c r="F25" s="683">
        <f t="shared" si="14"/>
        <v>291.57333333333332</v>
      </c>
      <c r="G25" s="675">
        <f t="shared" si="15"/>
        <v>331.33333333333331</v>
      </c>
      <c r="H25" s="675">
        <f t="shared" si="16"/>
        <v>349.5</v>
      </c>
      <c r="I25" s="675">
        <f t="shared" si="17"/>
        <v>281</v>
      </c>
      <c r="J25" s="675">
        <f t="shared" si="18"/>
        <v>260.60000000000002</v>
      </c>
      <c r="K25" s="676">
        <f t="shared" si="21"/>
        <v>328</v>
      </c>
      <c r="L25" s="676">
        <f t="shared" si="19"/>
        <v>269</v>
      </c>
      <c r="M25" s="676">
        <f t="shared" si="19"/>
        <v>343</v>
      </c>
      <c r="N25" s="676">
        <f t="shared" si="19"/>
        <v>385</v>
      </c>
      <c r="O25" s="676">
        <f t="shared" si="19"/>
        <v>381</v>
      </c>
      <c r="P25" s="676">
        <f t="shared" si="19"/>
        <v>282</v>
      </c>
      <c r="Q25" s="676">
        <f t="shared" si="19"/>
        <v>373</v>
      </c>
      <c r="R25" s="676">
        <f t="shared" si="19"/>
        <v>410</v>
      </c>
      <c r="S25" s="676">
        <f t="shared" si="19"/>
        <v>283</v>
      </c>
      <c r="T25" s="676">
        <f t="shared" si="19"/>
        <v>322</v>
      </c>
      <c r="U25" s="676">
        <f t="shared" si="19"/>
        <v>337</v>
      </c>
      <c r="V25" s="676">
        <f t="shared" si="19"/>
        <v>372</v>
      </c>
      <c r="W25" s="676">
        <f t="shared" si="19"/>
        <v>309</v>
      </c>
      <c r="X25" s="676">
        <f t="shared" si="19"/>
        <v>344</v>
      </c>
      <c r="Y25" s="676">
        <f t="shared" si="19"/>
        <v>243</v>
      </c>
      <c r="Z25" s="676">
        <f t="shared" si="19"/>
        <v>203</v>
      </c>
      <c r="AA25" s="676">
        <f t="shared" si="19"/>
        <v>306</v>
      </c>
      <c r="AB25" s="676">
        <f t="shared" si="20"/>
        <v>281</v>
      </c>
      <c r="AC25" s="676">
        <f t="shared" si="20"/>
        <v>256</v>
      </c>
      <c r="AD25" s="676">
        <f t="shared" si="20"/>
        <v>299</v>
      </c>
      <c r="AE25" s="676">
        <f t="shared" si="20"/>
        <v>284</v>
      </c>
      <c r="AF25" s="676">
        <f t="shared" si="20"/>
        <v>263</v>
      </c>
      <c r="AG25" s="676">
        <f t="shared" si="20"/>
        <v>201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2777.2499999999995</v>
      </c>
      <c r="G30" s="678">
        <f>SUM(G31:G86)</f>
        <v>3282.1666666666674</v>
      </c>
      <c r="H30" s="678">
        <f t="shared" ref="H30:J30" si="22">SUM(H31:H86)</f>
        <v>3405.1666666666679</v>
      </c>
      <c r="I30" s="678">
        <f t="shared" si="22"/>
        <v>2705.3333333333335</v>
      </c>
      <c r="J30" s="678">
        <f t="shared" si="22"/>
        <v>2391</v>
      </c>
      <c r="K30" s="671">
        <f>SUM(K31:K86)</f>
        <v>3679</v>
      </c>
      <c r="L30" s="671">
        <f t="shared" ref="L30:AH30" si="23">SUM(L31:L86)</f>
        <v>2665</v>
      </c>
      <c r="M30" s="671">
        <f t="shared" si="23"/>
        <v>3568</v>
      </c>
      <c r="N30" s="671">
        <f t="shared" si="23"/>
        <v>3504</v>
      </c>
      <c r="O30" s="671">
        <f t="shared" si="23"/>
        <v>3520</v>
      </c>
      <c r="P30" s="671">
        <f t="shared" si="23"/>
        <v>2757</v>
      </c>
      <c r="Q30" s="671">
        <f t="shared" si="23"/>
        <v>3254</v>
      </c>
      <c r="R30" s="671">
        <f t="shared" si="23"/>
        <v>3868</v>
      </c>
      <c r="S30" s="671">
        <f t="shared" si="23"/>
        <v>2695</v>
      </c>
      <c r="T30" s="671">
        <f t="shared" si="23"/>
        <v>3404</v>
      </c>
      <c r="U30" s="671">
        <f t="shared" si="23"/>
        <v>3535</v>
      </c>
      <c r="V30" s="671">
        <f t="shared" si="23"/>
        <v>3675</v>
      </c>
      <c r="W30" s="671">
        <f t="shared" si="23"/>
        <v>3279</v>
      </c>
      <c r="X30" s="671">
        <f t="shared" si="23"/>
        <v>2943</v>
      </c>
      <c r="Y30" s="671">
        <f t="shared" si="23"/>
        <v>2512</v>
      </c>
      <c r="Z30" s="671">
        <f t="shared" si="23"/>
        <v>2012</v>
      </c>
      <c r="AA30" s="671">
        <f t="shared" si="23"/>
        <v>2775</v>
      </c>
      <c r="AB30" s="671">
        <f t="shared" si="23"/>
        <v>2711</v>
      </c>
      <c r="AC30" s="671">
        <f t="shared" si="23"/>
        <v>2372</v>
      </c>
      <c r="AD30" s="671">
        <f t="shared" si="23"/>
        <v>2910</v>
      </c>
      <c r="AE30" s="671">
        <f t="shared" si="23"/>
        <v>2410</v>
      </c>
      <c r="AF30" s="671">
        <f t="shared" si="23"/>
        <v>2346</v>
      </c>
      <c r="AG30" s="671">
        <f t="shared" si="23"/>
        <v>1917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0.1174341674308922</v>
      </c>
      <c r="F31" s="680">
        <f>G31*10%+H31*20%+I31*30%+J31*40%</f>
        <v>47.806666666666672</v>
      </c>
      <c r="G31" s="680">
        <f>AVERAGE(K31:P31)</f>
        <v>68</v>
      </c>
      <c r="H31" s="679">
        <f>AVERAGE(Q31:V31)</f>
        <v>53.833333333333336</v>
      </c>
      <c r="I31" s="679">
        <f>AVERAGE(W31:AB31)</f>
        <v>60</v>
      </c>
      <c r="J31" s="679">
        <f>AVERAGE(AC31:AG31)</f>
        <v>30.6</v>
      </c>
      <c r="K31" s="673">
        <v>76</v>
      </c>
      <c r="L31" s="673">
        <v>47</v>
      </c>
      <c r="M31" s="673">
        <v>63</v>
      </c>
      <c r="N31" s="673">
        <v>83</v>
      </c>
      <c r="O31" s="673">
        <v>83</v>
      </c>
      <c r="P31" s="673">
        <v>56</v>
      </c>
      <c r="Q31" s="673">
        <v>30</v>
      </c>
      <c r="R31" s="673">
        <v>44</v>
      </c>
      <c r="S31" s="673">
        <v>53</v>
      </c>
      <c r="T31" s="673">
        <v>57</v>
      </c>
      <c r="U31" s="673">
        <v>56</v>
      </c>
      <c r="V31" s="665">
        <v>83</v>
      </c>
      <c r="W31" s="665">
        <v>84</v>
      </c>
      <c r="X31" s="665">
        <v>81</v>
      </c>
      <c r="Y31" s="665">
        <v>54</v>
      </c>
      <c r="Z31" s="665">
        <v>40</v>
      </c>
      <c r="AA31" s="665">
        <v>67</v>
      </c>
      <c r="AB31" s="665">
        <v>34</v>
      </c>
      <c r="AC31" s="665">
        <v>29</v>
      </c>
      <c r="AD31" s="665">
        <v>32</v>
      </c>
      <c r="AE31" s="665">
        <v>40</v>
      </c>
      <c r="AF31" s="665">
        <v>27</v>
      </c>
      <c r="AG31" s="665">
        <v>25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4.3118695139525751E-2</v>
      </c>
      <c r="F32" s="680">
        <f t="shared" ref="F32:F86" si="25">G32*10%+H32*20%+I32*30%+J32*40%</f>
        <v>17.553333333333335</v>
      </c>
      <c r="G32" s="680">
        <f t="shared" ref="G32:G86" si="26">AVERAGE(K32:P32)</f>
        <v>26.833333333333332</v>
      </c>
      <c r="H32" s="679">
        <f t="shared" ref="H32:H86" si="27">AVERAGE(Q32:V32)</f>
        <v>18</v>
      </c>
      <c r="I32" s="679">
        <f t="shared" ref="I32:I86" si="28">AVERAGE(W32:AB32)</f>
        <v>20.5</v>
      </c>
      <c r="J32" s="679">
        <f t="shared" ref="J32:J86" si="29">AVERAGE(AC32:AG32)</f>
        <v>12.8</v>
      </c>
      <c r="K32" s="673">
        <v>22</v>
      </c>
      <c r="L32" s="673">
        <v>27</v>
      </c>
      <c r="M32" s="673">
        <v>36</v>
      </c>
      <c r="N32" s="673">
        <v>27</v>
      </c>
      <c r="O32" s="673">
        <v>32</v>
      </c>
      <c r="P32" s="673">
        <v>17</v>
      </c>
      <c r="Q32" s="673">
        <v>17</v>
      </c>
      <c r="R32" s="673">
        <v>33</v>
      </c>
      <c r="S32" s="673">
        <v>14</v>
      </c>
      <c r="T32" s="673">
        <v>17</v>
      </c>
      <c r="U32" s="673">
        <v>14</v>
      </c>
      <c r="V32" s="665">
        <v>13</v>
      </c>
      <c r="W32" s="665">
        <v>27</v>
      </c>
      <c r="X32" s="665">
        <v>20</v>
      </c>
      <c r="Y32" s="665">
        <v>18</v>
      </c>
      <c r="Z32" s="665">
        <v>13</v>
      </c>
      <c r="AA32" s="665">
        <v>16</v>
      </c>
      <c r="AB32" s="665">
        <v>29</v>
      </c>
      <c r="AC32" s="665">
        <v>11</v>
      </c>
      <c r="AD32" s="665">
        <v>16</v>
      </c>
      <c r="AE32" s="665">
        <v>17</v>
      </c>
      <c r="AF32" s="665">
        <v>14</v>
      </c>
      <c r="AG32" s="665">
        <v>6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0.14430761168609985</v>
      </c>
      <c r="F33" s="680">
        <f t="shared" si="25"/>
        <v>58.74666666666667</v>
      </c>
      <c r="G33" s="680">
        <f t="shared" si="26"/>
        <v>80.666666666666671</v>
      </c>
      <c r="H33" s="679">
        <f t="shared" si="27"/>
        <v>81</v>
      </c>
      <c r="I33" s="679">
        <f t="shared" si="28"/>
        <v>53.333333333333336</v>
      </c>
      <c r="J33" s="679">
        <f t="shared" si="29"/>
        <v>46.2</v>
      </c>
      <c r="K33" s="673">
        <v>79</v>
      </c>
      <c r="L33" s="673">
        <v>41</v>
      </c>
      <c r="M33" s="673">
        <v>87</v>
      </c>
      <c r="N33" s="673">
        <v>109</v>
      </c>
      <c r="O33" s="673">
        <v>97</v>
      </c>
      <c r="P33" s="673">
        <v>71</v>
      </c>
      <c r="Q33" s="673">
        <v>70</v>
      </c>
      <c r="R33" s="673">
        <v>111</v>
      </c>
      <c r="S33" s="673">
        <v>84</v>
      </c>
      <c r="T33" s="673">
        <v>96</v>
      </c>
      <c r="U33" s="673">
        <v>59</v>
      </c>
      <c r="V33" s="665">
        <v>66</v>
      </c>
      <c r="W33" s="665">
        <v>60</v>
      </c>
      <c r="X33" s="665">
        <v>51</v>
      </c>
      <c r="Y33" s="665">
        <v>53</v>
      </c>
      <c r="Z33" s="665">
        <v>29</v>
      </c>
      <c r="AA33" s="665">
        <v>81</v>
      </c>
      <c r="AB33" s="665">
        <v>46</v>
      </c>
      <c r="AC33" s="665">
        <v>47</v>
      </c>
      <c r="AD33" s="665">
        <v>40</v>
      </c>
      <c r="AE33" s="665">
        <v>47</v>
      </c>
      <c r="AF33" s="665">
        <v>47</v>
      </c>
      <c r="AG33" s="665">
        <v>50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8.4927289401283912E-2</v>
      </c>
      <c r="F34" s="680">
        <f t="shared" si="25"/>
        <v>34.573333333333338</v>
      </c>
      <c r="G34" s="680">
        <f t="shared" si="26"/>
        <v>75.166666666666671</v>
      </c>
      <c r="H34" s="679">
        <f t="shared" si="27"/>
        <v>52.833333333333336</v>
      </c>
      <c r="I34" s="679">
        <f t="shared" si="28"/>
        <v>31.5</v>
      </c>
      <c r="J34" s="679">
        <f t="shared" si="29"/>
        <v>17.600000000000001</v>
      </c>
      <c r="K34" s="673">
        <v>72</v>
      </c>
      <c r="L34" s="673">
        <v>48</v>
      </c>
      <c r="M34" s="673">
        <v>75</v>
      </c>
      <c r="N34" s="673">
        <v>73</v>
      </c>
      <c r="O34" s="673">
        <v>90</v>
      </c>
      <c r="P34" s="673">
        <v>93</v>
      </c>
      <c r="Q34" s="673">
        <v>72</v>
      </c>
      <c r="R34" s="673">
        <v>59</v>
      </c>
      <c r="S34" s="673">
        <v>60</v>
      </c>
      <c r="T34" s="673">
        <v>46</v>
      </c>
      <c r="U34" s="673">
        <v>36</v>
      </c>
      <c r="V34" s="665">
        <v>44</v>
      </c>
      <c r="W34" s="665">
        <v>31</v>
      </c>
      <c r="X34" s="665">
        <v>32</v>
      </c>
      <c r="Y34" s="665">
        <v>27</v>
      </c>
      <c r="Z34" s="665">
        <v>25</v>
      </c>
      <c r="AA34" s="665">
        <v>29</v>
      </c>
      <c r="AB34" s="665">
        <v>45</v>
      </c>
      <c r="AC34" s="665">
        <v>17</v>
      </c>
      <c r="AD34" s="665">
        <v>28</v>
      </c>
      <c r="AE34" s="665">
        <v>19</v>
      </c>
      <c r="AF34" s="665">
        <v>9</v>
      </c>
      <c r="AG34" s="665">
        <v>15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0.26302731560330145</v>
      </c>
      <c r="F35" s="680">
        <f t="shared" si="25"/>
        <v>107.07666666666667</v>
      </c>
      <c r="G35" s="680">
        <f t="shared" si="26"/>
        <v>143.66666666666666</v>
      </c>
      <c r="H35" s="679">
        <f t="shared" si="27"/>
        <v>158.5</v>
      </c>
      <c r="I35" s="679">
        <f t="shared" si="28"/>
        <v>101.5</v>
      </c>
      <c r="J35" s="679">
        <f t="shared" si="29"/>
        <v>76.400000000000006</v>
      </c>
      <c r="K35" s="673">
        <v>201</v>
      </c>
      <c r="L35" s="673">
        <v>124</v>
      </c>
      <c r="M35" s="673">
        <v>147</v>
      </c>
      <c r="N35" s="673">
        <v>130</v>
      </c>
      <c r="O35" s="673">
        <v>143</v>
      </c>
      <c r="P35" s="673">
        <v>117</v>
      </c>
      <c r="Q35" s="673">
        <v>165</v>
      </c>
      <c r="R35" s="673">
        <v>184</v>
      </c>
      <c r="S35" s="673">
        <v>105</v>
      </c>
      <c r="T35" s="673">
        <v>210</v>
      </c>
      <c r="U35" s="673">
        <v>143</v>
      </c>
      <c r="V35" s="665">
        <v>144</v>
      </c>
      <c r="W35" s="665">
        <v>110</v>
      </c>
      <c r="X35" s="665">
        <v>114</v>
      </c>
      <c r="Y35" s="665">
        <v>113</v>
      </c>
      <c r="Z35" s="665">
        <v>61</v>
      </c>
      <c r="AA35" s="665">
        <v>115</v>
      </c>
      <c r="AB35" s="665">
        <v>96</v>
      </c>
      <c r="AC35" s="665">
        <v>72</v>
      </c>
      <c r="AD35" s="665">
        <v>100</v>
      </c>
      <c r="AE35" s="665">
        <v>74</v>
      </c>
      <c r="AF35" s="665">
        <v>68</v>
      </c>
      <c r="AG35" s="665">
        <v>68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0.10597897288091183</v>
      </c>
      <c r="F36" s="680">
        <f t="shared" si="25"/>
        <v>43.143333333333331</v>
      </c>
      <c r="G36" s="680">
        <f t="shared" si="26"/>
        <v>35.166666666666664</v>
      </c>
      <c r="H36" s="679">
        <f t="shared" si="27"/>
        <v>48.833333333333336</v>
      </c>
      <c r="I36" s="679">
        <f t="shared" si="28"/>
        <v>44.333333333333336</v>
      </c>
      <c r="J36" s="679">
        <f t="shared" si="29"/>
        <v>41.4</v>
      </c>
      <c r="K36" s="673">
        <v>63</v>
      </c>
      <c r="L36" s="673">
        <v>20</v>
      </c>
      <c r="M36" s="673">
        <v>39</v>
      </c>
      <c r="N36" s="673">
        <v>45</v>
      </c>
      <c r="O36" s="673">
        <v>19</v>
      </c>
      <c r="P36" s="673">
        <v>25</v>
      </c>
      <c r="Q36" s="673">
        <v>56</v>
      </c>
      <c r="R36" s="673">
        <v>56</v>
      </c>
      <c r="S36" s="673">
        <v>44</v>
      </c>
      <c r="T36" s="673">
        <v>38</v>
      </c>
      <c r="U36" s="673">
        <v>51</v>
      </c>
      <c r="V36" s="665">
        <v>48</v>
      </c>
      <c r="W36" s="665">
        <v>57</v>
      </c>
      <c r="X36" s="665">
        <v>43</v>
      </c>
      <c r="Y36" s="665">
        <v>43</v>
      </c>
      <c r="Z36" s="665">
        <v>35</v>
      </c>
      <c r="AA36" s="665">
        <v>43</v>
      </c>
      <c r="AB36" s="665">
        <v>45</v>
      </c>
      <c r="AC36" s="665">
        <v>65</v>
      </c>
      <c r="AD36" s="665">
        <v>34</v>
      </c>
      <c r="AE36" s="665">
        <v>39</v>
      </c>
      <c r="AF36" s="665">
        <v>27</v>
      </c>
      <c r="AG36" s="665">
        <v>42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9.3639460238438374E-2</v>
      </c>
      <c r="F37" s="680">
        <f t="shared" si="25"/>
        <v>38.120000000000005</v>
      </c>
      <c r="G37" s="680">
        <f t="shared" si="26"/>
        <v>46</v>
      </c>
      <c r="H37" s="679">
        <f t="shared" si="27"/>
        <v>49.5</v>
      </c>
      <c r="I37" s="679">
        <f t="shared" si="28"/>
        <v>39</v>
      </c>
      <c r="J37" s="679">
        <f t="shared" si="29"/>
        <v>29.8</v>
      </c>
      <c r="K37" s="673">
        <v>55</v>
      </c>
      <c r="L37" s="673">
        <v>38</v>
      </c>
      <c r="M37" s="673">
        <v>51</v>
      </c>
      <c r="N37" s="673">
        <v>54</v>
      </c>
      <c r="O37" s="673">
        <v>49</v>
      </c>
      <c r="P37" s="673">
        <v>29</v>
      </c>
      <c r="Q37" s="673">
        <v>57</v>
      </c>
      <c r="R37" s="673">
        <v>53</v>
      </c>
      <c r="S37" s="673">
        <v>25</v>
      </c>
      <c r="T37" s="673">
        <v>60</v>
      </c>
      <c r="U37" s="673">
        <v>46</v>
      </c>
      <c r="V37" s="665">
        <v>56</v>
      </c>
      <c r="W37" s="665">
        <v>36</v>
      </c>
      <c r="X37" s="665">
        <v>36</v>
      </c>
      <c r="Y37" s="665">
        <v>48</v>
      </c>
      <c r="Z37" s="665">
        <v>15</v>
      </c>
      <c r="AA37" s="665">
        <v>56</v>
      </c>
      <c r="AB37" s="665">
        <v>43</v>
      </c>
      <c r="AC37" s="665">
        <v>31</v>
      </c>
      <c r="AD37" s="665">
        <v>37</v>
      </c>
      <c r="AE37" s="665">
        <v>29</v>
      </c>
      <c r="AF37" s="665">
        <v>31</v>
      </c>
      <c r="AG37" s="665">
        <v>21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0.14756648761954672</v>
      </c>
      <c r="F38" s="680">
        <f t="shared" si="25"/>
        <v>60.073333333333338</v>
      </c>
      <c r="G38" s="680">
        <f t="shared" si="26"/>
        <v>60.5</v>
      </c>
      <c r="H38" s="679">
        <f t="shared" si="27"/>
        <v>82.166666666666671</v>
      </c>
      <c r="I38" s="679">
        <f t="shared" si="28"/>
        <v>59.166666666666664</v>
      </c>
      <c r="J38" s="679">
        <f t="shared" si="29"/>
        <v>49.6</v>
      </c>
      <c r="K38" s="673">
        <v>73</v>
      </c>
      <c r="L38" s="673">
        <v>34</v>
      </c>
      <c r="M38" s="673">
        <v>74</v>
      </c>
      <c r="N38" s="673">
        <v>65</v>
      </c>
      <c r="O38" s="673">
        <v>68</v>
      </c>
      <c r="P38" s="673">
        <v>49</v>
      </c>
      <c r="Q38" s="673">
        <v>78</v>
      </c>
      <c r="R38" s="673">
        <v>74</v>
      </c>
      <c r="S38" s="673">
        <v>90</v>
      </c>
      <c r="T38" s="673">
        <v>72</v>
      </c>
      <c r="U38" s="673">
        <v>82</v>
      </c>
      <c r="V38" s="665">
        <v>97</v>
      </c>
      <c r="W38" s="665">
        <v>63</v>
      </c>
      <c r="X38" s="665">
        <v>57</v>
      </c>
      <c r="Y38" s="665">
        <v>73</v>
      </c>
      <c r="Z38" s="665">
        <v>47</v>
      </c>
      <c r="AA38" s="665">
        <v>62</v>
      </c>
      <c r="AB38" s="665">
        <v>53</v>
      </c>
      <c r="AC38" s="665">
        <v>46</v>
      </c>
      <c r="AD38" s="665">
        <v>65</v>
      </c>
      <c r="AE38" s="665">
        <v>39</v>
      </c>
      <c r="AF38" s="665">
        <v>57</v>
      </c>
      <c r="AG38" s="665">
        <v>41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0.31207433352792369</v>
      </c>
      <c r="F39" s="680">
        <f t="shared" si="25"/>
        <v>42.766666666666666</v>
      </c>
      <c r="G39" s="680">
        <f t="shared" si="26"/>
        <v>35.5</v>
      </c>
      <c r="H39" s="679">
        <f t="shared" si="27"/>
        <v>37.833333333333336</v>
      </c>
      <c r="I39" s="679">
        <f t="shared" si="28"/>
        <v>50.833333333333336</v>
      </c>
      <c r="J39" s="679">
        <f t="shared" si="29"/>
        <v>41</v>
      </c>
      <c r="K39" s="673">
        <v>43</v>
      </c>
      <c r="L39" s="673">
        <v>22</v>
      </c>
      <c r="M39" s="673">
        <v>34</v>
      </c>
      <c r="N39" s="673">
        <v>31</v>
      </c>
      <c r="O39" s="673">
        <v>44</v>
      </c>
      <c r="P39" s="673">
        <v>39</v>
      </c>
      <c r="Q39" s="673">
        <v>36</v>
      </c>
      <c r="R39" s="673">
        <v>48</v>
      </c>
      <c r="S39" s="673">
        <v>44</v>
      </c>
      <c r="T39" s="673">
        <v>37</v>
      </c>
      <c r="U39" s="673">
        <v>28</v>
      </c>
      <c r="V39" s="665">
        <v>34</v>
      </c>
      <c r="W39" s="665">
        <v>58</v>
      </c>
      <c r="X39" s="665">
        <v>49</v>
      </c>
      <c r="Y39" s="665">
        <v>56</v>
      </c>
      <c r="Z39" s="665">
        <v>43</v>
      </c>
      <c r="AA39" s="665">
        <v>57</v>
      </c>
      <c r="AB39" s="665">
        <v>42</v>
      </c>
      <c r="AC39" s="665">
        <v>47</v>
      </c>
      <c r="AD39" s="665">
        <v>54</v>
      </c>
      <c r="AE39" s="665">
        <v>42</v>
      </c>
      <c r="AF39" s="665">
        <v>30</v>
      </c>
      <c r="AG39" s="665">
        <v>32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0.25610527339949402</v>
      </c>
      <c r="F40" s="680">
        <f t="shared" si="25"/>
        <v>35.096666666666664</v>
      </c>
      <c r="G40" s="680">
        <f t="shared" si="26"/>
        <v>33.666666666666664</v>
      </c>
      <c r="H40" s="679">
        <f t="shared" si="27"/>
        <v>33</v>
      </c>
      <c r="I40" s="679">
        <f t="shared" si="28"/>
        <v>39.5</v>
      </c>
      <c r="J40" s="679">
        <f t="shared" si="29"/>
        <v>33.200000000000003</v>
      </c>
      <c r="K40" s="673">
        <v>43</v>
      </c>
      <c r="L40" s="673">
        <v>40</v>
      </c>
      <c r="M40" s="673">
        <v>34</v>
      </c>
      <c r="N40" s="673">
        <v>37</v>
      </c>
      <c r="O40" s="673">
        <v>26</v>
      </c>
      <c r="P40" s="673">
        <v>22</v>
      </c>
      <c r="Q40" s="673">
        <v>22</v>
      </c>
      <c r="R40" s="673">
        <v>39</v>
      </c>
      <c r="S40" s="673">
        <v>34</v>
      </c>
      <c r="T40" s="673">
        <v>36</v>
      </c>
      <c r="U40" s="673">
        <v>43</v>
      </c>
      <c r="V40" s="665">
        <v>24</v>
      </c>
      <c r="W40" s="665">
        <v>45</v>
      </c>
      <c r="X40" s="665">
        <v>47</v>
      </c>
      <c r="Y40" s="665">
        <v>37</v>
      </c>
      <c r="Z40" s="665">
        <v>29</v>
      </c>
      <c r="AA40" s="665">
        <v>40</v>
      </c>
      <c r="AB40" s="665">
        <v>39</v>
      </c>
      <c r="AC40" s="665">
        <v>40</v>
      </c>
      <c r="AD40" s="665">
        <v>37</v>
      </c>
      <c r="AE40" s="665">
        <v>37</v>
      </c>
      <c r="AF40" s="665">
        <v>29</v>
      </c>
      <c r="AG40" s="665">
        <v>23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0.43182039307258213</v>
      </c>
      <c r="F41" s="680">
        <f t="shared" si="25"/>
        <v>59.176666666666662</v>
      </c>
      <c r="G41" s="680">
        <f t="shared" si="26"/>
        <v>37.666666666666664</v>
      </c>
      <c r="H41" s="679">
        <f t="shared" si="27"/>
        <v>59</v>
      </c>
      <c r="I41" s="679">
        <f t="shared" si="28"/>
        <v>78.166666666666671</v>
      </c>
      <c r="J41" s="679">
        <f t="shared" si="29"/>
        <v>50.4</v>
      </c>
      <c r="K41" s="673">
        <v>57</v>
      </c>
      <c r="L41" s="673">
        <v>42</v>
      </c>
      <c r="M41" s="673">
        <v>34</v>
      </c>
      <c r="N41" s="673">
        <v>33</v>
      </c>
      <c r="O41" s="673">
        <v>29</v>
      </c>
      <c r="P41" s="673">
        <v>31</v>
      </c>
      <c r="Q41" s="673">
        <v>43</v>
      </c>
      <c r="R41" s="673">
        <v>42</v>
      </c>
      <c r="S41" s="673">
        <v>55</v>
      </c>
      <c r="T41" s="673">
        <v>89</v>
      </c>
      <c r="U41" s="673">
        <v>63</v>
      </c>
      <c r="V41" s="665">
        <v>62</v>
      </c>
      <c r="W41" s="665">
        <v>98</v>
      </c>
      <c r="X41" s="665">
        <v>114</v>
      </c>
      <c r="Y41" s="665">
        <v>74</v>
      </c>
      <c r="Z41" s="665">
        <v>53</v>
      </c>
      <c r="AA41" s="665">
        <v>54</v>
      </c>
      <c r="AB41" s="665">
        <v>76</v>
      </c>
      <c r="AC41" s="665">
        <v>51</v>
      </c>
      <c r="AD41" s="665">
        <v>60</v>
      </c>
      <c r="AE41" s="665">
        <v>52</v>
      </c>
      <c r="AF41" s="665">
        <v>60</v>
      </c>
      <c r="AG41" s="665">
        <v>29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0.18146863055983206</v>
      </c>
      <c r="F42" s="680">
        <f t="shared" si="25"/>
        <v>78.973333333333329</v>
      </c>
      <c r="G42" s="680">
        <f t="shared" si="26"/>
        <v>122.5</v>
      </c>
      <c r="H42" s="679">
        <f t="shared" si="27"/>
        <v>89.666666666666671</v>
      </c>
      <c r="I42" s="679">
        <f t="shared" si="28"/>
        <v>73.833333333333329</v>
      </c>
      <c r="J42" s="679">
        <f t="shared" si="29"/>
        <v>66.599999999999994</v>
      </c>
      <c r="K42" s="673">
        <v>107</v>
      </c>
      <c r="L42" s="673">
        <v>74</v>
      </c>
      <c r="M42" s="673">
        <v>158</v>
      </c>
      <c r="N42" s="673">
        <v>152</v>
      </c>
      <c r="O42" s="673">
        <v>149</v>
      </c>
      <c r="P42" s="673">
        <v>95</v>
      </c>
      <c r="Q42" s="673">
        <v>94</v>
      </c>
      <c r="R42" s="673">
        <v>96</v>
      </c>
      <c r="S42" s="673">
        <v>63</v>
      </c>
      <c r="T42" s="673">
        <v>78</v>
      </c>
      <c r="U42" s="673">
        <v>105</v>
      </c>
      <c r="V42" s="665">
        <v>102</v>
      </c>
      <c r="W42" s="665">
        <v>101</v>
      </c>
      <c r="X42" s="665">
        <v>82</v>
      </c>
      <c r="Y42" s="665">
        <v>70</v>
      </c>
      <c r="Z42" s="665">
        <v>48</v>
      </c>
      <c r="AA42" s="665">
        <v>70</v>
      </c>
      <c r="AB42" s="665">
        <v>72</v>
      </c>
      <c r="AC42" s="665">
        <v>67</v>
      </c>
      <c r="AD42" s="665">
        <v>78</v>
      </c>
      <c r="AE42" s="665">
        <v>66</v>
      </c>
      <c r="AF42" s="665">
        <v>55</v>
      </c>
      <c r="AG42" s="665">
        <v>67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0.15332766531093697</v>
      </c>
      <c r="F43" s="680">
        <f t="shared" si="25"/>
        <v>66.726666666666674</v>
      </c>
      <c r="G43" s="680">
        <f t="shared" si="26"/>
        <v>86.833333333333329</v>
      </c>
      <c r="H43" s="679">
        <f t="shared" si="27"/>
        <v>95.666666666666671</v>
      </c>
      <c r="I43" s="679">
        <f t="shared" si="28"/>
        <v>65.166666666666671</v>
      </c>
      <c r="J43" s="679">
        <f t="shared" si="29"/>
        <v>48.4</v>
      </c>
      <c r="K43" s="673">
        <v>107</v>
      </c>
      <c r="L43" s="673">
        <v>58</v>
      </c>
      <c r="M43" s="673">
        <v>119</v>
      </c>
      <c r="N43" s="673">
        <v>72</v>
      </c>
      <c r="O43" s="673">
        <v>86</v>
      </c>
      <c r="P43" s="673">
        <v>79</v>
      </c>
      <c r="Q43" s="673">
        <v>102</v>
      </c>
      <c r="R43" s="673">
        <v>110</v>
      </c>
      <c r="S43" s="673">
        <v>86</v>
      </c>
      <c r="T43" s="673">
        <v>97</v>
      </c>
      <c r="U43" s="673">
        <v>88</v>
      </c>
      <c r="V43" s="665">
        <v>91</v>
      </c>
      <c r="W43" s="665">
        <v>69</v>
      </c>
      <c r="X43" s="665">
        <v>62</v>
      </c>
      <c r="Y43" s="665">
        <v>80</v>
      </c>
      <c r="Z43" s="665">
        <v>51</v>
      </c>
      <c r="AA43" s="665">
        <v>53</v>
      </c>
      <c r="AB43" s="665">
        <v>76</v>
      </c>
      <c r="AC43" s="665">
        <v>65</v>
      </c>
      <c r="AD43" s="665">
        <v>48</v>
      </c>
      <c r="AE43" s="665">
        <v>33</v>
      </c>
      <c r="AF43" s="665">
        <v>49</v>
      </c>
      <c r="AG43" s="665">
        <v>47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0.15173449144817969</v>
      </c>
      <c r="F44" s="680">
        <f t="shared" si="25"/>
        <v>66.033333333333331</v>
      </c>
      <c r="G44" s="680">
        <f t="shared" si="26"/>
        <v>98.833333333333329</v>
      </c>
      <c r="H44" s="679">
        <f t="shared" si="27"/>
        <v>80.5</v>
      </c>
      <c r="I44" s="679">
        <f t="shared" si="28"/>
        <v>66.833333333333329</v>
      </c>
      <c r="J44" s="679">
        <f t="shared" si="29"/>
        <v>50</v>
      </c>
      <c r="K44" s="673">
        <v>79</v>
      </c>
      <c r="L44" s="673">
        <v>71</v>
      </c>
      <c r="M44" s="673">
        <v>143</v>
      </c>
      <c r="N44" s="673">
        <v>117</v>
      </c>
      <c r="O44" s="673">
        <v>115</v>
      </c>
      <c r="P44" s="673">
        <v>68</v>
      </c>
      <c r="Q44" s="673">
        <v>82</v>
      </c>
      <c r="R44" s="673">
        <v>74</v>
      </c>
      <c r="S44" s="673">
        <v>74</v>
      </c>
      <c r="T44" s="673">
        <v>82</v>
      </c>
      <c r="U44" s="673">
        <v>94</v>
      </c>
      <c r="V44" s="665">
        <v>77</v>
      </c>
      <c r="W44" s="665">
        <v>68</v>
      </c>
      <c r="X44" s="665">
        <v>71</v>
      </c>
      <c r="Y44" s="665">
        <v>62</v>
      </c>
      <c r="Z44" s="665">
        <v>38</v>
      </c>
      <c r="AA44" s="665">
        <v>69</v>
      </c>
      <c r="AB44" s="665">
        <v>93</v>
      </c>
      <c r="AC44" s="665">
        <v>62</v>
      </c>
      <c r="AD44" s="665">
        <v>59</v>
      </c>
      <c r="AE44" s="665">
        <v>52</v>
      </c>
      <c r="AF44" s="665">
        <v>35</v>
      </c>
      <c r="AG44" s="665">
        <v>42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0.11005154836584785</v>
      </c>
      <c r="F45" s="680">
        <f t="shared" si="25"/>
        <v>47.893333333333331</v>
      </c>
      <c r="G45" s="680">
        <f t="shared" si="26"/>
        <v>43.833333333333336</v>
      </c>
      <c r="H45" s="679">
        <f t="shared" si="27"/>
        <v>58.5</v>
      </c>
      <c r="I45" s="679">
        <f t="shared" si="28"/>
        <v>50.833333333333336</v>
      </c>
      <c r="J45" s="679">
        <f t="shared" si="29"/>
        <v>41.4</v>
      </c>
      <c r="K45" s="673">
        <v>38</v>
      </c>
      <c r="L45" s="673">
        <v>35</v>
      </c>
      <c r="M45" s="673">
        <v>65</v>
      </c>
      <c r="N45" s="673">
        <v>29</v>
      </c>
      <c r="O45" s="673">
        <v>57</v>
      </c>
      <c r="P45" s="673">
        <v>39</v>
      </c>
      <c r="Q45" s="673">
        <v>63</v>
      </c>
      <c r="R45" s="673">
        <v>74</v>
      </c>
      <c r="S45" s="673">
        <v>43</v>
      </c>
      <c r="T45" s="673">
        <v>72</v>
      </c>
      <c r="U45" s="673">
        <v>52</v>
      </c>
      <c r="V45" s="665">
        <v>47</v>
      </c>
      <c r="W45" s="665">
        <v>58</v>
      </c>
      <c r="X45" s="665">
        <v>62</v>
      </c>
      <c r="Y45" s="665">
        <v>55</v>
      </c>
      <c r="Z45" s="665">
        <v>29</v>
      </c>
      <c r="AA45" s="665">
        <v>46</v>
      </c>
      <c r="AB45" s="665">
        <v>55</v>
      </c>
      <c r="AC45" s="665">
        <v>35</v>
      </c>
      <c r="AD45" s="665">
        <v>65</v>
      </c>
      <c r="AE45" s="665">
        <v>46</v>
      </c>
      <c r="AF45" s="665">
        <v>39</v>
      </c>
      <c r="AG45" s="665">
        <v>22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0.10152653630215154</v>
      </c>
      <c r="F46" s="680">
        <f t="shared" si="25"/>
        <v>44.183333333333337</v>
      </c>
      <c r="G46" s="680">
        <f t="shared" si="26"/>
        <v>53</v>
      </c>
      <c r="H46" s="679">
        <f t="shared" si="27"/>
        <v>52.666666666666664</v>
      </c>
      <c r="I46" s="679">
        <f t="shared" si="28"/>
        <v>43.833333333333336</v>
      </c>
      <c r="J46" s="679">
        <f t="shared" si="29"/>
        <v>38</v>
      </c>
      <c r="K46" s="673">
        <v>45</v>
      </c>
      <c r="L46" s="673">
        <v>42</v>
      </c>
      <c r="M46" s="673">
        <v>60</v>
      </c>
      <c r="N46" s="673">
        <v>58</v>
      </c>
      <c r="O46" s="673">
        <v>54</v>
      </c>
      <c r="P46" s="673">
        <v>59</v>
      </c>
      <c r="Q46" s="673">
        <v>41</v>
      </c>
      <c r="R46" s="673">
        <v>67</v>
      </c>
      <c r="S46" s="673">
        <v>49</v>
      </c>
      <c r="T46" s="673">
        <v>48</v>
      </c>
      <c r="U46" s="673">
        <v>58</v>
      </c>
      <c r="V46" s="665">
        <v>53</v>
      </c>
      <c r="W46" s="665">
        <v>35</v>
      </c>
      <c r="X46" s="665">
        <v>37</v>
      </c>
      <c r="Y46" s="665">
        <v>32</v>
      </c>
      <c r="Z46" s="665">
        <v>52</v>
      </c>
      <c r="AA46" s="665">
        <v>48</v>
      </c>
      <c r="AB46" s="665">
        <v>59</v>
      </c>
      <c r="AC46" s="665">
        <v>53</v>
      </c>
      <c r="AD46" s="665">
        <v>32</v>
      </c>
      <c r="AE46" s="665">
        <v>40</v>
      </c>
      <c r="AF46" s="665">
        <v>38</v>
      </c>
      <c r="AG46" s="665">
        <v>27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0.15796165659443767</v>
      </c>
      <c r="F47" s="680">
        <f t="shared" si="25"/>
        <v>68.743333333333339</v>
      </c>
      <c r="G47" s="680">
        <f t="shared" si="26"/>
        <v>122.16666666666667</v>
      </c>
      <c r="H47" s="679">
        <f t="shared" si="27"/>
        <v>81.833333333333329</v>
      </c>
      <c r="I47" s="679">
        <f t="shared" si="28"/>
        <v>58.666666666666664</v>
      </c>
      <c r="J47" s="679">
        <f t="shared" si="29"/>
        <v>56.4</v>
      </c>
      <c r="K47" s="673">
        <v>142</v>
      </c>
      <c r="L47" s="673">
        <v>71</v>
      </c>
      <c r="M47" s="673">
        <v>139</v>
      </c>
      <c r="N47" s="673">
        <v>162</v>
      </c>
      <c r="O47" s="673">
        <v>137</v>
      </c>
      <c r="P47" s="673">
        <v>82</v>
      </c>
      <c r="Q47" s="673">
        <v>82</v>
      </c>
      <c r="R47" s="673">
        <v>101</v>
      </c>
      <c r="S47" s="673">
        <v>55</v>
      </c>
      <c r="T47" s="673">
        <v>87</v>
      </c>
      <c r="U47" s="673">
        <v>84</v>
      </c>
      <c r="V47" s="665">
        <v>82</v>
      </c>
      <c r="W47" s="665">
        <v>79</v>
      </c>
      <c r="X47" s="665">
        <v>56</v>
      </c>
      <c r="Y47" s="665">
        <v>61</v>
      </c>
      <c r="Z47" s="665">
        <v>40</v>
      </c>
      <c r="AA47" s="665">
        <v>54</v>
      </c>
      <c r="AB47" s="665">
        <v>62</v>
      </c>
      <c r="AC47" s="665">
        <v>61</v>
      </c>
      <c r="AD47" s="665">
        <v>69</v>
      </c>
      <c r="AE47" s="665">
        <v>56</v>
      </c>
      <c r="AF47" s="665">
        <v>48</v>
      </c>
      <c r="AG47" s="665">
        <v>48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8.4721615845952336E-2</v>
      </c>
      <c r="F48" s="680">
        <f t="shared" si="25"/>
        <v>36.870000000000005</v>
      </c>
      <c r="G48" s="680">
        <f t="shared" si="26"/>
        <v>42.166666666666664</v>
      </c>
      <c r="H48" s="679">
        <f t="shared" si="27"/>
        <v>32.166666666666664</v>
      </c>
      <c r="I48" s="679">
        <f t="shared" si="28"/>
        <v>42.333333333333336</v>
      </c>
      <c r="J48" s="679">
        <f t="shared" si="29"/>
        <v>33.799999999999997</v>
      </c>
      <c r="K48" s="673">
        <v>47</v>
      </c>
      <c r="L48" s="673">
        <v>27</v>
      </c>
      <c r="M48" s="673">
        <v>49</v>
      </c>
      <c r="N48" s="673">
        <v>46</v>
      </c>
      <c r="O48" s="673">
        <v>41</v>
      </c>
      <c r="P48" s="673">
        <v>43</v>
      </c>
      <c r="Q48" s="673">
        <v>39</v>
      </c>
      <c r="R48" s="673">
        <v>30</v>
      </c>
      <c r="S48" s="673">
        <v>28</v>
      </c>
      <c r="T48" s="673">
        <v>32</v>
      </c>
      <c r="U48" s="673">
        <v>31</v>
      </c>
      <c r="V48" s="665">
        <v>33</v>
      </c>
      <c r="W48" s="665">
        <v>28</v>
      </c>
      <c r="X48" s="665">
        <v>28</v>
      </c>
      <c r="Y48" s="665">
        <v>37</v>
      </c>
      <c r="Z48" s="665">
        <v>33</v>
      </c>
      <c r="AA48" s="665">
        <v>64</v>
      </c>
      <c r="AB48" s="665">
        <v>64</v>
      </c>
      <c r="AC48" s="665">
        <v>35</v>
      </c>
      <c r="AD48" s="665">
        <v>44</v>
      </c>
      <c r="AE48" s="665">
        <v>27</v>
      </c>
      <c r="AF48" s="665">
        <v>26</v>
      </c>
      <c r="AG48" s="665">
        <v>37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5.9207855572661741E-2</v>
      </c>
      <c r="F49" s="680">
        <f t="shared" si="25"/>
        <v>25.766666666666666</v>
      </c>
      <c r="G49" s="680">
        <f t="shared" si="26"/>
        <v>19.333333333333332</v>
      </c>
      <c r="H49" s="679">
        <f t="shared" si="27"/>
        <v>21.666666666666668</v>
      </c>
      <c r="I49" s="679">
        <f t="shared" si="28"/>
        <v>38.333333333333336</v>
      </c>
      <c r="J49" s="679">
        <f t="shared" si="29"/>
        <v>20</v>
      </c>
      <c r="K49" s="673">
        <v>15</v>
      </c>
      <c r="L49" s="673">
        <v>20</v>
      </c>
      <c r="M49" s="673">
        <v>16</v>
      </c>
      <c r="N49" s="673">
        <v>26</v>
      </c>
      <c r="O49" s="673">
        <v>20</v>
      </c>
      <c r="P49" s="673">
        <v>19</v>
      </c>
      <c r="Q49" s="673">
        <v>19</v>
      </c>
      <c r="R49" s="673">
        <v>19</v>
      </c>
      <c r="S49" s="673">
        <v>12</v>
      </c>
      <c r="T49" s="673">
        <v>23</v>
      </c>
      <c r="U49" s="673">
        <v>27</v>
      </c>
      <c r="V49" s="665">
        <v>30</v>
      </c>
      <c r="W49" s="665">
        <v>56</v>
      </c>
      <c r="X49" s="665">
        <v>44</v>
      </c>
      <c r="Y49" s="665">
        <v>23</v>
      </c>
      <c r="Z49" s="665">
        <v>19</v>
      </c>
      <c r="AA49" s="665">
        <v>52</v>
      </c>
      <c r="AB49" s="665">
        <v>36</v>
      </c>
      <c r="AC49" s="665">
        <v>23</v>
      </c>
      <c r="AD49" s="665">
        <v>26</v>
      </c>
      <c r="AE49" s="665">
        <v>20</v>
      </c>
      <c r="AF49" s="665">
        <v>18</v>
      </c>
      <c r="AG49" s="665">
        <v>13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0.10860989763317468</v>
      </c>
      <c r="F50" s="680">
        <f t="shared" si="25"/>
        <v>44.42</v>
      </c>
      <c r="G50" s="680">
        <f t="shared" si="26"/>
        <v>38.166666666666664</v>
      </c>
      <c r="H50" s="679">
        <f t="shared" si="27"/>
        <v>51.166666666666664</v>
      </c>
      <c r="I50" s="679">
        <f t="shared" si="28"/>
        <v>45.5</v>
      </c>
      <c r="J50" s="679">
        <f t="shared" si="29"/>
        <v>41.8</v>
      </c>
      <c r="K50" s="673">
        <v>56</v>
      </c>
      <c r="L50" s="673">
        <v>31</v>
      </c>
      <c r="M50" s="673">
        <v>39</v>
      </c>
      <c r="N50" s="673">
        <v>35</v>
      </c>
      <c r="O50" s="673">
        <v>46</v>
      </c>
      <c r="P50" s="673">
        <v>22</v>
      </c>
      <c r="Q50" s="673">
        <v>41</v>
      </c>
      <c r="R50" s="673">
        <v>48</v>
      </c>
      <c r="S50" s="673">
        <v>38</v>
      </c>
      <c r="T50" s="673">
        <v>45</v>
      </c>
      <c r="U50" s="673">
        <v>73</v>
      </c>
      <c r="V50" s="665">
        <v>62</v>
      </c>
      <c r="W50" s="665">
        <v>41</v>
      </c>
      <c r="X50" s="665">
        <v>48</v>
      </c>
      <c r="Y50" s="665">
        <v>51</v>
      </c>
      <c r="Z50" s="665">
        <v>38</v>
      </c>
      <c r="AA50" s="665">
        <v>41</v>
      </c>
      <c r="AB50" s="665">
        <v>54</v>
      </c>
      <c r="AC50" s="665">
        <v>49</v>
      </c>
      <c r="AD50" s="665">
        <v>47</v>
      </c>
      <c r="AE50" s="665">
        <v>46</v>
      </c>
      <c r="AF50" s="665">
        <v>42</v>
      </c>
      <c r="AG50" s="665">
        <v>25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0.10655604094673014</v>
      </c>
      <c r="F51" s="680">
        <f t="shared" si="25"/>
        <v>43.580000000000005</v>
      </c>
      <c r="G51" s="680">
        <f t="shared" si="26"/>
        <v>33.833333333333336</v>
      </c>
      <c r="H51" s="679">
        <f t="shared" si="27"/>
        <v>38.833333333333336</v>
      </c>
      <c r="I51" s="679">
        <f t="shared" si="28"/>
        <v>39.833333333333336</v>
      </c>
      <c r="J51" s="679">
        <f t="shared" si="29"/>
        <v>51.2</v>
      </c>
      <c r="K51" s="673">
        <v>38</v>
      </c>
      <c r="L51" s="673">
        <v>25</v>
      </c>
      <c r="M51" s="673">
        <v>42</v>
      </c>
      <c r="N51" s="673">
        <v>48</v>
      </c>
      <c r="O51" s="673">
        <v>31</v>
      </c>
      <c r="P51" s="673">
        <v>19</v>
      </c>
      <c r="Q51" s="673">
        <v>47</v>
      </c>
      <c r="R51" s="673">
        <v>45</v>
      </c>
      <c r="S51" s="673">
        <v>20</v>
      </c>
      <c r="T51" s="673">
        <v>38</v>
      </c>
      <c r="U51" s="673">
        <v>48</v>
      </c>
      <c r="V51" s="665">
        <v>35</v>
      </c>
      <c r="W51" s="665">
        <v>52</v>
      </c>
      <c r="X51" s="665">
        <v>41</v>
      </c>
      <c r="Y51" s="665">
        <v>42</v>
      </c>
      <c r="Z51" s="665">
        <v>33</v>
      </c>
      <c r="AA51" s="665">
        <v>28</v>
      </c>
      <c r="AB51" s="665">
        <v>43</v>
      </c>
      <c r="AC51" s="665">
        <v>46</v>
      </c>
      <c r="AD51" s="665">
        <v>69</v>
      </c>
      <c r="AE51" s="665">
        <v>44</v>
      </c>
      <c r="AF51" s="665">
        <v>43</v>
      </c>
      <c r="AG51" s="665">
        <v>54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0.12173175979657039</v>
      </c>
      <c r="F52" s="680">
        <f t="shared" si="25"/>
        <v>49.786666666666669</v>
      </c>
      <c r="G52" s="680">
        <f t="shared" si="26"/>
        <v>43.833333333333336</v>
      </c>
      <c r="H52" s="679">
        <f t="shared" si="27"/>
        <v>56.166666666666664</v>
      </c>
      <c r="I52" s="679">
        <f t="shared" si="28"/>
        <v>44.833333333333336</v>
      </c>
      <c r="J52" s="679">
        <f t="shared" si="29"/>
        <v>51.8</v>
      </c>
      <c r="K52" s="673">
        <v>49</v>
      </c>
      <c r="L52" s="673">
        <v>34</v>
      </c>
      <c r="M52" s="673">
        <v>52</v>
      </c>
      <c r="N52" s="673">
        <v>44</v>
      </c>
      <c r="O52" s="673">
        <v>43</v>
      </c>
      <c r="P52" s="673">
        <v>41</v>
      </c>
      <c r="Q52" s="673">
        <v>60</v>
      </c>
      <c r="R52" s="673">
        <v>91</v>
      </c>
      <c r="S52" s="673">
        <v>45</v>
      </c>
      <c r="T52" s="673">
        <v>54</v>
      </c>
      <c r="U52" s="673">
        <v>49</v>
      </c>
      <c r="V52" s="665">
        <v>38</v>
      </c>
      <c r="W52" s="665">
        <v>44</v>
      </c>
      <c r="X52" s="665">
        <v>41</v>
      </c>
      <c r="Y52" s="665">
        <v>38</v>
      </c>
      <c r="Z52" s="665">
        <v>35</v>
      </c>
      <c r="AA52" s="665">
        <v>61</v>
      </c>
      <c r="AB52" s="665">
        <v>50</v>
      </c>
      <c r="AC52" s="665">
        <v>52</v>
      </c>
      <c r="AD52" s="665">
        <v>59</v>
      </c>
      <c r="AE52" s="665">
        <v>55</v>
      </c>
      <c r="AF52" s="665">
        <v>59</v>
      </c>
      <c r="AG52" s="665">
        <v>34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8.2007563408750081E-2</v>
      </c>
      <c r="F53" s="680">
        <f t="shared" si="25"/>
        <v>33.54</v>
      </c>
      <c r="G53" s="680">
        <f t="shared" si="26"/>
        <v>46.666666666666664</v>
      </c>
      <c r="H53" s="679">
        <f t="shared" si="27"/>
        <v>37.666666666666664</v>
      </c>
      <c r="I53" s="679">
        <f t="shared" si="28"/>
        <v>30.333333333333332</v>
      </c>
      <c r="J53" s="679">
        <f t="shared" si="29"/>
        <v>30.6</v>
      </c>
      <c r="K53" s="673">
        <v>70</v>
      </c>
      <c r="L53" s="673">
        <v>39</v>
      </c>
      <c r="M53" s="673">
        <v>53</v>
      </c>
      <c r="N53" s="673">
        <v>57</v>
      </c>
      <c r="O53" s="673">
        <v>30</v>
      </c>
      <c r="P53" s="673">
        <v>31</v>
      </c>
      <c r="Q53" s="673">
        <v>27</v>
      </c>
      <c r="R53" s="673">
        <v>39</v>
      </c>
      <c r="S53" s="673">
        <v>28</v>
      </c>
      <c r="T53" s="673">
        <v>43</v>
      </c>
      <c r="U53" s="673">
        <v>42</v>
      </c>
      <c r="V53" s="665">
        <v>47</v>
      </c>
      <c r="W53" s="665">
        <v>41</v>
      </c>
      <c r="X53" s="665">
        <v>32</v>
      </c>
      <c r="Y53" s="665">
        <v>23</v>
      </c>
      <c r="Z53" s="665">
        <v>10</v>
      </c>
      <c r="AA53" s="665">
        <v>42</v>
      </c>
      <c r="AB53" s="665">
        <v>34</v>
      </c>
      <c r="AC53" s="665">
        <v>44</v>
      </c>
      <c r="AD53" s="665">
        <v>42</v>
      </c>
      <c r="AE53" s="665">
        <v>23</v>
      </c>
      <c r="AF53" s="665">
        <v>20</v>
      </c>
      <c r="AG53" s="665">
        <v>24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0.1488394079676599</v>
      </c>
      <c r="F54" s="680">
        <f t="shared" si="25"/>
        <v>60.873333333333335</v>
      </c>
      <c r="G54" s="680">
        <f t="shared" si="26"/>
        <v>78.166666666666671</v>
      </c>
      <c r="H54" s="679">
        <f t="shared" si="27"/>
        <v>77.833333333333329</v>
      </c>
      <c r="I54" s="679">
        <f t="shared" si="28"/>
        <v>44.166666666666664</v>
      </c>
      <c r="J54" s="679">
        <f t="shared" si="29"/>
        <v>60.6</v>
      </c>
      <c r="K54" s="673">
        <v>71</v>
      </c>
      <c r="L54" s="673">
        <v>49</v>
      </c>
      <c r="M54" s="673">
        <v>97</v>
      </c>
      <c r="N54" s="673">
        <v>113</v>
      </c>
      <c r="O54" s="673">
        <v>72</v>
      </c>
      <c r="P54" s="673">
        <v>67</v>
      </c>
      <c r="Q54" s="673">
        <v>71</v>
      </c>
      <c r="R54" s="673">
        <v>83</v>
      </c>
      <c r="S54" s="673">
        <v>52</v>
      </c>
      <c r="T54" s="673">
        <v>80</v>
      </c>
      <c r="U54" s="673">
        <v>97</v>
      </c>
      <c r="V54" s="665">
        <v>84</v>
      </c>
      <c r="W54" s="665">
        <v>86</v>
      </c>
      <c r="X54" s="665">
        <v>43</v>
      </c>
      <c r="Y54" s="665">
        <v>23</v>
      </c>
      <c r="Z54" s="665">
        <v>28</v>
      </c>
      <c r="AA54" s="665">
        <v>56</v>
      </c>
      <c r="AB54" s="665">
        <v>29</v>
      </c>
      <c r="AC54" s="665">
        <v>60</v>
      </c>
      <c r="AD54" s="665">
        <v>96</v>
      </c>
      <c r="AE54" s="665">
        <v>64</v>
      </c>
      <c r="AF54" s="665">
        <v>42</v>
      </c>
      <c r="AG54" s="665">
        <v>41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0.15593825389580754</v>
      </c>
      <c r="F55" s="680">
        <f t="shared" si="25"/>
        <v>63.776666666666671</v>
      </c>
      <c r="G55" s="680">
        <f t="shared" si="26"/>
        <v>71.666666666666671</v>
      </c>
      <c r="H55" s="679">
        <f t="shared" si="27"/>
        <v>69</v>
      </c>
      <c r="I55" s="679">
        <f t="shared" si="28"/>
        <v>68.833333333333329</v>
      </c>
      <c r="J55" s="679">
        <f t="shared" si="29"/>
        <v>55.4</v>
      </c>
      <c r="K55" s="673">
        <v>91</v>
      </c>
      <c r="L55" s="673">
        <v>71</v>
      </c>
      <c r="M55" s="673">
        <v>92</v>
      </c>
      <c r="N55" s="673">
        <v>52</v>
      </c>
      <c r="O55" s="673">
        <v>68</v>
      </c>
      <c r="P55" s="673">
        <v>56</v>
      </c>
      <c r="Q55" s="673">
        <v>79</v>
      </c>
      <c r="R55" s="673">
        <v>101</v>
      </c>
      <c r="S55" s="673">
        <v>53</v>
      </c>
      <c r="T55" s="673">
        <v>55</v>
      </c>
      <c r="U55" s="673">
        <v>48</v>
      </c>
      <c r="V55" s="665">
        <v>78</v>
      </c>
      <c r="W55" s="665">
        <v>72</v>
      </c>
      <c r="X55" s="665">
        <v>66</v>
      </c>
      <c r="Y55" s="665">
        <v>71</v>
      </c>
      <c r="Z55" s="665">
        <v>73</v>
      </c>
      <c r="AA55" s="665">
        <v>67</v>
      </c>
      <c r="AB55" s="665">
        <v>64</v>
      </c>
      <c r="AC55" s="665">
        <v>57</v>
      </c>
      <c r="AD55" s="665">
        <v>81</v>
      </c>
      <c r="AE55" s="665">
        <v>56</v>
      </c>
      <c r="AF55" s="665">
        <v>60</v>
      </c>
      <c r="AG55" s="665">
        <v>23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0.12097378887657299</v>
      </c>
      <c r="F56" s="680">
        <f t="shared" si="25"/>
        <v>49.476666666666667</v>
      </c>
      <c r="G56" s="680">
        <f t="shared" si="26"/>
        <v>51.5</v>
      </c>
      <c r="H56" s="679">
        <f t="shared" si="27"/>
        <v>71.833333333333329</v>
      </c>
      <c r="I56" s="679">
        <f t="shared" si="28"/>
        <v>47.333333333333336</v>
      </c>
      <c r="J56" s="679">
        <f t="shared" si="29"/>
        <v>39.4</v>
      </c>
      <c r="K56" s="673">
        <v>65</v>
      </c>
      <c r="L56" s="673">
        <v>49</v>
      </c>
      <c r="M56" s="673">
        <v>41</v>
      </c>
      <c r="N56" s="673">
        <v>44</v>
      </c>
      <c r="O56" s="673">
        <v>63</v>
      </c>
      <c r="P56" s="673">
        <v>47</v>
      </c>
      <c r="Q56" s="673">
        <v>54</v>
      </c>
      <c r="R56" s="673">
        <v>69</v>
      </c>
      <c r="S56" s="673">
        <v>49</v>
      </c>
      <c r="T56" s="673">
        <v>100</v>
      </c>
      <c r="U56" s="673">
        <v>93</v>
      </c>
      <c r="V56" s="665">
        <v>66</v>
      </c>
      <c r="W56" s="665">
        <v>54</v>
      </c>
      <c r="X56" s="665">
        <v>39</v>
      </c>
      <c r="Y56" s="665">
        <v>37</v>
      </c>
      <c r="Z56" s="665">
        <v>28</v>
      </c>
      <c r="AA56" s="665">
        <v>68</v>
      </c>
      <c r="AB56" s="665">
        <v>58</v>
      </c>
      <c r="AC56" s="665">
        <v>32</v>
      </c>
      <c r="AD56" s="665">
        <v>73</v>
      </c>
      <c r="AE56" s="665">
        <v>43</v>
      </c>
      <c r="AF56" s="665">
        <v>26</v>
      </c>
      <c r="AG56" s="665">
        <v>23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0.1553432874747343</v>
      </c>
      <c r="F57" s="680">
        <f t="shared" si="25"/>
        <v>63.533333333333339</v>
      </c>
      <c r="G57" s="680">
        <f t="shared" si="26"/>
        <v>54.833333333333336</v>
      </c>
      <c r="H57" s="679">
        <f t="shared" si="27"/>
        <v>77</v>
      </c>
      <c r="I57" s="679">
        <f t="shared" si="28"/>
        <v>56.833333333333336</v>
      </c>
      <c r="J57" s="679">
        <f t="shared" si="29"/>
        <v>64</v>
      </c>
      <c r="K57" s="673">
        <v>64</v>
      </c>
      <c r="L57" s="673">
        <v>38</v>
      </c>
      <c r="M57" s="673">
        <v>65</v>
      </c>
      <c r="N57" s="673">
        <v>55</v>
      </c>
      <c r="O57" s="673">
        <v>54</v>
      </c>
      <c r="P57" s="673">
        <v>53</v>
      </c>
      <c r="Q57" s="673">
        <v>67</v>
      </c>
      <c r="R57" s="673">
        <v>95</v>
      </c>
      <c r="S57" s="673">
        <v>61</v>
      </c>
      <c r="T57" s="673">
        <v>96</v>
      </c>
      <c r="U57" s="673">
        <v>79</v>
      </c>
      <c r="V57" s="665">
        <v>64</v>
      </c>
      <c r="W57" s="665">
        <v>52</v>
      </c>
      <c r="X57" s="665">
        <v>59</v>
      </c>
      <c r="Y57" s="665">
        <v>41</v>
      </c>
      <c r="Z57" s="665">
        <v>34</v>
      </c>
      <c r="AA57" s="665">
        <v>72</v>
      </c>
      <c r="AB57" s="665">
        <v>83</v>
      </c>
      <c r="AC57" s="665">
        <v>63</v>
      </c>
      <c r="AD57" s="665">
        <v>71</v>
      </c>
      <c r="AE57" s="665">
        <v>60</v>
      </c>
      <c r="AF57" s="665">
        <v>73</v>
      </c>
      <c r="AG57" s="665">
        <v>53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0.12773722627737227</v>
      </c>
      <c r="F58" s="680">
        <f t="shared" si="25"/>
        <v>53.666666666666671</v>
      </c>
      <c r="G58" s="680">
        <f t="shared" si="26"/>
        <v>48.166666666666664</v>
      </c>
      <c r="H58" s="679">
        <f t="shared" si="27"/>
        <v>67</v>
      </c>
      <c r="I58" s="679">
        <f t="shared" si="28"/>
        <v>48.833333333333336</v>
      </c>
      <c r="J58" s="679">
        <f t="shared" si="29"/>
        <v>52</v>
      </c>
      <c r="K58" s="673">
        <v>49</v>
      </c>
      <c r="L58" s="673">
        <v>51</v>
      </c>
      <c r="M58" s="673">
        <v>44</v>
      </c>
      <c r="N58" s="673">
        <v>48</v>
      </c>
      <c r="O58" s="673">
        <v>48</v>
      </c>
      <c r="P58" s="673">
        <v>49</v>
      </c>
      <c r="Q58" s="673">
        <v>48</v>
      </c>
      <c r="R58" s="673">
        <v>84</v>
      </c>
      <c r="S58" s="673">
        <v>63</v>
      </c>
      <c r="T58" s="673">
        <v>60</v>
      </c>
      <c r="U58" s="673">
        <v>73</v>
      </c>
      <c r="V58" s="665">
        <v>74</v>
      </c>
      <c r="W58" s="665">
        <v>67</v>
      </c>
      <c r="X58" s="665">
        <v>68</v>
      </c>
      <c r="Y58" s="665">
        <v>44</v>
      </c>
      <c r="Z58" s="665">
        <v>31</v>
      </c>
      <c r="AA58" s="665">
        <v>45</v>
      </c>
      <c r="AB58" s="665">
        <v>38</v>
      </c>
      <c r="AC58" s="665">
        <v>59</v>
      </c>
      <c r="AD58" s="665">
        <v>57</v>
      </c>
      <c r="AE58" s="665">
        <v>46</v>
      </c>
      <c r="AF58" s="665">
        <v>45</v>
      </c>
      <c r="AG58" s="665">
        <v>53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0.14650111075848937</v>
      </c>
      <c r="F59" s="680">
        <f t="shared" si="25"/>
        <v>61.55</v>
      </c>
      <c r="G59" s="680">
        <f t="shared" si="26"/>
        <v>52.166666666666664</v>
      </c>
      <c r="H59" s="679">
        <f t="shared" si="27"/>
        <v>81.166666666666671</v>
      </c>
      <c r="I59" s="679">
        <f t="shared" si="28"/>
        <v>57.666666666666664</v>
      </c>
      <c r="J59" s="679">
        <f t="shared" si="29"/>
        <v>57</v>
      </c>
      <c r="K59" s="673">
        <v>62</v>
      </c>
      <c r="L59" s="673">
        <v>47</v>
      </c>
      <c r="M59" s="673">
        <v>40</v>
      </c>
      <c r="N59" s="673">
        <v>57</v>
      </c>
      <c r="O59" s="673">
        <v>54</v>
      </c>
      <c r="P59" s="673">
        <v>53</v>
      </c>
      <c r="Q59" s="673">
        <v>88</v>
      </c>
      <c r="R59" s="673">
        <v>104</v>
      </c>
      <c r="S59" s="673">
        <v>72</v>
      </c>
      <c r="T59" s="673">
        <v>63</v>
      </c>
      <c r="U59" s="673">
        <v>74</v>
      </c>
      <c r="V59" s="665">
        <v>86</v>
      </c>
      <c r="W59" s="665">
        <v>74</v>
      </c>
      <c r="X59" s="665">
        <v>66</v>
      </c>
      <c r="Y59" s="665">
        <v>53</v>
      </c>
      <c r="Z59" s="665">
        <v>43</v>
      </c>
      <c r="AA59" s="665">
        <v>58</v>
      </c>
      <c r="AB59" s="665">
        <v>52</v>
      </c>
      <c r="AC59" s="665">
        <v>50</v>
      </c>
      <c r="AD59" s="665">
        <v>81</v>
      </c>
      <c r="AE59" s="665">
        <v>59</v>
      </c>
      <c r="AF59" s="665">
        <v>62</v>
      </c>
      <c r="AG59" s="665">
        <v>33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9.9904792129482736E-2</v>
      </c>
      <c r="F60" s="680">
        <f t="shared" si="25"/>
        <v>41.973333333333343</v>
      </c>
      <c r="G60" s="680">
        <f t="shared" si="26"/>
        <v>41.666666666666664</v>
      </c>
      <c r="H60" s="679">
        <f t="shared" si="27"/>
        <v>49.833333333333336</v>
      </c>
      <c r="I60" s="679">
        <f t="shared" si="28"/>
        <v>36</v>
      </c>
      <c r="J60" s="679">
        <f t="shared" si="29"/>
        <v>42.6</v>
      </c>
      <c r="K60" s="673">
        <v>32</v>
      </c>
      <c r="L60" s="673">
        <v>35</v>
      </c>
      <c r="M60" s="673">
        <v>41</v>
      </c>
      <c r="N60" s="673">
        <v>49</v>
      </c>
      <c r="O60" s="673">
        <v>46</v>
      </c>
      <c r="P60" s="673">
        <v>47</v>
      </c>
      <c r="Q60" s="673">
        <v>40</v>
      </c>
      <c r="R60" s="673">
        <v>64</v>
      </c>
      <c r="S60" s="673">
        <v>39</v>
      </c>
      <c r="T60" s="673">
        <v>32</v>
      </c>
      <c r="U60" s="673">
        <v>58</v>
      </c>
      <c r="V60" s="665">
        <v>66</v>
      </c>
      <c r="W60" s="665">
        <v>55</v>
      </c>
      <c r="X60" s="665">
        <v>40</v>
      </c>
      <c r="Y60" s="665">
        <v>27</v>
      </c>
      <c r="Z60" s="665">
        <v>30</v>
      </c>
      <c r="AA60" s="665">
        <v>28</v>
      </c>
      <c r="AB60" s="665">
        <v>36</v>
      </c>
      <c r="AC60" s="665">
        <v>27</v>
      </c>
      <c r="AD60" s="665">
        <v>44</v>
      </c>
      <c r="AE60" s="665">
        <v>46</v>
      </c>
      <c r="AF60" s="665">
        <v>61</v>
      </c>
      <c r="AG60" s="665">
        <v>35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0.14231196445572836</v>
      </c>
      <c r="F61" s="680">
        <f t="shared" si="25"/>
        <v>59.790000000000006</v>
      </c>
      <c r="G61" s="680">
        <f t="shared" si="26"/>
        <v>53.333333333333336</v>
      </c>
      <c r="H61" s="679">
        <f t="shared" si="27"/>
        <v>78.833333333333329</v>
      </c>
      <c r="I61" s="679">
        <f t="shared" si="28"/>
        <v>56.166666666666664</v>
      </c>
      <c r="J61" s="679">
        <f t="shared" si="29"/>
        <v>54.6</v>
      </c>
      <c r="K61" s="673">
        <v>60</v>
      </c>
      <c r="L61" s="673">
        <v>38</v>
      </c>
      <c r="M61" s="673">
        <v>59</v>
      </c>
      <c r="N61" s="673">
        <v>56</v>
      </c>
      <c r="O61" s="673">
        <v>56</v>
      </c>
      <c r="P61" s="673">
        <v>51</v>
      </c>
      <c r="Q61" s="673">
        <v>79</v>
      </c>
      <c r="R61" s="673">
        <v>81</v>
      </c>
      <c r="S61" s="673">
        <v>56</v>
      </c>
      <c r="T61" s="673">
        <v>70</v>
      </c>
      <c r="U61" s="673">
        <v>82</v>
      </c>
      <c r="V61" s="665">
        <v>105</v>
      </c>
      <c r="W61" s="665">
        <v>85</v>
      </c>
      <c r="X61" s="665">
        <v>64</v>
      </c>
      <c r="Y61" s="665">
        <v>52</v>
      </c>
      <c r="Z61" s="665">
        <v>42</v>
      </c>
      <c r="AA61" s="665">
        <v>48</v>
      </c>
      <c r="AB61" s="665">
        <v>46</v>
      </c>
      <c r="AC61" s="665">
        <v>50</v>
      </c>
      <c r="AD61" s="665">
        <v>73</v>
      </c>
      <c r="AE61" s="665">
        <v>45</v>
      </c>
      <c r="AF61" s="665">
        <v>55</v>
      </c>
      <c r="AG61" s="665">
        <v>50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0.15024595366550303</v>
      </c>
      <c r="F62" s="680">
        <f t="shared" si="25"/>
        <v>63.123333333333335</v>
      </c>
      <c r="G62" s="680">
        <f t="shared" si="26"/>
        <v>71.333333333333329</v>
      </c>
      <c r="H62" s="679">
        <f t="shared" si="27"/>
        <v>84.5</v>
      </c>
      <c r="I62" s="679">
        <f t="shared" si="28"/>
        <v>66.833333333333329</v>
      </c>
      <c r="J62" s="679">
        <f t="shared" si="29"/>
        <v>47.6</v>
      </c>
      <c r="K62" s="673">
        <v>66</v>
      </c>
      <c r="L62" s="673">
        <v>83</v>
      </c>
      <c r="M62" s="673">
        <v>67</v>
      </c>
      <c r="N62" s="673">
        <v>52</v>
      </c>
      <c r="O62" s="673">
        <v>91</v>
      </c>
      <c r="P62" s="673">
        <v>69</v>
      </c>
      <c r="Q62" s="673">
        <v>73</v>
      </c>
      <c r="R62" s="673">
        <v>69</v>
      </c>
      <c r="S62" s="673">
        <v>57</v>
      </c>
      <c r="T62" s="673">
        <v>91</v>
      </c>
      <c r="U62" s="673">
        <v>91</v>
      </c>
      <c r="V62" s="665">
        <v>126</v>
      </c>
      <c r="W62" s="665">
        <v>106</v>
      </c>
      <c r="X62" s="665">
        <v>59</v>
      </c>
      <c r="Y62" s="665">
        <v>86</v>
      </c>
      <c r="Z62" s="665">
        <v>46</v>
      </c>
      <c r="AA62" s="665">
        <v>56</v>
      </c>
      <c r="AB62" s="665">
        <v>48</v>
      </c>
      <c r="AC62" s="665">
        <v>45</v>
      </c>
      <c r="AD62" s="665">
        <v>60</v>
      </c>
      <c r="AE62" s="665">
        <v>47</v>
      </c>
      <c r="AF62" s="665">
        <v>51</v>
      </c>
      <c r="AG62" s="665">
        <v>35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7.9752459536655038E-2</v>
      </c>
      <c r="F63" s="680">
        <f t="shared" si="25"/>
        <v>33.506666666666668</v>
      </c>
      <c r="G63" s="680">
        <f t="shared" si="26"/>
        <v>37.5</v>
      </c>
      <c r="H63" s="679">
        <f t="shared" si="27"/>
        <v>34.333333333333336</v>
      </c>
      <c r="I63" s="679">
        <f t="shared" si="28"/>
        <v>31.5</v>
      </c>
      <c r="J63" s="679">
        <f t="shared" si="29"/>
        <v>33.6</v>
      </c>
      <c r="K63" s="673">
        <v>41</v>
      </c>
      <c r="L63" s="673">
        <v>33</v>
      </c>
      <c r="M63" s="673">
        <v>44</v>
      </c>
      <c r="N63" s="673">
        <v>32</v>
      </c>
      <c r="O63" s="673">
        <v>48</v>
      </c>
      <c r="P63" s="673">
        <v>27</v>
      </c>
      <c r="Q63" s="673">
        <v>34</v>
      </c>
      <c r="R63" s="673">
        <v>25</v>
      </c>
      <c r="S63" s="673">
        <v>20</v>
      </c>
      <c r="T63" s="673">
        <v>28</v>
      </c>
      <c r="U63" s="673">
        <v>56</v>
      </c>
      <c r="V63" s="665">
        <v>43</v>
      </c>
      <c r="W63" s="665">
        <v>38</v>
      </c>
      <c r="X63" s="665">
        <v>36</v>
      </c>
      <c r="Y63" s="665">
        <v>24</v>
      </c>
      <c r="Z63" s="665">
        <v>31</v>
      </c>
      <c r="AA63" s="665">
        <v>29</v>
      </c>
      <c r="AB63" s="665">
        <v>31</v>
      </c>
      <c r="AC63" s="665">
        <v>25</v>
      </c>
      <c r="AD63" s="665">
        <v>37</v>
      </c>
      <c r="AE63" s="665">
        <v>47</v>
      </c>
      <c r="AF63" s="665">
        <v>36</v>
      </c>
      <c r="AG63" s="665">
        <v>23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8.0117423040304656E-2</v>
      </c>
      <c r="F64" s="680">
        <f t="shared" si="25"/>
        <v>33.659999999999997</v>
      </c>
      <c r="G64" s="680">
        <f t="shared" si="26"/>
        <v>33.833333333333336</v>
      </c>
      <c r="H64" s="679">
        <f t="shared" si="27"/>
        <v>43.333333333333336</v>
      </c>
      <c r="I64" s="679">
        <f t="shared" si="28"/>
        <v>32.833333333333336</v>
      </c>
      <c r="J64" s="679">
        <f t="shared" si="29"/>
        <v>29.4</v>
      </c>
      <c r="K64" s="673">
        <v>40</v>
      </c>
      <c r="L64" s="673">
        <v>30</v>
      </c>
      <c r="M64" s="673">
        <v>26</v>
      </c>
      <c r="N64" s="673">
        <v>34</v>
      </c>
      <c r="O64" s="673">
        <v>47</v>
      </c>
      <c r="P64" s="673">
        <v>26</v>
      </c>
      <c r="Q64" s="673">
        <v>24</v>
      </c>
      <c r="R64" s="673">
        <v>18</v>
      </c>
      <c r="S64" s="673">
        <v>23</v>
      </c>
      <c r="T64" s="673">
        <v>53</v>
      </c>
      <c r="U64" s="673">
        <v>75</v>
      </c>
      <c r="V64" s="665">
        <v>67</v>
      </c>
      <c r="W64" s="665">
        <v>37</v>
      </c>
      <c r="X64" s="665">
        <v>40</v>
      </c>
      <c r="Y64" s="665">
        <v>22</v>
      </c>
      <c r="Z64" s="665">
        <v>29</v>
      </c>
      <c r="AA64" s="665">
        <v>27</v>
      </c>
      <c r="AB64" s="665">
        <v>42</v>
      </c>
      <c r="AC64" s="665">
        <v>35</v>
      </c>
      <c r="AD64" s="665">
        <v>27</v>
      </c>
      <c r="AE64" s="665">
        <v>39</v>
      </c>
      <c r="AF64" s="665">
        <v>32</v>
      </c>
      <c r="AG64" s="665">
        <v>14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8.8844811171056817E-2</v>
      </c>
      <c r="F65" s="680">
        <f t="shared" si="25"/>
        <v>37.326666666666668</v>
      </c>
      <c r="G65" s="680">
        <f t="shared" si="26"/>
        <v>49.166666666666664</v>
      </c>
      <c r="H65" s="679">
        <f t="shared" si="27"/>
        <v>51</v>
      </c>
      <c r="I65" s="679">
        <f t="shared" si="28"/>
        <v>33.5</v>
      </c>
      <c r="J65" s="679">
        <f t="shared" si="29"/>
        <v>30.4</v>
      </c>
      <c r="K65" s="673">
        <v>46</v>
      </c>
      <c r="L65" s="673">
        <v>70</v>
      </c>
      <c r="M65" s="673">
        <v>42</v>
      </c>
      <c r="N65" s="673">
        <v>41</v>
      </c>
      <c r="O65" s="673">
        <v>60</v>
      </c>
      <c r="P65" s="673">
        <v>36</v>
      </c>
      <c r="Q65" s="673">
        <v>53</v>
      </c>
      <c r="R65" s="673">
        <v>65</v>
      </c>
      <c r="S65" s="673">
        <v>46</v>
      </c>
      <c r="T65" s="673">
        <v>48</v>
      </c>
      <c r="U65" s="673">
        <v>39</v>
      </c>
      <c r="V65" s="665">
        <v>55</v>
      </c>
      <c r="W65" s="665">
        <v>51</v>
      </c>
      <c r="X65" s="665">
        <v>33</v>
      </c>
      <c r="Y65" s="665">
        <v>19</v>
      </c>
      <c r="Z65" s="665">
        <v>28</v>
      </c>
      <c r="AA65" s="665">
        <v>30</v>
      </c>
      <c r="AB65" s="665">
        <v>40</v>
      </c>
      <c r="AC65" s="665">
        <v>41</v>
      </c>
      <c r="AD65" s="665">
        <v>40</v>
      </c>
      <c r="AE65" s="665">
        <v>25</v>
      </c>
      <c r="AF65" s="665">
        <v>27</v>
      </c>
      <c r="AG65" s="665">
        <v>19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8.4584258965407791E-2</v>
      </c>
      <c r="F66" s="680">
        <f t="shared" si="25"/>
        <v>35.536666666666662</v>
      </c>
      <c r="G66" s="680">
        <f t="shared" si="26"/>
        <v>52</v>
      </c>
      <c r="H66" s="679">
        <f t="shared" si="27"/>
        <v>33.833333333333336</v>
      </c>
      <c r="I66" s="679">
        <f t="shared" si="28"/>
        <v>26.833333333333332</v>
      </c>
      <c r="J66" s="679">
        <f t="shared" si="29"/>
        <v>38.799999999999997</v>
      </c>
      <c r="K66" s="673">
        <v>75</v>
      </c>
      <c r="L66" s="673">
        <v>64</v>
      </c>
      <c r="M66" s="673">
        <v>61</v>
      </c>
      <c r="N66" s="673">
        <v>45</v>
      </c>
      <c r="O66" s="673">
        <v>41</v>
      </c>
      <c r="P66" s="673">
        <v>26</v>
      </c>
      <c r="Q66" s="673">
        <v>36</v>
      </c>
      <c r="R66" s="673">
        <v>41</v>
      </c>
      <c r="S66" s="673">
        <v>13</v>
      </c>
      <c r="T66" s="673">
        <v>45</v>
      </c>
      <c r="U66" s="673">
        <v>47</v>
      </c>
      <c r="V66" s="665">
        <v>21</v>
      </c>
      <c r="W66" s="665">
        <v>30</v>
      </c>
      <c r="X66" s="665">
        <v>31</v>
      </c>
      <c r="Y66" s="665">
        <v>27</v>
      </c>
      <c r="Z66" s="665">
        <v>23</v>
      </c>
      <c r="AA66" s="665">
        <v>25</v>
      </c>
      <c r="AB66" s="665">
        <v>25</v>
      </c>
      <c r="AC66" s="665">
        <v>38</v>
      </c>
      <c r="AD66" s="665">
        <v>52</v>
      </c>
      <c r="AE66" s="665">
        <v>43</v>
      </c>
      <c r="AF66" s="665">
        <v>34</v>
      </c>
      <c r="AG66" s="665">
        <v>27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0.15685128256816006</v>
      </c>
      <c r="F67" s="680">
        <f t="shared" si="25"/>
        <v>51.873333333333335</v>
      </c>
      <c r="G67" s="680">
        <f t="shared" si="26"/>
        <v>61.166666666666664</v>
      </c>
      <c r="H67" s="679">
        <f t="shared" si="27"/>
        <v>54.833333333333336</v>
      </c>
      <c r="I67" s="679">
        <f t="shared" si="28"/>
        <v>52.5</v>
      </c>
      <c r="J67" s="679">
        <f t="shared" si="29"/>
        <v>47.6</v>
      </c>
      <c r="K67" s="673">
        <v>93</v>
      </c>
      <c r="L67" s="673">
        <v>62</v>
      </c>
      <c r="M67" s="673">
        <v>62</v>
      </c>
      <c r="N67" s="673">
        <v>62</v>
      </c>
      <c r="O67" s="673">
        <v>53</v>
      </c>
      <c r="P67" s="673">
        <v>35</v>
      </c>
      <c r="Q67" s="673">
        <v>60</v>
      </c>
      <c r="R67" s="673">
        <v>58</v>
      </c>
      <c r="S67" s="673">
        <v>36</v>
      </c>
      <c r="T67" s="673">
        <v>47</v>
      </c>
      <c r="U67" s="673">
        <v>59</v>
      </c>
      <c r="V67" s="665">
        <v>69</v>
      </c>
      <c r="W67" s="665">
        <v>59</v>
      </c>
      <c r="X67" s="665">
        <v>51</v>
      </c>
      <c r="Y67" s="665">
        <v>49</v>
      </c>
      <c r="Z67" s="665">
        <v>46</v>
      </c>
      <c r="AA67" s="665">
        <v>62</v>
      </c>
      <c r="AB67" s="665">
        <v>48</v>
      </c>
      <c r="AC67" s="665">
        <v>39</v>
      </c>
      <c r="AD67" s="665">
        <v>60</v>
      </c>
      <c r="AE67" s="665">
        <v>62</v>
      </c>
      <c r="AF67" s="665">
        <v>46</v>
      </c>
      <c r="AG67" s="665">
        <v>31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0.18702817114347628</v>
      </c>
      <c r="F68" s="680">
        <f t="shared" si="25"/>
        <v>61.853333333333332</v>
      </c>
      <c r="G68" s="680">
        <f t="shared" si="26"/>
        <v>95.5</v>
      </c>
      <c r="H68" s="679">
        <f t="shared" si="27"/>
        <v>89.666666666666671</v>
      </c>
      <c r="I68" s="679">
        <f t="shared" si="28"/>
        <v>53.5</v>
      </c>
      <c r="J68" s="679">
        <f t="shared" si="29"/>
        <v>45.8</v>
      </c>
      <c r="K68" s="673">
        <v>127</v>
      </c>
      <c r="L68" s="673">
        <v>64</v>
      </c>
      <c r="M68" s="673">
        <v>103</v>
      </c>
      <c r="N68" s="673">
        <v>130</v>
      </c>
      <c r="O68" s="673">
        <v>82</v>
      </c>
      <c r="P68" s="673">
        <v>67</v>
      </c>
      <c r="Q68" s="673">
        <v>92</v>
      </c>
      <c r="R68" s="673">
        <v>122</v>
      </c>
      <c r="S68" s="673">
        <v>70</v>
      </c>
      <c r="T68" s="673">
        <v>81</v>
      </c>
      <c r="U68" s="673">
        <v>65</v>
      </c>
      <c r="V68" s="665">
        <v>108</v>
      </c>
      <c r="W68" s="665">
        <v>88</v>
      </c>
      <c r="X68" s="665">
        <v>70</v>
      </c>
      <c r="Y68" s="665">
        <v>45</v>
      </c>
      <c r="Z68" s="665">
        <v>36</v>
      </c>
      <c r="AA68" s="665">
        <v>41</v>
      </c>
      <c r="AB68" s="665">
        <v>41</v>
      </c>
      <c r="AC68" s="665">
        <v>41</v>
      </c>
      <c r="AD68" s="665">
        <v>53</v>
      </c>
      <c r="AE68" s="665">
        <v>34</v>
      </c>
      <c r="AF68" s="665">
        <v>49</v>
      </c>
      <c r="AG68" s="665">
        <v>52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0.1220379982865494</v>
      </c>
      <c r="F69" s="680">
        <f t="shared" si="25"/>
        <v>40.36</v>
      </c>
      <c r="G69" s="680">
        <f t="shared" si="26"/>
        <v>65.833333333333329</v>
      </c>
      <c r="H69" s="679">
        <f t="shared" si="27"/>
        <v>54.833333333333336</v>
      </c>
      <c r="I69" s="679">
        <f t="shared" si="28"/>
        <v>36.833333333333336</v>
      </c>
      <c r="J69" s="679">
        <f t="shared" si="29"/>
        <v>29.4</v>
      </c>
      <c r="K69" s="673">
        <v>96</v>
      </c>
      <c r="L69" s="673">
        <v>61</v>
      </c>
      <c r="M69" s="673">
        <v>91</v>
      </c>
      <c r="N69" s="673">
        <v>60</v>
      </c>
      <c r="O69" s="673">
        <v>40</v>
      </c>
      <c r="P69" s="673">
        <v>47</v>
      </c>
      <c r="Q69" s="673">
        <v>53</v>
      </c>
      <c r="R69" s="673">
        <v>85</v>
      </c>
      <c r="S69" s="673">
        <v>39</v>
      </c>
      <c r="T69" s="673">
        <v>41</v>
      </c>
      <c r="U69" s="673">
        <v>51</v>
      </c>
      <c r="V69" s="665">
        <v>60</v>
      </c>
      <c r="W69" s="665">
        <v>47</v>
      </c>
      <c r="X69" s="665">
        <v>28</v>
      </c>
      <c r="Y69" s="665">
        <v>39</v>
      </c>
      <c r="Z69" s="665">
        <v>33</v>
      </c>
      <c r="AA69" s="665">
        <v>34</v>
      </c>
      <c r="AB69" s="665">
        <v>40</v>
      </c>
      <c r="AC69" s="665">
        <v>26</v>
      </c>
      <c r="AD69" s="665">
        <v>32</v>
      </c>
      <c r="AE69" s="665">
        <v>38</v>
      </c>
      <c r="AF69" s="665">
        <v>25</v>
      </c>
      <c r="AG69" s="665">
        <v>26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0.14144030640528144</v>
      </c>
      <c r="F70" s="680">
        <f t="shared" si="25"/>
        <v>46.776666666666664</v>
      </c>
      <c r="G70" s="680">
        <f t="shared" si="26"/>
        <v>69.5</v>
      </c>
      <c r="H70" s="679">
        <f t="shared" si="27"/>
        <v>60.833333333333336</v>
      </c>
      <c r="I70" s="679">
        <f t="shared" si="28"/>
        <v>41</v>
      </c>
      <c r="J70" s="679">
        <f t="shared" si="29"/>
        <v>38.4</v>
      </c>
      <c r="K70" s="673">
        <v>75</v>
      </c>
      <c r="L70" s="673">
        <v>67</v>
      </c>
      <c r="M70" s="673">
        <v>65</v>
      </c>
      <c r="N70" s="673">
        <v>69</v>
      </c>
      <c r="O70" s="673">
        <v>85</v>
      </c>
      <c r="P70" s="673">
        <v>56</v>
      </c>
      <c r="Q70" s="673">
        <v>60</v>
      </c>
      <c r="R70" s="673">
        <v>89</v>
      </c>
      <c r="S70" s="673">
        <v>40</v>
      </c>
      <c r="T70" s="673">
        <v>55</v>
      </c>
      <c r="U70" s="673">
        <v>44</v>
      </c>
      <c r="V70" s="665">
        <v>77</v>
      </c>
      <c r="W70" s="665">
        <v>62</v>
      </c>
      <c r="X70" s="665">
        <v>46</v>
      </c>
      <c r="Y70" s="665">
        <v>29</v>
      </c>
      <c r="Z70" s="665">
        <v>25</v>
      </c>
      <c r="AA70" s="665">
        <v>41</v>
      </c>
      <c r="AB70" s="665">
        <v>43</v>
      </c>
      <c r="AC70" s="665">
        <v>29</v>
      </c>
      <c r="AD70" s="665">
        <v>56</v>
      </c>
      <c r="AE70" s="665">
        <v>34</v>
      </c>
      <c r="AF70" s="665">
        <v>37</v>
      </c>
      <c r="AG70" s="665">
        <v>36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0.19384165700750894</v>
      </c>
      <c r="F71" s="680">
        <f t="shared" si="25"/>
        <v>64.106666666666669</v>
      </c>
      <c r="G71" s="680">
        <f t="shared" si="26"/>
        <v>63</v>
      </c>
      <c r="H71" s="679">
        <f t="shared" si="27"/>
        <v>79.333333333333329</v>
      </c>
      <c r="I71" s="679">
        <f t="shared" si="28"/>
        <v>67</v>
      </c>
      <c r="J71" s="679">
        <f t="shared" si="29"/>
        <v>54.6</v>
      </c>
      <c r="K71" s="673">
        <v>71</v>
      </c>
      <c r="L71" s="673">
        <v>43</v>
      </c>
      <c r="M71" s="673">
        <v>79</v>
      </c>
      <c r="N71" s="673">
        <v>78</v>
      </c>
      <c r="O71" s="673">
        <v>48</v>
      </c>
      <c r="P71" s="673">
        <v>59</v>
      </c>
      <c r="Q71" s="673">
        <v>52</v>
      </c>
      <c r="R71" s="673">
        <v>87</v>
      </c>
      <c r="S71" s="673">
        <v>68</v>
      </c>
      <c r="T71" s="673">
        <v>61</v>
      </c>
      <c r="U71" s="673">
        <v>132</v>
      </c>
      <c r="V71" s="665">
        <v>76</v>
      </c>
      <c r="W71" s="665">
        <v>83</v>
      </c>
      <c r="X71" s="665">
        <v>54</v>
      </c>
      <c r="Y71" s="665">
        <v>60</v>
      </c>
      <c r="Z71" s="665">
        <v>69</v>
      </c>
      <c r="AA71" s="665">
        <v>59</v>
      </c>
      <c r="AB71" s="665">
        <v>77</v>
      </c>
      <c r="AC71" s="665">
        <v>45</v>
      </c>
      <c r="AD71" s="665">
        <v>74</v>
      </c>
      <c r="AE71" s="665">
        <v>49</v>
      </c>
      <c r="AF71" s="665">
        <v>57</v>
      </c>
      <c r="AG71" s="665">
        <v>48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0.19880058458902383</v>
      </c>
      <c r="F72" s="680">
        <f t="shared" si="25"/>
        <v>65.74666666666667</v>
      </c>
      <c r="G72" s="680">
        <f t="shared" si="26"/>
        <v>75.5</v>
      </c>
      <c r="H72" s="679">
        <f t="shared" si="27"/>
        <v>80.333333333333329</v>
      </c>
      <c r="I72" s="679">
        <f t="shared" si="28"/>
        <v>66.833333333333329</v>
      </c>
      <c r="J72" s="679">
        <f t="shared" si="29"/>
        <v>55.2</v>
      </c>
      <c r="K72" s="673">
        <v>96</v>
      </c>
      <c r="L72" s="673">
        <v>64</v>
      </c>
      <c r="M72" s="673">
        <v>78</v>
      </c>
      <c r="N72" s="673">
        <v>70</v>
      </c>
      <c r="O72" s="673">
        <v>91</v>
      </c>
      <c r="P72" s="673">
        <v>54</v>
      </c>
      <c r="Q72" s="673">
        <v>85</v>
      </c>
      <c r="R72" s="673">
        <v>98</v>
      </c>
      <c r="S72" s="673">
        <v>84</v>
      </c>
      <c r="T72" s="673">
        <v>59</v>
      </c>
      <c r="U72" s="673">
        <v>74</v>
      </c>
      <c r="V72" s="665">
        <v>82</v>
      </c>
      <c r="W72" s="665">
        <v>75</v>
      </c>
      <c r="X72" s="665">
        <v>87</v>
      </c>
      <c r="Y72" s="665">
        <v>55</v>
      </c>
      <c r="Z72" s="665">
        <v>44</v>
      </c>
      <c r="AA72" s="665">
        <v>79</v>
      </c>
      <c r="AB72" s="665">
        <v>61</v>
      </c>
      <c r="AC72" s="665">
        <v>53</v>
      </c>
      <c r="AD72" s="665">
        <v>81</v>
      </c>
      <c r="AE72" s="665">
        <v>48</v>
      </c>
      <c r="AF72" s="665">
        <v>50</v>
      </c>
      <c r="AG72" s="665">
        <v>44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5.3725169544514458E-2</v>
      </c>
      <c r="F73" s="680">
        <f t="shared" si="25"/>
        <v>18.616666666666667</v>
      </c>
      <c r="G73" s="680">
        <f t="shared" si="26"/>
        <v>25.833333333333332</v>
      </c>
      <c r="H73" s="679">
        <f t="shared" si="27"/>
        <v>25.666666666666668</v>
      </c>
      <c r="I73" s="679">
        <f t="shared" si="28"/>
        <v>16.333333333333332</v>
      </c>
      <c r="J73" s="679">
        <f t="shared" si="29"/>
        <v>15</v>
      </c>
      <c r="K73" s="673">
        <v>24</v>
      </c>
      <c r="L73" s="673">
        <v>24</v>
      </c>
      <c r="M73" s="673">
        <v>18</v>
      </c>
      <c r="N73" s="673">
        <v>24</v>
      </c>
      <c r="O73" s="673">
        <v>32</v>
      </c>
      <c r="P73" s="673">
        <v>33</v>
      </c>
      <c r="Q73" s="673">
        <v>37</v>
      </c>
      <c r="R73" s="673">
        <v>23</v>
      </c>
      <c r="S73" s="673">
        <v>21</v>
      </c>
      <c r="T73" s="673">
        <v>27</v>
      </c>
      <c r="U73" s="673">
        <v>22</v>
      </c>
      <c r="V73" s="665">
        <v>24</v>
      </c>
      <c r="W73" s="665">
        <v>19</v>
      </c>
      <c r="X73" s="665">
        <v>20</v>
      </c>
      <c r="Y73" s="665">
        <v>17</v>
      </c>
      <c r="Z73" s="665">
        <v>14</v>
      </c>
      <c r="AA73" s="665">
        <v>10</v>
      </c>
      <c r="AB73" s="665">
        <v>18</v>
      </c>
      <c r="AC73" s="665">
        <v>10</v>
      </c>
      <c r="AD73" s="665">
        <v>17</v>
      </c>
      <c r="AE73" s="665">
        <v>20</v>
      </c>
      <c r="AF73" s="665">
        <v>14</v>
      </c>
      <c r="AG73" s="665">
        <v>14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0.13191284690491079</v>
      </c>
      <c r="F74" s="680">
        <f t="shared" si="25"/>
        <v>45.71</v>
      </c>
      <c r="G74" s="680">
        <f t="shared" si="26"/>
        <v>59.333333333333336</v>
      </c>
      <c r="H74" s="679">
        <f t="shared" si="27"/>
        <v>63.333333333333336</v>
      </c>
      <c r="I74" s="679">
        <f t="shared" si="28"/>
        <v>41.833333333333336</v>
      </c>
      <c r="J74" s="679">
        <f t="shared" si="29"/>
        <v>36.4</v>
      </c>
      <c r="K74" s="673">
        <v>55</v>
      </c>
      <c r="L74" s="673">
        <v>45</v>
      </c>
      <c r="M74" s="673">
        <v>74</v>
      </c>
      <c r="N74" s="673">
        <v>62</v>
      </c>
      <c r="O74" s="673">
        <v>65</v>
      </c>
      <c r="P74" s="673">
        <v>55</v>
      </c>
      <c r="Q74" s="673">
        <v>54</v>
      </c>
      <c r="R74" s="673">
        <v>67</v>
      </c>
      <c r="S74" s="673">
        <v>40</v>
      </c>
      <c r="T74" s="673">
        <v>60</v>
      </c>
      <c r="U74" s="673">
        <v>80</v>
      </c>
      <c r="V74" s="665">
        <v>79</v>
      </c>
      <c r="W74" s="665">
        <v>50</v>
      </c>
      <c r="X74" s="665">
        <v>45</v>
      </c>
      <c r="Y74" s="665">
        <v>32</v>
      </c>
      <c r="Z74" s="665">
        <v>44</v>
      </c>
      <c r="AA74" s="665">
        <v>48</v>
      </c>
      <c r="AB74" s="665">
        <v>32</v>
      </c>
      <c r="AC74" s="665">
        <v>20</v>
      </c>
      <c r="AD74" s="665">
        <v>43</v>
      </c>
      <c r="AE74" s="665">
        <v>33</v>
      </c>
      <c r="AF74" s="665">
        <v>45</v>
      </c>
      <c r="AG74" s="665">
        <v>41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0.11958058775431678</v>
      </c>
      <c r="F75" s="680">
        <f t="shared" si="25"/>
        <v>41.436666666666667</v>
      </c>
      <c r="G75" s="680">
        <f t="shared" si="26"/>
        <v>56.5</v>
      </c>
      <c r="H75" s="679">
        <f t="shared" si="27"/>
        <v>47.833333333333336</v>
      </c>
      <c r="I75" s="679">
        <f t="shared" si="28"/>
        <v>41</v>
      </c>
      <c r="J75" s="679">
        <f t="shared" si="29"/>
        <v>34.799999999999997</v>
      </c>
      <c r="K75" s="673">
        <v>65</v>
      </c>
      <c r="L75" s="673">
        <v>41</v>
      </c>
      <c r="M75" s="673">
        <v>46</v>
      </c>
      <c r="N75" s="673">
        <v>65</v>
      </c>
      <c r="O75" s="673">
        <v>58</v>
      </c>
      <c r="P75" s="673">
        <v>64</v>
      </c>
      <c r="Q75" s="673">
        <v>49</v>
      </c>
      <c r="R75" s="673">
        <v>50</v>
      </c>
      <c r="S75" s="673">
        <v>35</v>
      </c>
      <c r="T75" s="673">
        <v>53</v>
      </c>
      <c r="U75" s="673">
        <v>42</v>
      </c>
      <c r="V75" s="665">
        <v>58</v>
      </c>
      <c r="W75" s="665">
        <v>59</v>
      </c>
      <c r="X75" s="665">
        <v>60</v>
      </c>
      <c r="Y75" s="665">
        <v>33</v>
      </c>
      <c r="Z75" s="665">
        <v>31</v>
      </c>
      <c r="AA75" s="665">
        <v>28</v>
      </c>
      <c r="AB75" s="665">
        <v>35</v>
      </c>
      <c r="AC75" s="665">
        <v>29</v>
      </c>
      <c r="AD75" s="665">
        <v>42</v>
      </c>
      <c r="AE75" s="665">
        <v>34</v>
      </c>
      <c r="AF75" s="665">
        <v>35</v>
      </c>
      <c r="AG75" s="665">
        <v>34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0.13941609350199607</v>
      </c>
      <c r="F76" s="680">
        <f t="shared" si="25"/>
        <v>48.31</v>
      </c>
      <c r="G76" s="680">
        <f t="shared" si="26"/>
        <v>43.833333333333336</v>
      </c>
      <c r="H76" s="679">
        <f t="shared" si="27"/>
        <v>51.333333333333336</v>
      </c>
      <c r="I76" s="679">
        <f t="shared" si="28"/>
        <v>43.666666666666664</v>
      </c>
      <c r="J76" s="679">
        <f t="shared" si="29"/>
        <v>51.4</v>
      </c>
      <c r="K76" s="673">
        <v>54</v>
      </c>
      <c r="L76" s="673">
        <v>30</v>
      </c>
      <c r="M76" s="673">
        <v>33</v>
      </c>
      <c r="N76" s="673">
        <v>40</v>
      </c>
      <c r="O76" s="673">
        <v>65</v>
      </c>
      <c r="P76" s="673">
        <v>41</v>
      </c>
      <c r="Q76" s="673">
        <v>24</v>
      </c>
      <c r="R76" s="673">
        <v>48</v>
      </c>
      <c r="S76" s="673">
        <v>33</v>
      </c>
      <c r="T76" s="673">
        <v>74</v>
      </c>
      <c r="U76" s="673">
        <v>79</v>
      </c>
      <c r="V76" s="665">
        <v>50</v>
      </c>
      <c r="W76" s="665">
        <v>56</v>
      </c>
      <c r="X76" s="665">
        <v>49</v>
      </c>
      <c r="Y76" s="665">
        <v>27</v>
      </c>
      <c r="Z76" s="665">
        <v>35</v>
      </c>
      <c r="AA76" s="665">
        <v>43</v>
      </c>
      <c r="AB76" s="665">
        <v>52</v>
      </c>
      <c r="AC76" s="665">
        <v>48</v>
      </c>
      <c r="AD76" s="665">
        <v>66</v>
      </c>
      <c r="AE76" s="665">
        <v>55</v>
      </c>
      <c r="AF76" s="665">
        <v>54</v>
      </c>
      <c r="AG76" s="665">
        <v>34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0.25537011206772164</v>
      </c>
      <c r="F77" s="680">
        <f t="shared" si="25"/>
        <v>88.490000000000009</v>
      </c>
      <c r="G77" s="680">
        <f t="shared" si="26"/>
        <v>86.333333333333329</v>
      </c>
      <c r="H77" s="679">
        <f t="shared" si="27"/>
        <v>123.33333333333333</v>
      </c>
      <c r="I77" s="679">
        <f t="shared" si="28"/>
        <v>76.5</v>
      </c>
      <c r="J77" s="679">
        <f t="shared" si="29"/>
        <v>80.599999999999994</v>
      </c>
      <c r="K77" s="673">
        <v>112</v>
      </c>
      <c r="L77" s="673">
        <v>69</v>
      </c>
      <c r="M77" s="673">
        <v>82</v>
      </c>
      <c r="N77" s="673">
        <v>69</v>
      </c>
      <c r="O77" s="673">
        <v>95</v>
      </c>
      <c r="P77" s="673">
        <v>91</v>
      </c>
      <c r="Q77" s="673">
        <v>105</v>
      </c>
      <c r="R77" s="673">
        <v>149</v>
      </c>
      <c r="S77" s="673">
        <v>76</v>
      </c>
      <c r="T77" s="673">
        <v>111</v>
      </c>
      <c r="U77" s="673">
        <v>138</v>
      </c>
      <c r="V77" s="665">
        <v>161</v>
      </c>
      <c r="W77" s="665">
        <v>100</v>
      </c>
      <c r="X77" s="665">
        <v>88</v>
      </c>
      <c r="Y77" s="665">
        <v>68</v>
      </c>
      <c r="Z77" s="665">
        <v>76</v>
      </c>
      <c r="AA77" s="665">
        <v>66</v>
      </c>
      <c r="AB77" s="665">
        <v>61</v>
      </c>
      <c r="AC77" s="665">
        <v>69</v>
      </c>
      <c r="AD77" s="665">
        <v>75</v>
      </c>
      <c r="AE77" s="665">
        <v>67</v>
      </c>
      <c r="AF77" s="665">
        <v>108</v>
      </c>
      <c r="AG77" s="665">
        <v>84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0.17924101774806409</v>
      </c>
      <c r="F78" s="680">
        <f t="shared" si="25"/>
        <v>62.11</v>
      </c>
      <c r="G78" s="680">
        <f t="shared" si="26"/>
        <v>99.166666666666671</v>
      </c>
      <c r="H78" s="679">
        <f t="shared" si="27"/>
        <v>76.666666666666671</v>
      </c>
      <c r="I78" s="679">
        <f t="shared" si="28"/>
        <v>58.333333333333336</v>
      </c>
      <c r="J78" s="679">
        <f t="shared" si="29"/>
        <v>48.4</v>
      </c>
      <c r="K78" s="673">
        <v>99</v>
      </c>
      <c r="L78" s="673">
        <v>95</v>
      </c>
      <c r="M78" s="673">
        <v>104</v>
      </c>
      <c r="N78" s="673">
        <v>118</v>
      </c>
      <c r="O78" s="673">
        <v>113</v>
      </c>
      <c r="P78" s="673">
        <v>66</v>
      </c>
      <c r="Q78" s="673">
        <v>70</v>
      </c>
      <c r="R78" s="673">
        <v>81</v>
      </c>
      <c r="S78" s="673">
        <v>72</v>
      </c>
      <c r="T78" s="673">
        <v>81</v>
      </c>
      <c r="U78" s="673">
        <v>62</v>
      </c>
      <c r="V78" s="665">
        <v>94</v>
      </c>
      <c r="W78" s="665">
        <v>77</v>
      </c>
      <c r="X78" s="665">
        <v>66</v>
      </c>
      <c r="Y78" s="665">
        <v>70</v>
      </c>
      <c r="Z78" s="665">
        <v>51</v>
      </c>
      <c r="AA78" s="665">
        <v>50</v>
      </c>
      <c r="AB78" s="665">
        <v>36</v>
      </c>
      <c r="AC78" s="665">
        <v>41</v>
      </c>
      <c r="AD78" s="665">
        <v>60</v>
      </c>
      <c r="AE78" s="665">
        <v>56</v>
      </c>
      <c r="AF78" s="665">
        <v>45</v>
      </c>
      <c r="AG78" s="665">
        <v>40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0.12075417247847627</v>
      </c>
      <c r="F79" s="680">
        <f t="shared" si="25"/>
        <v>41.843333333333334</v>
      </c>
      <c r="G79" s="680">
        <f t="shared" si="26"/>
        <v>60</v>
      </c>
      <c r="H79" s="679">
        <f t="shared" si="27"/>
        <v>57.166666666666664</v>
      </c>
      <c r="I79" s="679">
        <f t="shared" si="28"/>
        <v>43.5</v>
      </c>
      <c r="J79" s="679">
        <f t="shared" si="29"/>
        <v>28.4</v>
      </c>
      <c r="K79" s="673">
        <v>45</v>
      </c>
      <c r="L79" s="673">
        <v>63</v>
      </c>
      <c r="M79" s="673">
        <v>62</v>
      </c>
      <c r="N79" s="673">
        <v>61</v>
      </c>
      <c r="O79" s="673">
        <v>75</v>
      </c>
      <c r="P79" s="673">
        <v>54</v>
      </c>
      <c r="Q79" s="673">
        <v>51</v>
      </c>
      <c r="R79" s="673">
        <v>65</v>
      </c>
      <c r="S79" s="673">
        <v>45</v>
      </c>
      <c r="T79" s="673">
        <v>54</v>
      </c>
      <c r="U79" s="673">
        <v>66</v>
      </c>
      <c r="V79" s="665">
        <v>62</v>
      </c>
      <c r="W79" s="665">
        <v>47</v>
      </c>
      <c r="X79" s="665">
        <v>43</v>
      </c>
      <c r="Y79" s="665">
        <v>49</v>
      </c>
      <c r="Z79" s="665">
        <v>23</v>
      </c>
      <c r="AA79" s="665">
        <v>51</v>
      </c>
      <c r="AB79" s="665">
        <v>48</v>
      </c>
      <c r="AC79" s="665">
        <v>36</v>
      </c>
      <c r="AD79" s="665">
        <v>19</v>
      </c>
      <c r="AE79" s="665">
        <v>33</v>
      </c>
      <c r="AF79" s="665">
        <v>43</v>
      </c>
      <c r="AG79" s="665">
        <v>11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9.0749039692701677E-2</v>
      </c>
      <c r="F80" s="680">
        <f t="shared" si="25"/>
        <v>26.46</v>
      </c>
      <c r="G80" s="680">
        <f t="shared" si="26"/>
        <v>36</v>
      </c>
      <c r="H80" s="679">
        <f t="shared" si="27"/>
        <v>31</v>
      </c>
      <c r="I80" s="679">
        <f t="shared" si="28"/>
        <v>19</v>
      </c>
      <c r="J80" s="679">
        <f t="shared" si="29"/>
        <v>27.4</v>
      </c>
      <c r="K80" s="673">
        <v>48</v>
      </c>
      <c r="L80" s="673">
        <v>26</v>
      </c>
      <c r="M80" s="673">
        <v>40</v>
      </c>
      <c r="N80" s="673">
        <v>29</v>
      </c>
      <c r="O80" s="673">
        <v>45</v>
      </c>
      <c r="P80" s="673">
        <v>28</v>
      </c>
      <c r="Q80" s="673">
        <v>31</v>
      </c>
      <c r="R80" s="673">
        <v>31</v>
      </c>
      <c r="S80" s="673">
        <v>22</v>
      </c>
      <c r="T80" s="673">
        <v>30</v>
      </c>
      <c r="U80" s="673">
        <v>32</v>
      </c>
      <c r="V80" s="665">
        <v>40</v>
      </c>
      <c r="W80" s="665">
        <v>22</v>
      </c>
      <c r="X80" s="665">
        <v>16</v>
      </c>
      <c r="Y80" s="665">
        <v>17</v>
      </c>
      <c r="Z80" s="665">
        <v>19</v>
      </c>
      <c r="AA80" s="665">
        <v>19</v>
      </c>
      <c r="AB80" s="665">
        <v>21</v>
      </c>
      <c r="AC80" s="665">
        <v>31</v>
      </c>
      <c r="AD80" s="665">
        <v>30</v>
      </c>
      <c r="AE80" s="665">
        <v>23</v>
      </c>
      <c r="AF80" s="665">
        <v>26</v>
      </c>
      <c r="AG80" s="665">
        <v>27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0.13151637095299068</v>
      </c>
      <c r="F81" s="680">
        <f t="shared" si="25"/>
        <v>38.346666666666664</v>
      </c>
      <c r="G81" s="680">
        <f t="shared" si="26"/>
        <v>43.666666666666664</v>
      </c>
      <c r="H81" s="679">
        <f t="shared" si="27"/>
        <v>46.5</v>
      </c>
      <c r="I81" s="679">
        <f t="shared" si="28"/>
        <v>35.333333333333336</v>
      </c>
      <c r="J81" s="679">
        <f t="shared" si="29"/>
        <v>35.200000000000003</v>
      </c>
      <c r="K81" s="673">
        <v>40</v>
      </c>
      <c r="L81" s="673">
        <v>42</v>
      </c>
      <c r="M81" s="673">
        <v>57</v>
      </c>
      <c r="N81" s="673">
        <v>59</v>
      </c>
      <c r="O81" s="673">
        <v>36</v>
      </c>
      <c r="P81" s="673">
        <v>28</v>
      </c>
      <c r="Q81" s="673">
        <v>43</v>
      </c>
      <c r="R81" s="673">
        <v>53</v>
      </c>
      <c r="S81" s="673">
        <v>45</v>
      </c>
      <c r="T81" s="673">
        <v>48</v>
      </c>
      <c r="U81" s="673">
        <v>41</v>
      </c>
      <c r="V81" s="665">
        <v>49</v>
      </c>
      <c r="W81" s="665">
        <v>30</v>
      </c>
      <c r="X81" s="665">
        <v>42</v>
      </c>
      <c r="Y81" s="665">
        <v>33</v>
      </c>
      <c r="Z81" s="665">
        <v>33</v>
      </c>
      <c r="AA81" s="665">
        <v>47</v>
      </c>
      <c r="AB81" s="665">
        <v>27</v>
      </c>
      <c r="AC81" s="665">
        <v>25</v>
      </c>
      <c r="AD81" s="665">
        <v>36</v>
      </c>
      <c r="AE81" s="665">
        <v>42</v>
      </c>
      <c r="AF81" s="665">
        <v>33</v>
      </c>
      <c r="AG81" s="665">
        <v>40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0.13702670568867753</v>
      </c>
      <c r="F82" s="680">
        <f t="shared" si="25"/>
        <v>39.953333333333333</v>
      </c>
      <c r="G82" s="680">
        <f t="shared" si="26"/>
        <v>36.666666666666664</v>
      </c>
      <c r="H82" s="679">
        <f t="shared" si="27"/>
        <v>51.833333333333336</v>
      </c>
      <c r="I82" s="679">
        <f t="shared" si="28"/>
        <v>42.666666666666664</v>
      </c>
      <c r="J82" s="679">
        <f t="shared" si="29"/>
        <v>32.799999999999997</v>
      </c>
      <c r="K82" s="673">
        <v>34</v>
      </c>
      <c r="L82" s="673">
        <v>36</v>
      </c>
      <c r="M82" s="673">
        <v>31</v>
      </c>
      <c r="N82" s="673">
        <v>64</v>
      </c>
      <c r="O82" s="673">
        <v>35</v>
      </c>
      <c r="P82" s="673">
        <v>20</v>
      </c>
      <c r="Q82" s="673">
        <v>52</v>
      </c>
      <c r="R82" s="673">
        <v>72</v>
      </c>
      <c r="S82" s="673">
        <v>34</v>
      </c>
      <c r="T82" s="673">
        <v>34</v>
      </c>
      <c r="U82" s="673">
        <v>51</v>
      </c>
      <c r="V82" s="665">
        <v>68</v>
      </c>
      <c r="W82" s="665">
        <v>41</v>
      </c>
      <c r="X82" s="665">
        <v>69</v>
      </c>
      <c r="Y82" s="665">
        <v>24</v>
      </c>
      <c r="Z82" s="665">
        <v>34</v>
      </c>
      <c r="AA82" s="665">
        <v>38</v>
      </c>
      <c r="AB82" s="665">
        <v>50</v>
      </c>
      <c r="AC82" s="665">
        <v>29</v>
      </c>
      <c r="AD82" s="665">
        <v>41</v>
      </c>
      <c r="AE82" s="665">
        <v>32</v>
      </c>
      <c r="AF82" s="665">
        <v>31</v>
      </c>
      <c r="AG82" s="665">
        <v>31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8.3615328333638203E-2</v>
      </c>
      <c r="F83" s="680">
        <f t="shared" si="25"/>
        <v>24.380000000000003</v>
      </c>
      <c r="G83" s="680">
        <f t="shared" si="26"/>
        <v>30.166666666666668</v>
      </c>
      <c r="H83" s="679">
        <f t="shared" si="27"/>
        <v>18.666666666666668</v>
      </c>
      <c r="I83" s="679">
        <f t="shared" si="28"/>
        <v>21.166666666666668</v>
      </c>
      <c r="J83" s="679">
        <f t="shared" si="29"/>
        <v>28.2</v>
      </c>
      <c r="K83" s="673">
        <v>31</v>
      </c>
      <c r="L83" s="673">
        <v>40</v>
      </c>
      <c r="M83" s="673">
        <v>44</v>
      </c>
      <c r="N83" s="673">
        <v>22</v>
      </c>
      <c r="O83" s="673">
        <v>25</v>
      </c>
      <c r="P83" s="673">
        <v>19</v>
      </c>
      <c r="Q83" s="673">
        <v>13</v>
      </c>
      <c r="R83" s="673">
        <v>12</v>
      </c>
      <c r="S83" s="673">
        <v>12</v>
      </c>
      <c r="T83" s="673">
        <v>27</v>
      </c>
      <c r="U83" s="673">
        <v>30</v>
      </c>
      <c r="V83" s="665">
        <v>18</v>
      </c>
      <c r="W83" s="665">
        <v>23</v>
      </c>
      <c r="X83" s="665">
        <v>25</v>
      </c>
      <c r="Y83" s="665">
        <v>24</v>
      </c>
      <c r="Z83" s="665">
        <v>5</v>
      </c>
      <c r="AA83" s="665">
        <v>26</v>
      </c>
      <c r="AB83" s="665">
        <v>24</v>
      </c>
      <c r="AC83" s="665">
        <v>33</v>
      </c>
      <c r="AD83" s="665">
        <v>26</v>
      </c>
      <c r="AE83" s="665">
        <v>25</v>
      </c>
      <c r="AF83" s="665">
        <v>39</v>
      </c>
      <c r="AG83" s="665">
        <v>18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0.1856479787817816</v>
      </c>
      <c r="F84" s="680">
        <f t="shared" si="25"/>
        <v>54.13</v>
      </c>
      <c r="G84" s="680">
        <f t="shared" si="26"/>
        <v>51.833333333333336</v>
      </c>
      <c r="H84" s="679">
        <f t="shared" si="27"/>
        <v>72.833333333333329</v>
      </c>
      <c r="I84" s="679">
        <f t="shared" si="28"/>
        <v>58.333333333333336</v>
      </c>
      <c r="J84" s="679">
        <f t="shared" si="29"/>
        <v>42.2</v>
      </c>
      <c r="K84" s="673">
        <v>50</v>
      </c>
      <c r="L84" s="673">
        <v>35</v>
      </c>
      <c r="M84" s="673">
        <v>54</v>
      </c>
      <c r="N84" s="673">
        <v>55</v>
      </c>
      <c r="O84" s="673">
        <v>69</v>
      </c>
      <c r="P84" s="673">
        <v>48</v>
      </c>
      <c r="Q84" s="673">
        <v>76</v>
      </c>
      <c r="R84" s="673">
        <v>77</v>
      </c>
      <c r="S84" s="673">
        <v>47</v>
      </c>
      <c r="T84" s="673">
        <v>81</v>
      </c>
      <c r="U84" s="673">
        <v>79</v>
      </c>
      <c r="V84" s="665">
        <v>77</v>
      </c>
      <c r="W84" s="665">
        <v>76</v>
      </c>
      <c r="X84" s="665">
        <v>80</v>
      </c>
      <c r="Y84" s="665">
        <v>43</v>
      </c>
      <c r="Z84" s="665">
        <v>34</v>
      </c>
      <c r="AA84" s="665">
        <v>64</v>
      </c>
      <c r="AB84" s="665">
        <v>53</v>
      </c>
      <c r="AC84" s="665">
        <v>40</v>
      </c>
      <c r="AD84" s="665">
        <v>61</v>
      </c>
      <c r="AE84" s="665">
        <v>51</v>
      </c>
      <c r="AF84" s="665">
        <v>30</v>
      </c>
      <c r="AG84" s="665">
        <v>29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0.14613819279312237</v>
      </c>
      <c r="F85" s="680">
        <f t="shared" si="25"/>
        <v>42.61</v>
      </c>
      <c r="G85" s="680">
        <f t="shared" si="26"/>
        <v>50.5</v>
      </c>
      <c r="H85" s="679">
        <f t="shared" si="27"/>
        <v>54</v>
      </c>
      <c r="I85" s="679">
        <f t="shared" si="28"/>
        <v>36.666666666666664</v>
      </c>
      <c r="J85" s="679">
        <f t="shared" si="29"/>
        <v>39.4</v>
      </c>
      <c r="K85" s="673">
        <v>47</v>
      </c>
      <c r="L85" s="673">
        <v>32</v>
      </c>
      <c r="M85" s="673">
        <v>48</v>
      </c>
      <c r="N85" s="673">
        <v>58</v>
      </c>
      <c r="O85" s="673">
        <v>59</v>
      </c>
      <c r="P85" s="673">
        <v>59</v>
      </c>
      <c r="Q85" s="673">
        <v>63</v>
      </c>
      <c r="R85" s="673">
        <v>65</v>
      </c>
      <c r="S85" s="673">
        <v>57</v>
      </c>
      <c r="T85" s="673">
        <v>46</v>
      </c>
      <c r="U85" s="673">
        <v>44</v>
      </c>
      <c r="V85" s="665">
        <v>49</v>
      </c>
      <c r="W85" s="665">
        <v>43</v>
      </c>
      <c r="X85" s="665">
        <v>45</v>
      </c>
      <c r="Y85" s="665">
        <v>31</v>
      </c>
      <c r="Z85" s="665">
        <v>24</v>
      </c>
      <c r="AA85" s="665">
        <v>41</v>
      </c>
      <c r="AB85" s="665">
        <v>36</v>
      </c>
      <c r="AC85" s="665">
        <v>33</v>
      </c>
      <c r="AD85" s="665">
        <v>45</v>
      </c>
      <c r="AE85" s="665">
        <v>53</v>
      </c>
      <c r="AF85" s="665">
        <v>44</v>
      </c>
      <c r="AG85" s="665">
        <v>22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0.22530638375708797</v>
      </c>
      <c r="F86" s="680">
        <f t="shared" si="25"/>
        <v>65.693333333333328</v>
      </c>
      <c r="G86" s="680">
        <f t="shared" si="26"/>
        <v>82.5</v>
      </c>
      <c r="H86" s="679">
        <f t="shared" si="27"/>
        <v>74.666666666666671</v>
      </c>
      <c r="I86" s="679">
        <f t="shared" si="28"/>
        <v>67.833333333333329</v>
      </c>
      <c r="J86" s="679">
        <f t="shared" si="29"/>
        <v>55.4</v>
      </c>
      <c r="K86" s="673">
        <v>78</v>
      </c>
      <c r="L86" s="673">
        <v>58</v>
      </c>
      <c r="M86" s="673">
        <v>69</v>
      </c>
      <c r="N86" s="673">
        <v>98</v>
      </c>
      <c r="O86" s="673">
        <v>112</v>
      </c>
      <c r="P86" s="673">
        <v>80</v>
      </c>
      <c r="Q86" s="673">
        <v>95</v>
      </c>
      <c r="R86" s="673">
        <v>100</v>
      </c>
      <c r="S86" s="673">
        <v>66</v>
      </c>
      <c r="T86" s="673">
        <v>56</v>
      </c>
      <c r="U86" s="673">
        <v>60</v>
      </c>
      <c r="V86" s="665">
        <v>71</v>
      </c>
      <c r="W86" s="665">
        <v>74</v>
      </c>
      <c r="X86" s="665">
        <v>67</v>
      </c>
      <c r="Y86" s="665">
        <v>71</v>
      </c>
      <c r="Z86" s="665">
        <v>54</v>
      </c>
      <c r="AA86" s="665">
        <v>71</v>
      </c>
      <c r="AB86" s="665">
        <v>70</v>
      </c>
      <c r="AC86" s="665">
        <v>65</v>
      </c>
      <c r="AD86" s="665">
        <v>60</v>
      </c>
      <c r="AE86" s="665">
        <v>58</v>
      </c>
      <c r="AF86" s="665">
        <v>60</v>
      </c>
      <c r="AG86" s="665">
        <v>34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048576 E17:AH27 F8:AH14">
    <cfRule type="cellIs" dxfId="58" priority="9" operator="equal">
      <formula>0</formula>
    </cfRule>
  </conditionalFormatting>
  <conditionalFormatting sqref="K31:V86">
    <cfRule type="cellIs" dxfId="57" priority="8" operator="equal">
      <formula>0</formula>
    </cfRule>
  </conditionalFormatting>
  <conditionalFormatting sqref="G16:J16 G15 I15">
    <cfRule type="cellIs" dxfId="56" priority="7" operator="equal">
      <formula>0</formula>
    </cfRule>
  </conditionalFormatting>
  <conditionalFormatting sqref="G7:J7 G6 I6">
    <cfRule type="cellIs" dxfId="55" priority="6" operator="equal">
      <formula>0</formula>
    </cfRule>
  </conditionalFormatting>
  <conditionalFormatting sqref="F15">
    <cfRule type="cellIs" dxfId="54" priority="5" operator="equal">
      <formula>0</formula>
    </cfRule>
  </conditionalFormatting>
  <conditionalFormatting sqref="F28">
    <cfRule type="cellIs" dxfId="53" priority="4" operator="equal">
      <formula>0</formula>
    </cfRule>
  </conditionalFormatting>
  <conditionalFormatting sqref="E8:E14 E1:E6 E30:E1048576">
    <cfRule type="cellIs" dxfId="52" priority="3" operator="equal">
      <formula>0</formula>
    </cfRule>
  </conditionalFormatting>
  <conditionalFormatting sqref="E15">
    <cfRule type="cellIs" dxfId="51" priority="2" operator="equal">
      <formula>0</formula>
    </cfRule>
  </conditionalFormatting>
  <conditionalFormatting sqref="E28">
    <cfRule type="cellIs" dxfId="50" priority="1" operator="equal">
      <formula>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79998168889431442"/>
  </sheetPr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503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504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3973.4533333333338</v>
      </c>
      <c r="G8" s="678">
        <f>SUM(G9:G12)</f>
        <v>4139.5</v>
      </c>
      <c r="H8" s="671">
        <f t="shared" ref="H8:J8" si="0">SUM(H9:H12)</f>
        <v>3878.6666666666665</v>
      </c>
      <c r="I8" s="671">
        <f t="shared" si="0"/>
        <v>3978.1666666666665</v>
      </c>
      <c r="J8" s="671">
        <f t="shared" si="0"/>
        <v>3975.8</v>
      </c>
      <c r="K8" s="671">
        <f t="shared" ref="K8:AH8" si="1">SUM(K9:K12)</f>
        <v>4360</v>
      </c>
      <c r="L8" s="671">
        <f t="shared" si="1"/>
        <v>4116</v>
      </c>
      <c r="M8" s="671">
        <f t="shared" si="1"/>
        <v>4297</v>
      </c>
      <c r="N8" s="671">
        <f t="shared" si="1"/>
        <v>4095</v>
      </c>
      <c r="O8" s="671">
        <f t="shared" si="1"/>
        <v>4089</v>
      </c>
      <c r="P8" s="671">
        <f t="shared" si="1"/>
        <v>3880</v>
      </c>
      <c r="Q8" s="671">
        <f t="shared" si="1"/>
        <v>3989</v>
      </c>
      <c r="R8" s="671">
        <f t="shared" si="1"/>
        <v>3943</v>
      </c>
      <c r="S8" s="671">
        <f t="shared" si="1"/>
        <v>3591</v>
      </c>
      <c r="T8" s="671">
        <f t="shared" si="1"/>
        <v>4049</v>
      </c>
      <c r="U8" s="671">
        <f t="shared" si="1"/>
        <v>3983</v>
      </c>
      <c r="V8" s="671">
        <f t="shared" si="1"/>
        <v>3717</v>
      </c>
      <c r="W8" s="671">
        <f t="shared" si="1"/>
        <v>4039</v>
      </c>
      <c r="X8" s="671">
        <f t="shared" si="1"/>
        <v>4116</v>
      </c>
      <c r="Y8" s="671">
        <f t="shared" si="1"/>
        <v>4182</v>
      </c>
      <c r="Z8" s="671">
        <f t="shared" si="1"/>
        <v>3731</v>
      </c>
      <c r="AA8" s="671">
        <f t="shared" si="1"/>
        <v>3951</v>
      </c>
      <c r="AB8" s="671">
        <f t="shared" si="1"/>
        <v>3850</v>
      </c>
      <c r="AC8" s="671">
        <f t="shared" si="1"/>
        <v>3711</v>
      </c>
      <c r="AD8" s="671">
        <f t="shared" si="1"/>
        <v>3977</v>
      </c>
      <c r="AE8" s="671">
        <f t="shared" si="1"/>
        <v>3835</v>
      </c>
      <c r="AF8" s="671">
        <f t="shared" si="1"/>
        <v>4013</v>
      </c>
      <c r="AG8" s="671">
        <f t="shared" si="1"/>
        <v>4343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0.20205597817515575</v>
      </c>
      <c r="F9" s="683">
        <f t="shared" ref="F9:F12" si="3">G9*10%+H9*20%+I9*30%+J9*40%</f>
        <v>802.86</v>
      </c>
      <c r="G9" s="675">
        <f t="shared" ref="G9:G12" si="4">AVERAGE(K9:P9)</f>
        <v>791</v>
      </c>
      <c r="H9" s="672">
        <f t="shared" ref="H9:H12" si="5">AVERAGE(Q9:V9)</f>
        <v>750.5</v>
      </c>
      <c r="I9" s="672">
        <f t="shared" ref="I9:I12" si="6">AVERAGE(W9:AB9)</f>
        <v>849</v>
      </c>
      <c r="J9" s="672">
        <f t="shared" ref="J9:J12" si="7">AVERAGE(AC9:AG9)</f>
        <v>797.4</v>
      </c>
      <c r="K9" s="673">
        <f>SUMIF($B$18:$B$25,$C9,K$18:K$25)</f>
        <v>800</v>
      </c>
      <c r="L9" s="673">
        <f t="shared" ref="L9:AA12" si="8">SUMIF($B$18:$B$25,$C9,L$18:L$25)</f>
        <v>795</v>
      </c>
      <c r="M9" s="673">
        <f t="shared" si="8"/>
        <v>817</v>
      </c>
      <c r="N9" s="673">
        <f t="shared" si="8"/>
        <v>795</v>
      </c>
      <c r="O9" s="673">
        <f t="shared" si="8"/>
        <v>802</v>
      </c>
      <c r="P9" s="673">
        <f t="shared" si="8"/>
        <v>737</v>
      </c>
      <c r="Q9" s="673">
        <f t="shared" si="8"/>
        <v>755</v>
      </c>
      <c r="R9" s="673">
        <f t="shared" si="8"/>
        <v>761</v>
      </c>
      <c r="S9" s="673">
        <f t="shared" si="8"/>
        <v>697</v>
      </c>
      <c r="T9" s="673">
        <f t="shared" si="8"/>
        <v>788</v>
      </c>
      <c r="U9" s="673">
        <f t="shared" si="8"/>
        <v>761</v>
      </c>
      <c r="V9" s="673">
        <f t="shared" si="8"/>
        <v>741</v>
      </c>
      <c r="W9" s="673">
        <f t="shared" si="8"/>
        <v>828</v>
      </c>
      <c r="X9" s="673">
        <f t="shared" si="8"/>
        <v>851</v>
      </c>
      <c r="Y9" s="673">
        <f t="shared" si="8"/>
        <v>873</v>
      </c>
      <c r="Z9" s="673">
        <f t="shared" si="8"/>
        <v>812</v>
      </c>
      <c r="AA9" s="673">
        <f t="shared" si="8"/>
        <v>882</v>
      </c>
      <c r="AB9" s="673">
        <f t="shared" ref="AB9:AG12" si="9">SUMIF($B$18:$B$25,$C9,AB$18:AB$25)</f>
        <v>848</v>
      </c>
      <c r="AC9" s="673">
        <f t="shared" si="9"/>
        <v>785</v>
      </c>
      <c r="AD9" s="673">
        <f t="shared" si="9"/>
        <v>821</v>
      </c>
      <c r="AE9" s="673">
        <f t="shared" si="9"/>
        <v>757</v>
      </c>
      <c r="AF9" s="673">
        <f t="shared" si="9"/>
        <v>782</v>
      </c>
      <c r="AG9" s="673">
        <f t="shared" si="9"/>
        <v>842</v>
      </c>
      <c r="AH9" s="673"/>
    </row>
    <row r="10" spans="1:34">
      <c r="C10" s="1002" t="s">
        <v>332</v>
      </c>
      <c r="D10" s="984"/>
      <c r="E10" s="690">
        <f t="shared" si="2"/>
        <v>0.30486327594133061</v>
      </c>
      <c r="F10" s="683">
        <f t="shared" si="3"/>
        <v>1211.3600000000001</v>
      </c>
      <c r="G10" s="675">
        <f t="shared" si="4"/>
        <v>1243</v>
      </c>
      <c r="H10" s="672">
        <f t="shared" si="5"/>
        <v>1116.5</v>
      </c>
      <c r="I10" s="672">
        <f t="shared" si="6"/>
        <v>1196</v>
      </c>
      <c r="J10" s="672">
        <f t="shared" si="7"/>
        <v>1262.4000000000001</v>
      </c>
      <c r="K10" s="673">
        <f t="shared" ref="K10:K12" si="10">SUMIF($B$18:$B$25,$C10,K$18:K$25)</f>
        <v>1314</v>
      </c>
      <c r="L10" s="673">
        <f t="shared" si="8"/>
        <v>1223</v>
      </c>
      <c r="M10" s="673">
        <f t="shared" si="8"/>
        <v>1297</v>
      </c>
      <c r="N10" s="673">
        <f t="shared" si="8"/>
        <v>1250</v>
      </c>
      <c r="O10" s="673">
        <f t="shared" si="8"/>
        <v>1207</v>
      </c>
      <c r="P10" s="673">
        <f t="shared" si="8"/>
        <v>1167</v>
      </c>
      <c r="Q10" s="673">
        <f t="shared" si="8"/>
        <v>1193</v>
      </c>
      <c r="R10" s="673">
        <f t="shared" si="8"/>
        <v>1158</v>
      </c>
      <c r="S10" s="673">
        <f t="shared" si="8"/>
        <v>1012</v>
      </c>
      <c r="T10" s="673">
        <f t="shared" si="8"/>
        <v>1150</v>
      </c>
      <c r="U10" s="673">
        <f t="shared" si="8"/>
        <v>1148</v>
      </c>
      <c r="V10" s="673">
        <f t="shared" si="8"/>
        <v>1038</v>
      </c>
      <c r="W10" s="673">
        <f t="shared" si="8"/>
        <v>1178</v>
      </c>
      <c r="X10" s="673">
        <f t="shared" si="8"/>
        <v>1162</v>
      </c>
      <c r="Y10" s="673">
        <f t="shared" si="8"/>
        <v>1291</v>
      </c>
      <c r="Z10" s="673">
        <f t="shared" si="8"/>
        <v>1120</v>
      </c>
      <c r="AA10" s="673">
        <f t="shared" si="8"/>
        <v>1209</v>
      </c>
      <c r="AB10" s="673">
        <f t="shared" si="9"/>
        <v>1216</v>
      </c>
      <c r="AC10" s="673">
        <f t="shared" si="9"/>
        <v>1175</v>
      </c>
      <c r="AD10" s="673">
        <f t="shared" si="9"/>
        <v>1271</v>
      </c>
      <c r="AE10" s="673">
        <f t="shared" si="9"/>
        <v>1237</v>
      </c>
      <c r="AF10" s="673">
        <f t="shared" si="9"/>
        <v>1250</v>
      </c>
      <c r="AG10" s="673">
        <f t="shared" si="9"/>
        <v>1379</v>
      </c>
      <c r="AH10" s="673"/>
    </row>
    <row r="11" spans="1:34">
      <c r="C11" s="1002" t="s">
        <v>333</v>
      </c>
      <c r="D11" s="984"/>
      <c r="E11" s="690">
        <f t="shared" si="2"/>
        <v>0.26285112194598148</v>
      </c>
      <c r="F11" s="683">
        <f t="shared" si="3"/>
        <v>1044.4266666666667</v>
      </c>
      <c r="G11" s="675">
        <f t="shared" si="4"/>
        <v>1125.1666666666667</v>
      </c>
      <c r="H11" s="672">
        <f t="shared" si="5"/>
        <v>1068.5</v>
      </c>
      <c r="I11" s="672">
        <f t="shared" si="6"/>
        <v>1033.5</v>
      </c>
      <c r="J11" s="672">
        <f t="shared" si="7"/>
        <v>1020.4</v>
      </c>
      <c r="K11" s="673">
        <f t="shared" si="10"/>
        <v>1222</v>
      </c>
      <c r="L11" s="673">
        <f t="shared" si="8"/>
        <v>1112</v>
      </c>
      <c r="M11" s="673">
        <f t="shared" si="8"/>
        <v>1176</v>
      </c>
      <c r="N11" s="673">
        <f t="shared" si="8"/>
        <v>1097</v>
      </c>
      <c r="O11" s="673">
        <f t="shared" si="8"/>
        <v>1101</v>
      </c>
      <c r="P11" s="673">
        <f t="shared" si="8"/>
        <v>1043</v>
      </c>
      <c r="Q11" s="673">
        <f t="shared" si="8"/>
        <v>1071</v>
      </c>
      <c r="R11" s="673">
        <f t="shared" si="8"/>
        <v>1068</v>
      </c>
      <c r="S11" s="673">
        <f t="shared" si="8"/>
        <v>1017</v>
      </c>
      <c r="T11" s="673">
        <f t="shared" si="8"/>
        <v>1159</v>
      </c>
      <c r="U11" s="673">
        <f t="shared" si="8"/>
        <v>1096</v>
      </c>
      <c r="V11" s="673">
        <f t="shared" si="8"/>
        <v>1000</v>
      </c>
      <c r="W11" s="673">
        <f t="shared" si="8"/>
        <v>1096</v>
      </c>
      <c r="X11" s="673">
        <f t="shared" si="8"/>
        <v>1134</v>
      </c>
      <c r="Y11" s="673">
        <f t="shared" si="8"/>
        <v>1053</v>
      </c>
      <c r="Z11" s="673">
        <f t="shared" si="8"/>
        <v>955</v>
      </c>
      <c r="AA11" s="673">
        <f t="shared" si="8"/>
        <v>1004</v>
      </c>
      <c r="AB11" s="673">
        <f t="shared" si="9"/>
        <v>959</v>
      </c>
      <c r="AC11" s="673">
        <f t="shared" si="9"/>
        <v>939</v>
      </c>
      <c r="AD11" s="673">
        <f t="shared" si="9"/>
        <v>1020</v>
      </c>
      <c r="AE11" s="673">
        <f t="shared" si="9"/>
        <v>978</v>
      </c>
      <c r="AF11" s="673">
        <f t="shared" si="9"/>
        <v>1032</v>
      </c>
      <c r="AG11" s="673">
        <f t="shared" si="9"/>
        <v>1133</v>
      </c>
      <c r="AH11" s="673"/>
    </row>
    <row r="12" spans="1:34">
      <c r="C12" s="1002" t="s">
        <v>334</v>
      </c>
      <c r="D12" s="984"/>
      <c r="E12" s="690">
        <f t="shared" si="2"/>
        <v>0.23022962393753205</v>
      </c>
      <c r="F12" s="683">
        <f t="shared" si="3"/>
        <v>914.80666666666662</v>
      </c>
      <c r="G12" s="675">
        <f t="shared" si="4"/>
        <v>980.33333333333337</v>
      </c>
      <c r="H12" s="672">
        <f t="shared" si="5"/>
        <v>943.16666666666663</v>
      </c>
      <c r="I12" s="672">
        <f t="shared" si="6"/>
        <v>899.66666666666663</v>
      </c>
      <c r="J12" s="672">
        <f t="shared" si="7"/>
        <v>895.6</v>
      </c>
      <c r="K12" s="673">
        <f t="shared" si="10"/>
        <v>1024</v>
      </c>
      <c r="L12" s="673">
        <f t="shared" si="8"/>
        <v>986</v>
      </c>
      <c r="M12" s="673">
        <f t="shared" si="8"/>
        <v>1007</v>
      </c>
      <c r="N12" s="673">
        <f t="shared" si="8"/>
        <v>953</v>
      </c>
      <c r="O12" s="673">
        <f t="shared" si="8"/>
        <v>979</v>
      </c>
      <c r="P12" s="673">
        <f t="shared" si="8"/>
        <v>933</v>
      </c>
      <c r="Q12" s="673">
        <f t="shared" si="8"/>
        <v>970</v>
      </c>
      <c r="R12" s="673">
        <f t="shared" si="8"/>
        <v>956</v>
      </c>
      <c r="S12" s="673">
        <f t="shared" si="8"/>
        <v>865</v>
      </c>
      <c r="T12" s="673">
        <f t="shared" si="8"/>
        <v>952</v>
      </c>
      <c r="U12" s="673">
        <f t="shared" si="8"/>
        <v>978</v>
      </c>
      <c r="V12" s="673">
        <f t="shared" si="8"/>
        <v>938</v>
      </c>
      <c r="W12" s="673">
        <f t="shared" si="8"/>
        <v>937</v>
      </c>
      <c r="X12" s="673">
        <f t="shared" si="8"/>
        <v>969</v>
      </c>
      <c r="Y12" s="673">
        <f t="shared" si="8"/>
        <v>965</v>
      </c>
      <c r="Z12" s="673">
        <f t="shared" si="8"/>
        <v>844</v>
      </c>
      <c r="AA12" s="673">
        <f t="shared" si="8"/>
        <v>856</v>
      </c>
      <c r="AB12" s="673">
        <f t="shared" si="9"/>
        <v>827</v>
      </c>
      <c r="AC12" s="673">
        <f t="shared" si="9"/>
        <v>812</v>
      </c>
      <c r="AD12" s="673">
        <f t="shared" si="9"/>
        <v>865</v>
      </c>
      <c r="AE12" s="673">
        <f t="shared" si="9"/>
        <v>863</v>
      </c>
      <c r="AF12" s="673">
        <f t="shared" si="9"/>
        <v>949</v>
      </c>
      <c r="AG12" s="673">
        <f t="shared" si="9"/>
        <v>989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0.99999999999999978</v>
      </c>
      <c r="F17" s="684">
        <f>SUM(F18:F25)</f>
        <v>3973.4533333333329</v>
      </c>
      <c r="G17" s="674">
        <f>SUM(G18:G25)</f>
        <v>4139.5</v>
      </c>
      <c r="H17" s="674">
        <f t="shared" ref="H17:J17" si="12">SUM(H18:H25)</f>
        <v>3878.666666666667</v>
      </c>
      <c r="I17" s="674">
        <f t="shared" si="12"/>
        <v>3978.166666666667</v>
      </c>
      <c r="J17" s="674">
        <f t="shared" si="12"/>
        <v>3975.8</v>
      </c>
      <c r="K17" s="671">
        <f t="shared" ref="K17:AH17" si="13">SUM(K18:K25)</f>
        <v>4360</v>
      </c>
      <c r="L17" s="671">
        <f t="shared" si="13"/>
        <v>4116</v>
      </c>
      <c r="M17" s="671">
        <f t="shared" si="13"/>
        <v>4297</v>
      </c>
      <c r="N17" s="671">
        <f t="shared" si="13"/>
        <v>4095</v>
      </c>
      <c r="O17" s="671">
        <f t="shared" si="13"/>
        <v>4089</v>
      </c>
      <c r="P17" s="671">
        <f t="shared" si="13"/>
        <v>3880</v>
      </c>
      <c r="Q17" s="671">
        <f t="shared" si="13"/>
        <v>3989</v>
      </c>
      <c r="R17" s="671">
        <f t="shared" si="13"/>
        <v>3943</v>
      </c>
      <c r="S17" s="671">
        <f t="shared" si="13"/>
        <v>3591</v>
      </c>
      <c r="T17" s="671">
        <f t="shared" si="13"/>
        <v>4049</v>
      </c>
      <c r="U17" s="671">
        <f t="shared" si="13"/>
        <v>3983</v>
      </c>
      <c r="V17" s="671">
        <f t="shared" si="13"/>
        <v>3717</v>
      </c>
      <c r="W17" s="671">
        <f t="shared" si="13"/>
        <v>4039</v>
      </c>
      <c r="X17" s="671">
        <f t="shared" si="13"/>
        <v>4116</v>
      </c>
      <c r="Y17" s="671">
        <f t="shared" si="13"/>
        <v>4182</v>
      </c>
      <c r="Z17" s="671">
        <f t="shared" si="13"/>
        <v>3731</v>
      </c>
      <c r="AA17" s="671">
        <f t="shared" si="13"/>
        <v>3951</v>
      </c>
      <c r="AB17" s="671">
        <f t="shared" si="13"/>
        <v>3850</v>
      </c>
      <c r="AC17" s="671">
        <f t="shared" si="13"/>
        <v>3711</v>
      </c>
      <c r="AD17" s="671">
        <f t="shared" si="13"/>
        <v>3977</v>
      </c>
      <c r="AE17" s="671">
        <f t="shared" si="13"/>
        <v>3835</v>
      </c>
      <c r="AF17" s="671">
        <f t="shared" si="13"/>
        <v>4013</v>
      </c>
      <c r="AG17" s="671">
        <f t="shared" si="13"/>
        <v>4343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0.15630316534064403</v>
      </c>
      <c r="F18" s="683">
        <f t="shared" ref="F18:F25" si="14">G18*10%+H18*20%+I18*30%+J18*40%</f>
        <v>621.06333333333328</v>
      </c>
      <c r="G18" s="675">
        <f t="shared" ref="G18:G25" si="15">AVERAGE(K18:P18)</f>
        <v>633.83333333333337</v>
      </c>
      <c r="H18" s="675">
        <f t="shared" ref="H18:H25" si="16">AVERAGE(Q18:V18)</f>
        <v>598</v>
      </c>
      <c r="I18" s="675">
        <f t="shared" ref="I18:I25" si="17">AVERAGE(W18:AB18)</f>
        <v>662.66666666666663</v>
      </c>
      <c r="J18" s="675">
        <f t="shared" ref="J18:J25" si="18">AVERAGE(AC18:AG18)</f>
        <v>598.20000000000005</v>
      </c>
      <c r="K18" s="673">
        <f>SUMIF($B$31:$B$86,$C18,K$31:K$86)</f>
        <v>633</v>
      </c>
      <c r="L18" s="673">
        <f t="shared" ref="L18:AA25" si="19">SUMIF($B$31:$B$86,$C18,L$31:L$86)</f>
        <v>636</v>
      </c>
      <c r="M18" s="673">
        <f t="shared" si="19"/>
        <v>656</v>
      </c>
      <c r="N18" s="673">
        <f t="shared" si="19"/>
        <v>641</v>
      </c>
      <c r="O18" s="673">
        <f t="shared" si="19"/>
        <v>646</v>
      </c>
      <c r="P18" s="673">
        <f t="shared" si="19"/>
        <v>591</v>
      </c>
      <c r="Q18" s="673">
        <f t="shared" si="19"/>
        <v>619</v>
      </c>
      <c r="R18" s="673">
        <f t="shared" si="19"/>
        <v>624</v>
      </c>
      <c r="S18" s="673">
        <f t="shared" si="19"/>
        <v>538</v>
      </c>
      <c r="T18" s="673">
        <f t="shared" si="19"/>
        <v>624</v>
      </c>
      <c r="U18" s="673">
        <f t="shared" si="19"/>
        <v>598</v>
      </c>
      <c r="V18" s="673">
        <f t="shared" si="19"/>
        <v>585</v>
      </c>
      <c r="W18" s="673">
        <f t="shared" si="19"/>
        <v>645</v>
      </c>
      <c r="X18" s="673">
        <f t="shared" si="19"/>
        <v>670</v>
      </c>
      <c r="Y18" s="673">
        <f t="shared" si="19"/>
        <v>692</v>
      </c>
      <c r="Z18" s="673">
        <f t="shared" si="19"/>
        <v>634</v>
      </c>
      <c r="AA18" s="673">
        <f t="shared" si="19"/>
        <v>685</v>
      </c>
      <c r="AB18" s="673">
        <f t="shared" ref="AB18:AG25" si="20">SUMIF($B$31:$B$86,$C18,AB$31:AB$86)</f>
        <v>650</v>
      </c>
      <c r="AC18" s="673">
        <f t="shared" si="20"/>
        <v>587</v>
      </c>
      <c r="AD18" s="673">
        <f t="shared" si="20"/>
        <v>618</v>
      </c>
      <c r="AE18" s="673">
        <f t="shared" si="20"/>
        <v>574</v>
      </c>
      <c r="AF18" s="673">
        <f t="shared" si="20"/>
        <v>579</v>
      </c>
      <c r="AG18" s="673">
        <f t="shared" si="20"/>
        <v>633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4.5752812834511707E-2</v>
      </c>
      <c r="F19" s="683">
        <f t="shared" si="14"/>
        <v>181.79666666666668</v>
      </c>
      <c r="G19" s="675">
        <f t="shared" si="15"/>
        <v>157.16666666666666</v>
      </c>
      <c r="H19" s="675">
        <f t="shared" si="16"/>
        <v>152.5</v>
      </c>
      <c r="I19" s="675">
        <f t="shared" si="17"/>
        <v>186.33333333333334</v>
      </c>
      <c r="J19" s="675">
        <f t="shared" si="18"/>
        <v>199.2</v>
      </c>
      <c r="K19" s="673">
        <f t="shared" ref="K19:K25" si="21">SUMIF($B$31:$B$86,$C19,K$31:K$86)</f>
        <v>167</v>
      </c>
      <c r="L19" s="673">
        <f t="shared" si="19"/>
        <v>159</v>
      </c>
      <c r="M19" s="673">
        <f t="shared" si="19"/>
        <v>161</v>
      </c>
      <c r="N19" s="673">
        <f t="shared" si="19"/>
        <v>154</v>
      </c>
      <c r="O19" s="673">
        <f t="shared" si="19"/>
        <v>156</v>
      </c>
      <c r="P19" s="673">
        <f t="shared" si="19"/>
        <v>146</v>
      </c>
      <c r="Q19" s="673">
        <f t="shared" si="19"/>
        <v>136</v>
      </c>
      <c r="R19" s="673">
        <f t="shared" si="19"/>
        <v>137</v>
      </c>
      <c r="S19" s="673">
        <f t="shared" si="19"/>
        <v>159</v>
      </c>
      <c r="T19" s="673">
        <f t="shared" si="19"/>
        <v>164</v>
      </c>
      <c r="U19" s="673">
        <f t="shared" si="19"/>
        <v>163</v>
      </c>
      <c r="V19" s="673">
        <f t="shared" si="19"/>
        <v>156</v>
      </c>
      <c r="W19" s="673">
        <f t="shared" si="19"/>
        <v>183</v>
      </c>
      <c r="X19" s="673">
        <f t="shared" si="19"/>
        <v>181</v>
      </c>
      <c r="Y19" s="673">
        <f t="shared" si="19"/>
        <v>181</v>
      </c>
      <c r="Z19" s="673">
        <f t="shared" si="19"/>
        <v>178</v>
      </c>
      <c r="AA19" s="673">
        <f t="shared" si="19"/>
        <v>197</v>
      </c>
      <c r="AB19" s="673">
        <f t="shared" si="20"/>
        <v>198</v>
      </c>
      <c r="AC19" s="673">
        <f t="shared" si="20"/>
        <v>198</v>
      </c>
      <c r="AD19" s="673">
        <f t="shared" si="20"/>
        <v>203</v>
      </c>
      <c r="AE19" s="673">
        <f t="shared" si="20"/>
        <v>183</v>
      </c>
      <c r="AF19" s="673">
        <f t="shared" si="20"/>
        <v>203</v>
      </c>
      <c r="AG19" s="673">
        <f t="shared" si="20"/>
        <v>209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0.15173786697717184</v>
      </c>
      <c r="F20" s="683">
        <f t="shared" si="14"/>
        <v>602.9233333333334</v>
      </c>
      <c r="G20" s="675">
        <f t="shared" si="15"/>
        <v>636</v>
      </c>
      <c r="H20" s="675">
        <f t="shared" si="16"/>
        <v>577.66666666666663</v>
      </c>
      <c r="I20" s="675">
        <f t="shared" si="17"/>
        <v>607.83333333333337</v>
      </c>
      <c r="J20" s="675">
        <f t="shared" si="18"/>
        <v>603.6</v>
      </c>
      <c r="K20" s="673">
        <f t="shared" si="21"/>
        <v>640</v>
      </c>
      <c r="L20" s="673">
        <f t="shared" si="19"/>
        <v>611</v>
      </c>
      <c r="M20" s="673">
        <f t="shared" si="19"/>
        <v>659</v>
      </c>
      <c r="N20" s="673">
        <f t="shared" si="19"/>
        <v>656</v>
      </c>
      <c r="O20" s="673">
        <f t="shared" si="19"/>
        <v>640</v>
      </c>
      <c r="P20" s="673">
        <f t="shared" si="19"/>
        <v>610</v>
      </c>
      <c r="Q20" s="673">
        <f t="shared" si="19"/>
        <v>620</v>
      </c>
      <c r="R20" s="673">
        <f t="shared" si="19"/>
        <v>615</v>
      </c>
      <c r="S20" s="673">
        <f t="shared" si="19"/>
        <v>512</v>
      </c>
      <c r="T20" s="673">
        <f t="shared" si="19"/>
        <v>592</v>
      </c>
      <c r="U20" s="673">
        <f t="shared" si="19"/>
        <v>583</v>
      </c>
      <c r="V20" s="673">
        <f t="shared" si="19"/>
        <v>544</v>
      </c>
      <c r="W20" s="673">
        <f t="shared" si="19"/>
        <v>624</v>
      </c>
      <c r="X20" s="673">
        <f t="shared" si="19"/>
        <v>604</v>
      </c>
      <c r="Y20" s="673">
        <f t="shared" si="19"/>
        <v>653</v>
      </c>
      <c r="Z20" s="673">
        <f t="shared" si="19"/>
        <v>563</v>
      </c>
      <c r="AA20" s="673">
        <f t="shared" si="19"/>
        <v>588</v>
      </c>
      <c r="AB20" s="673">
        <f t="shared" si="20"/>
        <v>615</v>
      </c>
      <c r="AC20" s="673">
        <f t="shared" si="20"/>
        <v>567</v>
      </c>
      <c r="AD20" s="673">
        <f t="shared" si="20"/>
        <v>614</v>
      </c>
      <c r="AE20" s="673">
        <f t="shared" si="20"/>
        <v>561</v>
      </c>
      <c r="AF20" s="673">
        <f t="shared" si="20"/>
        <v>607</v>
      </c>
      <c r="AG20" s="673">
        <f t="shared" si="20"/>
        <v>669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0.1531254089641588</v>
      </c>
      <c r="F21" s="683">
        <f t="shared" si="14"/>
        <v>608.43666666666672</v>
      </c>
      <c r="G21" s="675">
        <f t="shared" si="15"/>
        <v>607</v>
      </c>
      <c r="H21" s="675">
        <f t="shared" si="16"/>
        <v>538.83333333333337</v>
      </c>
      <c r="I21" s="675">
        <f t="shared" si="17"/>
        <v>588.16666666666663</v>
      </c>
      <c r="J21" s="675">
        <f t="shared" si="18"/>
        <v>658.8</v>
      </c>
      <c r="K21" s="673">
        <f t="shared" si="21"/>
        <v>674</v>
      </c>
      <c r="L21" s="673">
        <f t="shared" si="19"/>
        <v>612</v>
      </c>
      <c r="M21" s="673">
        <f t="shared" si="19"/>
        <v>638</v>
      </c>
      <c r="N21" s="673">
        <f t="shared" si="19"/>
        <v>594</v>
      </c>
      <c r="O21" s="673">
        <f t="shared" si="19"/>
        <v>567</v>
      </c>
      <c r="P21" s="673">
        <f t="shared" si="19"/>
        <v>557</v>
      </c>
      <c r="Q21" s="673">
        <f t="shared" si="19"/>
        <v>573</v>
      </c>
      <c r="R21" s="673">
        <f t="shared" si="19"/>
        <v>543</v>
      </c>
      <c r="S21" s="673">
        <f t="shared" si="19"/>
        <v>500</v>
      </c>
      <c r="T21" s="673">
        <f t="shared" si="19"/>
        <v>558</v>
      </c>
      <c r="U21" s="673">
        <f t="shared" si="19"/>
        <v>565</v>
      </c>
      <c r="V21" s="673">
        <f t="shared" si="19"/>
        <v>494</v>
      </c>
      <c r="W21" s="673">
        <f t="shared" si="19"/>
        <v>554</v>
      </c>
      <c r="X21" s="673">
        <f t="shared" si="19"/>
        <v>558</v>
      </c>
      <c r="Y21" s="673">
        <f t="shared" si="19"/>
        <v>638</v>
      </c>
      <c r="Z21" s="673">
        <f t="shared" si="19"/>
        <v>557</v>
      </c>
      <c r="AA21" s="673">
        <f t="shared" si="19"/>
        <v>621</v>
      </c>
      <c r="AB21" s="673">
        <f t="shared" si="20"/>
        <v>601</v>
      </c>
      <c r="AC21" s="673">
        <f t="shared" si="20"/>
        <v>608</v>
      </c>
      <c r="AD21" s="673">
        <f t="shared" si="20"/>
        <v>657</v>
      </c>
      <c r="AE21" s="673">
        <f t="shared" si="20"/>
        <v>676</v>
      </c>
      <c r="AF21" s="673">
        <f t="shared" si="20"/>
        <v>643</v>
      </c>
      <c r="AG21" s="673">
        <f t="shared" si="20"/>
        <v>710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0.14749973994074003</v>
      </c>
      <c r="F22" s="683">
        <f t="shared" si="14"/>
        <v>586.08333333333337</v>
      </c>
      <c r="G22" s="675">
        <f t="shared" si="15"/>
        <v>630.66666666666663</v>
      </c>
      <c r="H22" s="675">
        <f t="shared" si="16"/>
        <v>613.33333333333337</v>
      </c>
      <c r="I22" s="675">
        <f t="shared" si="17"/>
        <v>563.83333333333337</v>
      </c>
      <c r="J22" s="675">
        <f t="shared" si="18"/>
        <v>578</v>
      </c>
      <c r="K22" s="673">
        <f t="shared" si="21"/>
        <v>672</v>
      </c>
      <c r="L22" s="673">
        <f t="shared" si="19"/>
        <v>607</v>
      </c>
      <c r="M22" s="673">
        <f t="shared" si="19"/>
        <v>658</v>
      </c>
      <c r="N22" s="673">
        <f t="shared" si="19"/>
        <v>623</v>
      </c>
      <c r="O22" s="673">
        <f t="shared" si="19"/>
        <v>624</v>
      </c>
      <c r="P22" s="673">
        <f t="shared" si="19"/>
        <v>600</v>
      </c>
      <c r="Q22" s="673">
        <f t="shared" si="19"/>
        <v>618</v>
      </c>
      <c r="R22" s="673">
        <f t="shared" si="19"/>
        <v>635</v>
      </c>
      <c r="S22" s="673">
        <f t="shared" si="19"/>
        <v>575</v>
      </c>
      <c r="T22" s="673">
        <f t="shared" si="19"/>
        <v>670</v>
      </c>
      <c r="U22" s="673">
        <f t="shared" si="19"/>
        <v>624</v>
      </c>
      <c r="V22" s="673">
        <f t="shared" si="19"/>
        <v>558</v>
      </c>
      <c r="W22" s="673">
        <f t="shared" si="19"/>
        <v>644</v>
      </c>
      <c r="X22" s="673">
        <f t="shared" si="19"/>
        <v>653</v>
      </c>
      <c r="Y22" s="673">
        <f t="shared" si="19"/>
        <v>577</v>
      </c>
      <c r="Z22" s="673">
        <f t="shared" si="19"/>
        <v>501</v>
      </c>
      <c r="AA22" s="673">
        <f t="shared" si="19"/>
        <v>510</v>
      </c>
      <c r="AB22" s="673">
        <f t="shared" si="20"/>
        <v>498</v>
      </c>
      <c r="AC22" s="673">
        <f t="shared" si="20"/>
        <v>513</v>
      </c>
      <c r="AD22" s="673">
        <f t="shared" si="20"/>
        <v>581</v>
      </c>
      <c r="AE22" s="673">
        <f t="shared" si="20"/>
        <v>535</v>
      </c>
      <c r="AF22" s="673">
        <f t="shared" si="20"/>
        <v>612</v>
      </c>
      <c r="AG22" s="673">
        <f t="shared" si="20"/>
        <v>649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0.11535138200524145</v>
      </c>
      <c r="F23" s="683">
        <f t="shared" si="14"/>
        <v>458.34333333333336</v>
      </c>
      <c r="G23" s="675">
        <f t="shared" si="15"/>
        <v>494.5</v>
      </c>
      <c r="H23" s="675">
        <f t="shared" si="16"/>
        <v>455.16666666666669</v>
      </c>
      <c r="I23" s="675">
        <f t="shared" si="17"/>
        <v>469.66666666666669</v>
      </c>
      <c r="J23" s="675">
        <f t="shared" si="18"/>
        <v>442.4</v>
      </c>
      <c r="K23" s="673">
        <f t="shared" si="21"/>
        <v>550</v>
      </c>
      <c r="L23" s="673">
        <f t="shared" si="19"/>
        <v>505</v>
      </c>
      <c r="M23" s="673">
        <f t="shared" si="19"/>
        <v>518</v>
      </c>
      <c r="N23" s="673">
        <f t="shared" si="19"/>
        <v>474</v>
      </c>
      <c r="O23" s="673">
        <f t="shared" si="19"/>
        <v>477</v>
      </c>
      <c r="P23" s="673">
        <f t="shared" si="19"/>
        <v>443</v>
      </c>
      <c r="Q23" s="673">
        <f t="shared" si="19"/>
        <v>453</v>
      </c>
      <c r="R23" s="673">
        <f t="shared" si="19"/>
        <v>433</v>
      </c>
      <c r="S23" s="673">
        <f t="shared" si="19"/>
        <v>442</v>
      </c>
      <c r="T23" s="673">
        <f t="shared" si="19"/>
        <v>489</v>
      </c>
      <c r="U23" s="673">
        <f t="shared" si="19"/>
        <v>472</v>
      </c>
      <c r="V23" s="673">
        <f t="shared" si="19"/>
        <v>442</v>
      </c>
      <c r="W23" s="673">
        <f t="shared" si="19"/>
        <v>452</v>
      </c>
      <c r="X23" s="673">
        <f t="shared" si="19"/>
        <v>481</v>
      </c>
      <c r="Y23" s="673">
        <f t="shared" si="19"/>
        <v>476</v>
      </c>
      <c r="Z23" s="673">
        <f t="shared" si="19"/>
        <v>454</v>
      </c>
      <c r="AA23" s="673">
        <f t="shared" si="19"/>
        <v>494</v>
      </c>
      <c r="AB23" s="673">
        <f t="shared" si="20"/>
        <v>461</v>
      </c>
      <c r="AC23" s="673">
        <f t="shared" si="20"/>
        <v>426</v>
      </c>
      <c r="AD23" s="673">
        <f t="shared" si="20"/>
        <v>439</v>
      </c>
      <c r="AE23" s="673">
        <f t="shared" si="20"/>
        <v>443</v>
      </c>
      <c r="AF23" s="673">
        <f t="shared" si="20"/>
        <v>420</v>
      </c>
      <c r="AG23" s="673">
        <f t="shared" si="20"/>
        <v>484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0.12070105265277223</v>
      </c>
      <c r="F24" s="683">
        <f t="shared" si="14"/>
        <v>479.6</v>
      </c>
      <c r="G24" s="675">
        <f t="shared" si="15"/>
        <v>554.83333333333337</v>
      </c>
      <c r="H24" s="675">
        <f t="shared" si="16"/>
        <v>510.33333333333331</v>
      </c>
      <c r="I24" s="675">
        <f t="shared" si="17"/>
        <v>474.83333333333331</v>
      </c>
      <c r="J24" s="675">
        <f t="shared" si="18"/>
        <v>449</v>
      </c>
      <c r="K24" s="673">
        <f t="shared" si="21"/>
        <v>596</v>
      </c>
      <c r="L24" s="673">
        <f t="shared" si="19"/>
        <v>553</v>
      </c>
      <c r="M24" s="673">
        <f t="shared" si="19"/>
        <v>564</v>
      </c>
      <c r="N24" s="673">
        <f t="shared" si="19"/>
        <v>536</v>
      </c>
      <c r="O24" s="673">
        <f t="shared" si="19"/>
        <v>556</v>
      </c>
      <c r="P24" s="673">
        <f t="shared" si="19"/>
        <v>524</v>
      </c>
      <c r="Q24" s="673">
        <f t="shared" si="19"/>
        <v>544</v>
      </c>
      <c r="R24" s="673">
        <f t="shared" si="19"/>
        <v>527</v>
      </c>
      <c r="S24" s="673">
        <f t="shared" si="19"/>
        <v>466</v>
      </c>
      <c r="T24" s="673">
        <f t="shared" si="19"/>
        <v>508</v>
      </c>
      <c r="U24" s="673">
        <f t="shared" si="19"/>
        <v>510</v>
      </c>
      <c r="V24" s="673">
        <f t="shared" si="19"/>
        <v>507</v>
      </c>
      <c r="W24" s="673">
        <f t="shared" si="19"/>
        <v>498</v>
      </c>
      <c r="X24" s="673">
        <f t="shared" si="19"/>
        <v>507</v>
      </c>
      <c r="Y24" s="673">
        <f t="shared" si="19"/>
        <v>510</v>
      </c>
      <c r="Z24" s="673">
        <f t="shared" si="19"/>
        <v>454</v>
      </c>
      <c r="AA24" s="673">
        <f t="shared" si="19"/>
        <v>445</v>
      </c>
      <c r="AB24" s="673">
        <f t="shared" si="20"/>
        <v>435</v>
      </c>
      <c r="AC24" s="673">
        <f t="shared" si="20"/>
        <v>402</v>
      </c>
      <c r="AD24" s="673">
        <f t="shared" si="20"/>
        <v>416</v>
      </c>
      <c r="AE24" s="673">
        <f t="shared" si="20"/>
        <v>430</v>
      </c>
      <c r="AF24" s="673">
        <f t="shared" si="20"/>
        <v>477</v>
      </c>
      <c r="AG24" s="673">
        <f t="shared" si="20"/>
        <v>520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0.10952857128475985</v>
      </c>
      <c r="F25" s="683">
        <f t="shared" si="14"/>
        <v>435.20666666666671</v>
      </c>
      <c r="G25" s="675">
        <f t="shared" si="15"/>
        <v>425.5</v>
      </c>
      <c r="H25" s="675">
        <f t="shared" si="16"/>
        <v>432.83333333333331</v>
      </c>
      <c r="I25" s="675">
        <f t="shared" si="17"/>
        <v>424.83333333333331</v>
      </c>
      <c r="J25" s="675">
        <f t="shared" si="18"/>
        <v>446.6</v>
      </c>
      <c r="K25" s="676">
        <f t="shared" si="21"/>
        <v>428</v>
      </c>
      <c r="L25" s="676">
        <f t="shared" si="19"/>
        <v>433</v>
      </c>
      <c r="M25" s="676">
        <f t="shared" si="19"/>
        <v>443</v>
      </c>
      <c r="N25" s="676">
        <f t="shared" si="19"/>
        <v>417</v>
      </c>
      <c r="O25" s="676">
        <f t="shared" si="19"/>
        <v>423</v>
      </c>
      <c r="P25" s="676">
        <f t="shared" si="19"/>
        <v>409</v>
      </c>
      <c r="Q25" s="676">
        <f t="shared" si="19"/>
        <v>426</v>
      </c>
      <c r="R25" s="676">
        <f t="shared" si="19"/>
        <v>429</v>
      </c>
      <c r="S25" s="676">
        <f t="shared" si="19"/>
        <v>399</v>
      </c>
      <c r="T25" s="676">
        <f t="shared" si="19"/>
        <v>444</v>
      </c>
      <c r="U25" s="676">
        <f t="shared" si="19"/>
        <v>468</v>
      </c>
      <c r="V25" s="676">
        <f t="shared" si="19"/>
        <v>431</v>
      </c>
      <c r="W25" s="676">
        <f t="shared" si="19"/>
        <v>439</v>
      </c>
      <c r="X25" s="676">
        <f t="shared" si="19"/>
        <v>462</v>
      </c>
      <c r="Y25" s="676">
        <f t="shared" si="19"/>
        <v>455</v>
      </c>
      <c r="Z25" s="676">
        <f t="shared" si="19"/>
        <v>390</v>
      </c>
      <c r="AA25" s="676">
        <f t="shared" si="19"/>
        <v>411</v>
      </c>
      <c r="AB25" s="676">
        <f t="shared" si="20"/>
        <v>392</v>
      </c>
      <c r="AC25" s="676">
        <f t="shared" si="20"/>
        <v>410</v>
      </c>
      <c r="AD25" s="676">
        <f t="shared" si="20"/>
        <v>449</v>
      </c>
      <c r="AE25" s="676">
        <f t="shared" si="20"/>
        <v>433</v>
      </c>
      <c r="AF25" s="676">
        <f t="shared" si="20"/>
        <v>472</v>
      </c>
      <c r="AG25" s="676">
        <f t="shared" si="20"/>
        <v>469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3973.4533333333347</v>
      </c>
      <c r="G30" s="678">
        <f>SUM(G31:G86)</f>
        <v>4139.5</v>
      </c>
      <c r="H30" s="678">
        <f t="shared" ref="H30:J30" si="22">SUM(H31:H86)</f>
        <v>3878.6666666666665</v>
      </c>
      <c r="I30" s="678">
        <f t="shared" si="22"/>
        <v>3978.1666666666661</v>
      </c>
      <c r="J30" s="678">
        <f t="shared" si="22"/>
        <v>3975.7999999999993</v>
      </c>
      <c r="K30" s="671">
        <f>SUM(K31:K86)</f>
        <v>4360</v>
      </c>
      <c r="L30" s="671">
        <f t="shared" ref="L30:AH30" si="23">SUM(L31:L86)</f>
        <v>4116</v>
      </c>
      <c r="M30" s="671">
        <f t="shared" si="23"/>
        <v>4297</v>
      </c>
      <c r="N30" s="671">
        <f t="shared" si="23"/>
        <v>4095</v>
      </c>
      <c r="O30" s="671">
        <f t="shared" si="23"/>
        <v>4089</v>
      </c>
      <c r="P30" s="671">
        <f t="shared" si="23"/>
        <v>3880</v>
      </c>
      <c r="Q30" s="671">
        <f t="shared" si="23"/>
        <v>3989</v>
      </c>
      <c r="R30" s="671">
        <f t="shared" si="23"/>
        <v>3943</v>
      </c>
      <c r="S30" s="671">
        <f t="shared" si="23"/>
        <v>3591</v>
      </c>
      <c r="T30" s="671">
        <f t="shared" si="23"/>
        <v>4049</v>
      </c>
      <c r="U30" s="671">
        <f t="shared" si="23"/>
        <v>3983</v>
      </c>
      <c r="V30" s="671">
        <f t="shared" si="23"/>
        <v>3717</v>
      </c>
      <c r="W30" s="671">
        <f t="shared" si="23"/>
        <v>4039</v>
      </c>
      <c r="X30" s="671">
        <f t="shared" si="23"/>
        <v>4116</v>
      </c>
      <c r="Y30" s="671">
        <f t="shared" si="23"/>
        <v>4182</v>
      </c>
      <c r="Z30" s="671">
        <f t="shared" si="23"/>
        <v>3731</v>
      </c>
      <c r="AA30" s="671">
        <f t="shared" si="23"/>
        <v>3951</v>
      </c>
      <c r="AB30" s="671">
        <f t="shared" si="23"/>
        <v>3850</v>
      </c>
      <c r="AC30" s="671">
        <f t="shared" si="23"/>
        <v>3711</v>
      </c>
      <c r="AD30" s="671">
        <f t="shared" si="23"/>
        <v>3977</v>
      </c>
      <c r="AE30" s="671">
        <f t="shared" si="23"/>
        <v>3835</v>
      </c>
      <c r="AF30" s="671">
        <f t="shared" si="23"/>
        <v>4013</v>
      </c>
      <c r="AG30" s="671">
        <f t="shared" si="23"/>
        <v>4343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9.3731718182257326E-2</v>
      </c>
      <c r="F31" s="680">
        <f>G31*10%+H31*20%+I31*30%+J31*40%</f>
        <v>58.213333333333338</v>
      </c>
      <c r="G31" s="680">
        <f>AVERAGE(K31:P31)</f>
        <v>65.333333333333329</v>
      </c>
      <c r="H31" s="679">
        <f>AVERAGE(Q31:V31)</f>
        <v>55.5</v>
      </c>
      <c r="I31" s="679">
        <f>AVERAGE(W31:AB31)</f>
        <v>61.666666666666664</v>
      </c>
      <c r="J31" s="679">
        <f>AVERAGE(AC31:AG31)</f>
        <v>55.2</v>
      </c>
      <c r="K31" s="673">
        <v>66</v>
      </c>
      <c r="L31" s="673">
        <v>69</v>
      </c>
      <c r="M31" s="673">
        <v>74</v>
      </c>
      <c r="N31" s="673">
        <v>63</v>
      </c>
      <c r="O31" s="673">
        <v>61</v>
      </c>
      <c r="P31" s="673">
        <v>59</v>
      </c>
      <c r="Q31" s="673">
        <v>63</v>
      </c>
      <c r="R31" s="673">
        <v>64</v>
      </c>
      <c r="S31" s="673">
        <v>47</v>
      </c>
      <c r="T31" s="673">
        <v>58</v>
      </c>
      <c r="U31" s="673">
        <v>53</v>
      </c>
      <c r="V31" s="665">
        <v>48</v>
      </c>
      <c r="W31" s="665">
        <v>63</v>
      </c>
      <c r="X31" s="665">
        <v>70</v>
      </c>
      <c r="Y31" s="665">
        <v>58</v>
      </c>
      <c r="Z31" s="665">
        <v>59</v>
      </c>
      <c r="AA31" s="665">
        <v>58</v>
      </c>
      <c r="AB31" s="665">
        <v>62</v>
      </c>
      <c r="AC31" s="665">
        <v>52</v>
      </c>
      <c r="AD31" s="665">
        <v>54</v>
      </c>
      <c r="AE31" s="665">
        <v>55</v>
      </c>
      <c r="AF31" s="665">
        <v>53</v>
      </c>
      <c r="AG31" s="665">
        <v>62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6.7282456432247922E-2</v>
      </c>
      <c r="F32" s="680">
        <f t="shared" ref="F32:F86" si="25">G32*10%+H32*20%+I32*30%+J32*40%</f>
        <v>41.786666666666662</v>
      </c>
      <c r="G32" s="680">
        <f t="shared" ref="G32:G86" si="26">AVERAGE(K32:P32)</f>
        <v>46</v>
      </c>
      <c r="H32" s="679">
        <f t="shared" ref="H32:H86" si="27">AVERAGE(Q32:V32)</f>
        <v>44.833333333333336</v>
      </c>
      <c r="I32" s="679">
        <f t="shared" ref="I32:I86" si="28">AVERAGE(W32:AB32)</f>
        <v>42.333333333333336</v>
      </c>
      <c r="J32" s="679">
        <f t="shared" ref="J32:J86" si="29">AVERAGE(AC32:AG32)</f>
        <v>38.799999999999997</v>
      </c>
      <c r="K32" s="673">
        <v>49</v>
      </c>
      <c r="L32" s="673">
        <v>50</v>
      </c>
      <c r="M32" s="673">
        <v>48</v>
      </c>
      <c r="N32" s="673">
        <v>41</v>
      </c>
      <c r="O32" s="673">
        <v>46</v>
      </c>
      <c r="P32" s="673">
        <v>42</v>
      </c>
      <c r="Q32" s="673">
        <v>46</v>
      </c>
      <c r="R32" s="673">
        <v>50</v>
      </c>
      <c r="S32" s="673">
        <v>39</v>
      </c>
      <c r="T32" s="673">
        <v>47</v>
      </c>
      <c r="U32" s="673">
        <v>41</v>
      </c>
      <c r="V32" s="665">
        <v>46</v>
      </c>
      <c r="W32" s="665">
        <v>41</v>
      </c>
      <c r="X32" s="665">
        <v>46</v>
      </c>
      <c r="Y32" s="665">
        <v>42</v>
      </c>
      <c r="Z32" s="665">
        <v>38</v>
      </c>
      <c r="AA32" s="665">
        <v>47</v>
      </c>
      <c r="AB32" s="665">
        <v>40</v>
      </c>
      <c r="AC32" s="665">
        <v>41</v>
      </c>
      <c r="AD32" s="665">
        <v>36</v>
      </c>
      <c r="AE32" s="665">
        <v>36</v>
      </c>
      <c r="AF32" s="665">
        <v>37</v>
      </c>
      <c r="AG32" s="665">
        <v>44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0.13914844970185541</v>
      </c>
      <c r="F33" s="680">
        <f t="shared" si="25"/>
        <v>86.419999999999987</v>
      </c>
      <c r="G33" s="680">
        <f t="shared" si="26"/>
        <v>95.833333333333329</v>
      </c>
      <c r="H33" s="679">
        <f t="shared" si="27"/>
        <v>87.333333333333329</v>
      </c>
      <c r="I33" s="679">
        <f t="shared" si="28"/>
        <v>92.833333333333329</v>
      </c>
      <c r="J33" s="679">
        <f t="shared" si="29"/>
        <v>78.8</v>
      </c>
      <c r="K33" s="673">
        <v>89</v>
      </c>
      <c r="L33" s="673">
        <v>89</v>
      </c>
      <c r="M33" s="673">
        <v>102</v>
      </c>
      <c r="N33" s="673">
        <v>99</v>
      </c>
      <c r="O33" s="673">
        <v>102</v>
      </c>
      <c r="P33" s="673">
        <v>94</v>
      </c>
      <c r="Q33" s="673">
        <v>93</v>
      </c>
      <c r="R33" s="673">
        <v>90</v>
      </c>
      <c r="S33" s="673">
        <v>78</v>
      </c>
      <c r="T33" s="673">
        <v>96</v>
      </c>
      <c r="U33" s="673">
        <v>88</v>
      </c>
      <c r="V33" s="665">
        <v>79</v>
      </c>
      <c r="W33" s="665">
        <v>90</v>
      </c>
      <c r="X33" s="665">
        <v>86</v>
      </c>
      <c r="Y33" s="665">
        <v>95</v>
      </c>
      <c r="Z33" s="665">
        <v>87</v>
      </c>
      <c r="AA33" s="665">
        <v>107</v>
      </c>
      <c r="AB33" s="665">
        <v>92</v>
      </c>
      <c r="AC33" s="665">
        <v>73</v>
      </c>
      <c r="AD33" s="665">
        <v>74</v>
      </c>
      <c r="AE33" s="665">
        <v>76</v>
      </c>
      <c r="AF33" s="665">
        <v>81</v>
      </c>
      <c r="AG33" s="665">
        <v>90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0.11152378447716016</v>
      </c>
      <c r="F34" s="680">
        <f t="shared" si="25"/>
        <v>69.263333333333335</v>
      </c>
      <c r="G34" s="680">
        <f t="shared" si="26"/>
        <v>76</v>
      </c>
      <c r="H34" s="679">
        <f t="shared" si="27"/>
        <v>64.666666666666671</v>
      </c>
      <c r="I34" s="679">
        <f t="shared" si="28"/>
        <v>79.5</v>
      </c>
      <c r="J34" s="679">
        <f t="shared" si="29"/>
        <v>62.2</v>
      </c>
      <c r="K34" s="673">
        <v>78</v>
      </c>
      <c r="L34" s="673">
        <v>72</v>
      </c>
      <c r="M34" s="673">
        <v>77</v>
      </c>
      <c r="N34" s="673">
        <v>83</v>
      </c>
      <c r="O34" s="673">
        <v>78</v>
      </c>
      <c r="P34" s="673">
        <v>68</v>
      </c>
      <c r="Q34" s="673">
        <v>69</v>
      </c>
      <c r="R34" s="673">
        <v>64</v>
      </c>
      <c r="S34" s="673">
        <v>65</v>
      </c>
      <c r="T34" s="673">
        <v>64</v>
      </c>
      <c r="U34" s="673">
        <v>63</v>
      </c>
      <c r="V34" s="665">
        <v>63</v>
      </c>
      <c r="W34" s="665">
        <v>73</v>
      </c>
      <c r="X34" s="665">
        <v>77</v>
      </c>
      <c r="Y34" s="665">
        <v>91</v>
      </c>
      <c r="Z34" s="665">
        <v>78</v>
      </c>
      <c r="AA34" s="665">
        <v>81</v>
      </c>
      <c r="AB34" s="665">
        <v>77</v>
      </c>
      <c r="AC34" s="665">
        <v>64</v>
      </c>
      <c r="AD34" s="665">
        <v>74</v>
      </c>
      <c r="AE34" s="665">
        <v>54</v>
      </c>
      <c r="AF34" s="665">
        <v>54</v>
      </c>
      <c r="AG34" s="665">
        <v>65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0.16709514327577973</v>
      </c>
      <c r="F35" s="680">
        <f t="shared" si="25"/>
        <v>103.77666666666667</v>
      </c>
      <c r="G35" s="680">
        <f t="shared" si="26"/>
        <v>97.833333333333329</v>
      </c>
      <c r="H35" s="679">
        <f t="shared" si="27"/>
        <v>92.666666666666671</v>
      </c>
      <c r="I35" s="679">
        <f t="shared" si="28"/>
        <v>107</v>
      </c>
      <c r="J35" s="679">
        <f t="shared" si="29"/>
        <v>108.4</v>
      </c>
      <c r="K35" s="673">
        <v>95</v>
      </c>
      <c r="L35" s="673">
        <v>96</v>
      </c>
      <c r="M35" s="673">
        <v>102</v>
      </c>
      <c r="N35" s="673">
        <v>105</v>
      </c>
      <c r="O35" s="673">
        <v>99</v>
      </c>
      <c r="P35" s="673">
        <v>90</v>
      </c>
      <c r="Q35" s="673">
        <v>101</v>
      </c>
      <c r="R35" s="673">
        <v>99</v>
      </c>
      <c r="S35" s="673">
        <v>84</v>
      </c>
      <c r="T35" s="673">
        <v>90</v>
      </c>
      <c r="U35" s="673">
        <v>93</v>
      </c>
      <c r="V35" s="665">
        <v>89</v>
      </c>
      <c r="W35" s="665">
        <v>95</v>
      </c>
      <c r="X35" s="665">
        <v>108</v>
      </c>
      <c r="Y35" s="665">
        <v>117</v>
      </c>
      <c r="Z35" s="665">
        <v>104</v>
      </c>
      <c r="AA35" s="665">
        <v>106</v>
      </c>
      <c r="AB35" s="665">
        <v>112</v>
      </c>
      <c r="AC35" s="665">
        <v>104</v>
      </c>
      <c r="AD35" s="665">
        <v>111</v>
      </c>
      <c r="AE35" s="665">
        <v>103</v>
      </c>
      <c r="AF35" s="665">
        <v>108</v>
      </c>
      <c r="AG35" s="665">
        <v>116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0.13101186674466911</v>
      </c>
      <c r="F36" s="680">
        <f t="shared" si="25"/>
        <v>81.366666666666674</v>
      </c>
      <c r="G36" s="680">
        <f t="shared" si="26"/>
        <v>75.5</v>
      </c>
      <c r="H36" s="679">
        <f t="shared" si="27"/>
        <v>77.833333333333329</v>
      </c>
      <c r="I36" s="679">
        <f t="shared" si="28"/>
        <v>90.166666666666671</v>
      </c>
      <c r="J36" s="679">
        <f t="shared" si="29"/>
        <v>78</v>
      </c>
      <c r="K36" s="673">
        <v>76</v>
      </c>
      <c r="L36" s="673">
        <v>74</v>
      </c>
      <c r="M36" s="673">
        <v>77</v>
      </c>
      <c r="N36" s="673">
        <v>78</v>
      </c>
      <c r="O36" s="673">
        <v>79</v>
      </c>
      <c r="P36" s="673">
        <v>69</v>
      </c>
      <c r="Q36" s="673">
        <v>79</v>
      </c>
      <c r="R36" s="673">
        <v>81</v>
      </c>
      <c r="S36" s="673">
        <v>67</v>
      </c>
      <c r="T36" s="673">
        <v>80</v>
      </c>
      <c r="U36" s="673">
        <v>76</v>
      </c>
      <c r="V36" s="665">
        <v>84</v>
      </c>
      <c r="W36" s="665">
        <v>89</v>
      </c>
      <c r="X36" s="665">
        <v>94</v>
      </c>
      <c r="Y36" s="665">
        <v>94</v>
      </c>
      <c r="Z36" s="665">
        <v>84</v>
      </c>
      <c r="AA36" s="665">
        <v>91</v>
      </c>
      <c r="AB36" s="665">
        <v>89</v>
      </c>
      <c r="AC36" s="665">
        <v>84</v>
      </c>
      <c r="AD36" s="665">
        <v>88</v>
      </c>
      <c r="AE36" s="665">
        <v>78</v>
      </c>
      <c r="AF36" s="665">
        <v>68</v>
      </c>
      <c r="AG36" s="665">
        <v>72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0.1037360655649719</v>
      </c>
      <c r="F37" s="680">
        <f t="shared" si="25"/>
        <v>64.426666666666662</v>
      </c>
      <c r="G37" s="680">
        <f t="shared" si="26"/>
        <v>68.333333333333329</v>
      </c>
      <c r="H37" s="679">
        <f t="shared" si="27"/>
        <v>64.666666666666671</v>
      </c>
      <c r="I37" s="679">
        <f t="shared" si="28"/>
        <v>68.333333333333329</v>
      </c>
      <c r="J37" s="679">
        <f t="shared" si="29"/>
        <v>60.4</v>
      </c>
      <c r="K37" s="673">
        <v>66</v>
      </c>
      <c r="L37" s="673">
        <v>72</v>
      </c>
      <c r="M37" s="673">
        <v>71</v>
      </c>
      <c r="N37" s="673">
        <v>68</v>
      </c>
      <c r="O37" s="673">
        <v>70</v>
      </c>
      <c r="P37" s="673">
        <v>63</v>
      </c>
      <c r="Q37" s="673">
        <v>61</v>
      </c>
      <c r="R37" s="673">
        <v>67</v>
      </c>
      <c r="S37" s="673">
        <v>59</v>
      </c>
      <c r="T37" s="673">
        <v>69</v>
      </c>
      <c r="U37" s="673">
        <v>68</v>
      </c>
      <c r="V37" s="665">
        <v>64</v>
      </c>
      <c r="W37" s="665">
        <v>68</v>
      </c>
      <c r="X37" s="665">
        <v>67</v>
      </c>
      <c r="Y37" s="665">
        <v>70</v>
      </c>
      <c r="Z37" s="665">
        <v>69</v>
      </c>
      <c r="AA37" s="665">
        <v>69</v>
      </c>
      <c r="AB37" s="665">
        <v>67</v>
      </c>
      <c r="AC37" s="665">
        <v>60</v>
      </c>
      <c r="AD37" s="665">
        <v>59</v>
      </c>
      <c r="AE37" s="665">
        <v>59</v>
      </c>
      <c r="AF37" s="665">
        <v>63</v>
      </c>
      <c r="AG37" s="665">
        <v>61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0.18647051562105854</v>
      </c>
      <c r="F38" s="680">
        <f t="shared" si="25"/>
        <v>115.81</v>
      </c>
      <c r="G38" s="680">
        <f t="shared" si="26"/>
        <v>109</v>
      </c>
      <c r="H38" s="679">
        <f t="shared" si="27"/>
        <v>110.5</v>
      </c>
      <c r="I38" s="679">
        <f t="shared" si="28"/>
        <v>120.83333333333333</v>
      </c>
      <c r="J38" s="679">
        <f t="shared" si="29"/>
        <v>116.4</v>
      </c>
      <c r="K38" s="673">
        <v>114</v>
      </c>
      <c r="L38" s="673">
        <v>114</v>
      </c>
      <c r="M38" s="673">
        <v>105</v>
      </c>
      <c r="N38" s="673">
        <v>104</v>
      </c>
      <c r="O38" s="673">
        <v>111</v>
      </c>
      <c r="P38" s="673">
        <v>106</v>
      </c>
      <c r="Q38" s="673">
        <v>107</v>
      </c>
      <c r="R38" s="673">
        <v>109</v>
      </c>
      <c r="S38" s="673">
        <v>99</v>
      </c>
      <c r="T38" s="673">
        <v>120</v>
      </c>
      <c r="U38" s="673">
        <v>116</v>
      </c>
      <c r="V38" s="665">
        <v>112</v>
      </c>
      <c r="W38" s="665">
        <v>126</v>
      </c>
      <c r="X38" s="665">
        <v>122</v>
      </c>
      <c r="Y38" s="665">
        <v>125</v>
      </c>
      <c r="Z38" s="665">
        <v>115</v>
      </c>
      <c r="AA38" s="665">
        <v>126</v>
      </c>
      <c r="AB38" s="665">
        <v>111</v>
      </c>
      <c r="AC38" s="665">
        <v>109</v>
      </c>
      <c r="AD38" s="665">
        <v>122</v>
      </c>
      <c r="AE38" s="665">
        <v>113</v>
      </c>
      <c r="AF38" s="665">
        <v>115</v>
      </c>
      <c r="AG38" s="665">
        <v>123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0.33060745521553386</v>
      </c>
      <c r="F39" s="680">
        <f t="shared" si="25"/>
        <v>60.103333333333339</v>
      </c>
      <c r="G39" s="680">
        <f t="shared" si="26"/>
        <v>52.166666666666664</v>
      </c>
      <c r="H39" s="679">
        <f t="shared" si="27"/>
        <v>50.333333333333336</v>
      </c>
      <c r="I39" s="679">
        <f t="shared" si="28"/>
        <v>59</v>
      </c>
      <c r="J39" s="679">
        <f t="shared" si="29"/>
        <v>67.8</v>
      </c>
      <c r="K39" s="673">
        <v>50</v>
      </c>
      <c r="L39" s="673">
        <v>48</v>
      </c>
      <c r="M39" s="673">
        <v>56</v>
      </c>
      <c r="N39" s="673">
        <v>55</v>
      </c>
      <c r="O39" s="673">
        <v>53</v>
      </c>
      <c r="P39" s="673">
        <v>51</v>
      </c>
      <c r="Q39" s="673">
        <v>52</v>
      </c>
      <c r="R39" s="673">
        <v>48</v>
      </c>
      <c r="S39" s="673">
        <v>52</v>
      </c>
      <c r="T39" s="673">
        <v>53</v>
      </c>
      <c r="U39" s="673">
        <v>49</v>
      </c>
      <c r="V39" s="665">
        <v>48</v>
      </c>
      <c r="W39" s="665">
        <v>58</v>
      </c>
      <c r="X39" s="665">
        <v>54</v>
      </c>
      <c r="Y39" s="665">
        <v>60</v>
      </c>
      <c r="Z39" s="665">
        <v>57</v>
      </c>
      <c r="AA39" s="665">
        <v>65</v>
      </c>
      <c r="AB39" s="665">
        <v>60</v>
      </c>
      <c r="AC39" s="665">
        <v>63</v>
      </c>
      <c r="AD39" s="665">
        <v>67</v>
      </c>
      <c r="AE39" s="665">
        <v>65</v>
      </c>
      <c r="AF39" s="665">
        <v>71</v>
      </c>
      <c r="AG39" s="665">
        <v>73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0.32958066704560041</v>
      </c>
      <c r="F40" s="680">
        <f t="shared" si="25"/>
        <v>59.916666666666671</v>
      </c>
      <c r="G40" s="680">
        <f t="shared" si="26"/>
        <v>51.666666666666664</v>
      </c>
      <c r="H40" s="679">
        <f t="shared" si="27"/>
        <v>47.5</v>
      </c>
      <c r="I40" s="679">
        <f t="shared" si="28"/>
        <v>64.166666666666671</v>
      </c>
      <c r="J40" s="679">
        <f t="shared" si="29"/>
        <v>65</v>
      </c>
      <c r="K40" s="673">
        <v>60</v>
      </c>
      <c r="L40" s="673">
        <v>55</v>
      </c>
      <c r="M40" s="673">
        <v>52</v>
      </c>
      <c r="N40" s="673">
        <v>46</v>
      </c>
      <c r="O40" s="673">
        <v>50</v>
      </c>
      <c r="P40" s="673">
        <v>47</v>
      </c>
      <c r="Q40" s="673">
        <v>36</v>
      </c>
      <c r="R40" s="673">
        <v>39</v>
      </c>
      <c r="S40" s="673">
        <v>52</v>
      </c>
      <c r="T40" s="673">
        <v>55</v>
      </c>
      <c r="U40" s="673">
        <v>53</v>
      </c>
      <c r="V40" s="665">
        <v>50</v>
      </c>
      <c r="W40" s="665">
        <v>63</v>
      </c>
      <c r="X40" s="665">
        <v>62</v>
      </c>
      <c r="Y40" s="665">
        <v>60</v>
      </c>
      <c r="Z40" s="665">
        <v>62</v>
      </c>
      <c r="AA40" s="665">
        <v>67</v>
      </c>
      <c r="AB40" s="665">
        <v>71</v>
      </c>
      <c r="AC40" s="665">
        <v>68</v>
      </c>
      <c r="AD40" s="665">
        <v>70</v>
      </c>
      <c r="AE40" s="665">
        <v>63</v>
      </c>
      <c r="AF40" s="665">
        <v>61</v>
      </c>
      <c r="AG40" s="665">
        <v>63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0.33981187773886579</v>
      </c>
      <c r="F41" s="680">
        <f t="shared" si="25"/>
        <v>61.776666666666671</v>
      </c>
      <c r="G41" s="680">
        <f t="shared" si="26"/>
        <v>53.333333333333336</v>
      </c>
      <c r="H41" s="679">
        <f t="shared" si="27"/>
        <v>54.666666666666664</v>
      </c>
      <c r="I41" s="679">
        <f t="shared" si="28"/>
        <v>63.166666666666664</v>
      </c>
      <c r="J41" s="679">
        <f t="shared" si="29"/>
        <v>66.400000000000006</v>
      </c>
      <c r="K41" s="673">
        <v>57</v>
      </c>
      <c r="L41" s="673">
        <v>56</v>
      </c>
      <c r="M41" s="673">
        <v>53</v>
      </c>
      <c r="N41" s="673">
        <v>53</v>
      </c>
      <c r="O41" s="673">
        <v>53</v>
      </c>
      <c r="P41" s="673">
        <v>48</v>
      </c>
      <c r="Q41" s="673">
        <v>48</v>
      </c>
      <c r="R41" s="673">
        <v>50</v>
      </c>
      <c r="S41" s="673">
        <v>55</v>
      </c>
      <c r="T41" s="673">
        <v>56</v>
      </c>
      <c r="U41" s="673">
        <v>61</v>
      </c>
      <c r="V41" s="665">
        <v>58</v>
      </c>
      <c r="W41" s="665">
        <v>62</v>
      </c>
      <c r="X41" s="665">
        <v>65</v>
      </c>
      <c r="Y41" s="665">
        <v>61</v>
      </c>
      <c r="Z41" s="665">
        <v>59</v>
      </c>
      <c r="AA41" s="665">
        <v>65</v>
      </c>
      <c r="AB41" s="665">
        <v>67</v>
      </c>
      <c r="AC41" s="665">
        <v>67</v>
      </c>
      <c r="AD41" s="665">
        <v>66</v>
      </c>
      <c r="AE41" s="665">
        <v>55</v>
      </c>
      <c r="AF41" s="665">
        <v>71</v>
      </c>
      <c r="AG41" s="665">
        <v>73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0.1299114868114796</v>
      </c>
      <c r="F42" s="680">
        <f t="shared" si="25"/>
        <v>78.326666666666668</v>
      </c>
      <c r="G42" s="680">
        <f t="shared" si="26"/>
        <v>78.666666666666671</v>
      </c>
      <c r="H42" s="679">
        <f t="shared" si="27"/>
        <v>72.5</v>
      </c>
      <c r="I42" s="679">
        <f t="shared" si="28"/>
        <v>80.666666666666671</v>
      </c>
      <c r="J42" s="679">
        <f t="shared" si="29"/>
        <v>79.400000000000006</v>
      </c>
      <c r="K42" s="673">
        <v>78</v>
      </c>
      <c r="L42" s="673">
        <v>80</v>
      </c>
      <c r="M42" s="673">
        <v>80</v>
      </c>
      <c r="N42" s="673">
        <v>80</v>
      </c>
      <c r="O42" s="673">
        <v>79</v>
      </c>
      <c r="P42" s="673">
        <v>75</v>
      </c>
      <c r="Q42" s="673">
        <v>77</v>
      </c>
      <c r="R42" s="673">
        <v>77</v>
      </c>
      <c r="S42" s="673">
        <v>65</v>
      </c>
      <c r="T42" s="673">
        <v>75</v>
      </c>
      <c r="U42" s="673">
        <v>73</v>
      </c>
      <c r="V42" s="665">
        <v>68</v>
      </c>
      <c r="W42" s="665">
        <v>84</v>
      </c>
      <c r="X42" s="665">
        <v>84</v>
      </c>
      <c r="Y42" s="665">
        <v>89</v>
      </c>
      <c r="Z42" s="665">
        <v>74</v>
      </c>
      <c r="AA42" s="665">
        <v>77</v>
      </c>
      <c r="AB42" s="665">
        <v>76</v>
      </c>
      <c r="AC42" s="665">
        <v>82</v>
      </c>
      <c r="AD42" s="665">
        <v>87</v>
      </c>
      <c r="AE42" s="665">
        <v>71</v>
      </c>
      <c r="AF42" s="665">
        <v>74</v>
      </c>
      <c r="AG42" s="665">
        <v>83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8.9298252403567063E-2</v>
      </c>
      <c r="F43" s="680">
        <f t="shared" si="25"/>
        <v>53.84</v>
      </c>
      <c r="G43" s="680">
        <f t="shared" si="26"/>
        <v>50</v>
      </c>
      <c r="H43" s="679">
        <f t="shared" si="27"/>
        <v>53</v>
      </c>
      <c r="I43" s="679">
        <f t="shared" si="28"/>
        <v>53.333333333333336</v>
      </c>
      <c r="J43" s="679">
        <f t="shared" si="29"/>
        <v>55.6</v>
      </c>
      <c r="K43" s="673">
        <v>52</v>
      </c>
      <c r="L43" s="673">
        <v>43</v>
      </c>
      <c r="M43" s="673">
        <v>52</v>
      </c>
      <c r="N43" s="673">
        <v>54</v>
      </c>
      <c r="O43" s="673">
        <v>51</v>
      </c>
      <c r="P43" s="673">
        <v>48</v>
      </c>
      <c r="Q43" s="673">
        <v>52</v>
      </c>
      <c r="R43" s="673">
        <v>54</v>
      </c>
      <c r="S43" s="673">
        <v>51</v>
      </c>
      <c r="T43" s="673">
        <v>52</v>
      </c>
      <c r="U43" s="673">
        <v>55</v>
      </c>
      <c r="V43" s="665">
        <v>54</v>
      </c>
      <c r="W43" s="665">
        <v>56</v>
      </c>
      <c r="X43" s="665">
        <v>62</v>
      </c>
      <c r="Y43" s="665">
        <v>57</v>
      </c>
      <c r="Z43" s="665">
        <v>49</v>
      </c>
      <c r="AA43" s="665">
        <v>46</v>
      </c>
      <c r="AB43" s="665">
        <v>50</v>
      </c>
      <c r="AC43" s="665">
        <v>54</v>
      </c>
      <c r="AD43" s="665">
        <v>58</v>
      </c>
      <c r="AE43" s="665">
        <v>57</v>
      </c>
      <c r="AF43" s="665">
        <v>57</v>
      </c>
      <c r="AG43" s="665">
        <v>52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0.12842428832853264</v>
      </c>
      <c r="F44" s="680">
        <f t="shared" si="25"/>
        <v>77.430000000000007</v>
      </c>
      <c r="G44" s="680">
        <f t="shared" si="26"/>
        <v>95.333333333333329</v>
      </c>
      <c r="H44" s="679">
        <f t="shared" si="27"/>
        <v>79.833333333333329</v>
      </c>
      <c r="I44" s="679">
        <f t="shared" si="28"/>
        <v>78.166666666666671</v>
      </c>
      <c r="J44" s="679">
        <f t="shared" si="29"/>
        <v>71.2</v>
      </c>
      <c r="K44" s="673">
        <v>89</v>
      </c>
      <c r="L44" s="673">
        <v>93</v>
      </c>
      <c r="M44" s="673">
        <v>99</v>
      </c>
      <c r="N44" s="673">
        <v>102</v>
      </c>
      <c r="O44" s="673">
        <v>97</v>
      </c>
      <c r="P44" s="673">
        <v>92</v>
      </c>
      <c r="Q44" s="673">
        <v>86</v>
      </c>
      <c r="R44" s="673">
        <v>77</v>
      </c>
      <c r="S44" s="673">
        <v>71</v>
      </c>
      <c r="T44" s="673">
        <v>82</v>
      </c>
      <c r="U44" s="673">
        <v>87</v>
      </c>
      <c r="V44" s="665">
        <v>76</v>
      </c>
      <c r="W44" s="665">
        <v>79</v>
      </c>
      <c r="X44" s="665">
        <v>77</v>
      </c>
      <c r="Y44" s="665">
        <v>93</v>
      </c>
      <c r="Z44" s="665">
        <v>67</v>
      </c>
      <c r="AA44" s="665">
        <v>75</v>
      </c>
      <c r="AB44" s="665">
        <v>78</v>
      </c>
      <c r="AC44" s="665">
        <v>61</v>
      </c>
      <c r="AD44" s="665">
        <v>68</v>
      </c>
      <c r="AE44" s="665">
        <v>67</v>
      </c>
      <c r="AF44" s="665">
        <v>74</v>
      </c>
      <c r="AG44" s="665">
        <v>86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0.12914300878497542</v>
      </c>
      <c r="F45" s="680">
        <f t="shared" si="25"/>
        <v>77.863333333333344</v>
      </c>
      <c r="G45" s="680">
        <f t="shared" si="26"/>
        <v>81</v>
      </c>
      <c r="H45" s="679">
        <f t="shared" si="27"/>
        <v>75.166666666666671</v>
      </c>
      <c r="I45" s="679">
        <f t="shared" si="28"/>
        <v>75.5</v>
      </c>
      <c r="J45" s="679">
        <f t="shared" si="29"/>
        <v>80.2</v>
      </c>
      <c r="K45" s="673">
        <v>80</v>
      </c>
      <c r="L45" s="673">
        <v>76</v>
      </c>
      <c r="M45" s="673">
        <v>85</v>
      </c>
      <c r="N45" s="673">
        <v>88</v>
      </c>
      <c r="O45" s="673">
        <v>77</v>
      </c>
      <c r="P45" s="673">
        <v>80</v>
      </c>
      <c r="Q45" s="673">
        <v>89</v>
      </c>
      <c r="R45" s="673">
        <v>81</v>
      </c>
      <c r="S45" s="673">
        <v>68</v>
      </c>
      <c r="T45" s="673">
        <v>72</v>
      </c>
      <c r="U45" s="673">
        <v>74</v>
      </c>
      <c r="V45" s="665">
        <v>67</v>
      </c>
      <c r="W45" s="665">
        <v>77</v>
      </c>
      <c r="X45" s="665">
        <v>76</v>
      </c>
      <c r="Y45" s="665">
        <v>81</v>
      </c>
      <c r="Z45" s="665">
        <v>69</v>
      </c>
      <c r="AA45" s="665">
        <v>69</v>
      </c>
      <c r="AB45" s="665">
        <v>81</v>
      </c>
      <c r="AC45" s="665">
        <v>79</v>
      </c>
      <c r="AD45" s="665">
        <v>79</v>
      </c>
      <c r="AE45" s="665">
        <v>67</v>
      </c>
      <c r="AF45" s="665">
        <v>82</v>
      </c>
      <c r="AG45" s="665">
        <v>94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0.10734366447917644</v>
      </c>
      <c r="F46" s="680">
        <f t="shared" si="25"/>
        <v>64.72</v>
      </c>
      <c r="G46" s="680">
        <f t="shared" si="26"/>
        <v>71.666666666666671</v>
      </c>
      <c r="H46" s="679">
        <f t="shared" si="27"/>
        <v>62.166666666666664</v>
      </c>
      <c r="I46" s="679">
        <f t="shared" si="28"/>
        <v>65.333333333333329</v>
      </c>
      <c r="J46" s="679">
        <f t="shared" si="29"/>
        <v>63.8</v>
      </c>
      <c r="K46" s="673">
        <v>70</v>
      </c>
      <c r="L46" s="673">
        <v>64</v>
      </c>
      <c r="M46" s="673">
        <v>76</v>
      </c>
      <c r="N46" s="673">
        <v>76</v>
      </c>
      <c r="O46" s="673">
        <v>75</v>
      </c>
      <c r="P46" s="673">
        <v>69</v>
      </c>
      <c r="Q46" s="673">
        <v>65</v>
      </c>
      <c r="R46" s="673">
        <v>69</v>
      </c>
      <c r="S46" s="673">
        <v>58</v>
      </c>
      <c r="T46" s="673">
        <v>64</v>
      </c>
      <c r="U46" s="673">
        <v>60</v>
      </c>
      <c r="V46" s="665">
        <v>57</v>
      </c>
      <c r="W46" s="665">
        <v>67</v>
      </c>
      <c r="X46" s="665">
        <v>66</v>
      </c>
      <c r="Y46" s="665">
        <v>70</v>
      </c>
      <c r="Z46" s="665">
        <v>63</v>
      </c>
      <c r="AA46" s="665">
        <v>60</v>
      </c>
      <c r="AB46" s="665">
        <v>66</v>
      </c>
      <c r="AC46" s="665">
        <v>71</v>
      </c>
      <c r="AD46" s="665">
        <v>63</v>
      </c>
      <c r="AE46" s="665">
        <v>56</v>
      </c>
      <c r="AF46" s="665">
        <v>61</v>
      </c>
      <c r="AG46" s="665">
        <v>68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0.16771065420147394</v>
      </c>
      <c r="F47" s="680">
        <f t="shared" si="25"/>
        <v>101.11666666666667</v>
      </c>
      <c r="G47" s="680">
        <f t="shared" si="26"/>
        <v>109.16666666666667</v>
      </c>
      <c r="H47" s="679">
        <f t="shared" si="27"/>
        <v>93.5</v>
      </c>
      <c r="I47" s="679">
        <f t="shared" si="28"/>
        <v>101</v>
      </c>
      <c r="J47" s="679">
        <f t="shared" si="29"/>
        <v>103</v>
      </c>
      <c r="K47" s="673">
        <v>116</v>
      </c>
      <c r="L47" s="673">
        <v>111</v>
      </c>
      <c r="M47" s="673">
        <v>114</v>
      </c>
      <c r="N47" s="673">
        <v>105</v>
      </c>
      <c r="O47" s="673">
        <v>109</v>
      </c>
      <c r="P47" s="673">
        <v>100</v>
      </c>
      <c r="Q47" s="673">
        <v>98</v>
      </c>
      <c r="R47" s="673">
        <v>108</v>
      </c>
      <c r="S47" s="673">
        <v>85</v>
      </c>
      <c r="T47" s="673">
        <v>99</v>
      </c>
      <c r="U47" s="673">
        <v>88</v>
      </c>
      <c r="V47" s="665">
        <v>83</v>
      </c>
      <c r="W47" s="665">
        <v>107</v>
      </c>
      <c r="X47" s="665">
        <v>97</v>
      </c>
      <c r="Y47" s="665">
        <v>109</v>
      </c>
      <c r="Z47" s="665">
        <v>94</v>
      </c>
      <c r="AA47" s="665">
        <v>101</v>
      </c>
      <c r="AB47" s="665">
        <v>98</v>
      </c>
      <c r="AC47" s="665">
        <v>85</v>
      </c>
      <c r="AD47" s="665">
        <v>103</v>
      </c>
      <c r="AE47" s="665">
        <v>100</v>
      </c>
      <c r="AF47" s="665">
        <v>112</v>
      </c>
      <c r="AG47" s="665">
        <v>115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0.14081392327382697</v>
      </c>
      <c r="F48" s="680">
        <f t="shared" si="25"/>
        <v>84.9</v>
      </c>
      <c r="G48" s="680">
        <f t="shared" si="26"/>
        <v>91.5</v>
      </c>
      <c r="H48" s="679">
        <f t="shared" si="27"/>
        <v>81</v>
      </c>
      <c r="I48" s="679">
        <f t="shared" si="28"/>
        <v>85.166666666666671</v>
      </c>
      <c r="J48" s="679">
        <f t="shared" si="29"/>
        <v>85</v>
      </c>
      <c r="K48" s="673">
        <v>95</v>
      </c>
      <c r="L48" s="673">
        <v>87</v>
      </c>
      <c r="M48" s="673">
        <v>98</v>
      </c>
      <c r="N48" s="673">
        <v>88</v>
      </c>
      <c r="O48" s="673">
        <v>93</v>
      </c>
      <c r="P48" s="673">
        <v>88</v>
      </c>
      <c r="Q48" s="673">
        <v>89</v>
      </c>
      <c r="R48" s="673">
        <v>84</v>
      </c>
      <c r="S48" s="673">
        <v>67</v>
      </c>
      <c r="T48" s="673">
        <v>84</v>
      </c>
      <c r="U48" s="673">
        <v>83</v>
      </c>
      <c r="V48" s="665">
        <v>79</v>
      </c>
      <c r="W48" s="665">
        <v>85</v>
      </c>
      <c r="X48" s="665">
        <v>78</v>
      </c>
      <c r="Y48" s="665">
        <v>87</v>
      </c>
      <c r="Z48" s="665">
        <v>82</v>
      </c>
      <c r="AA48" s="665">
        <v>86</v>
      </c>
      <c r="AB48" s="665">
        <v>93</v>
      </c>
      <c r="AC48" s="665">
        <v>82</v>
      </c>
      <c r="AD48" s="665">
        <v>87</v>
      </c>
      <c r="AE48" s="665">
        <v>76</v>
      </c>
      <c r="AF48" s="665">
        <v>86</v>
      </c>
      <c r="AG48" s="665">
        <v>94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0.10735472171696789</v>
      </c>
      <c r="F49" s="680">
        <f t="shared" si="25"/>
        <v>64.726666666666674</v>
      </c>
      <c r="G49" s="680">
        <f t="shared" si="26"/>
        <v>58.666666666666664</v>
      </c>
      <c r="H49" s="679">
        <f t="shared" si="27"/>
        <v>60.5</v>
      </c>
      <c r="I49" s="679">
        <f t="shared" si="28"/>
        <v>68.666666666666671</v>
      </c>
      <c r="J49" s="679">
        <f t="shared" si="29"/>
        <v>65.400000000000006</v>
      </c>
      <c r="K49" s="673">
        <v>60</v>
      </c>
      <c r="L49" s="673">
        <v>57</v>
      </c>
      <c r="M49" s="673">
        <v>55</v>
      </c>
      <c r="N49" s="673">
        <v>63</v>
      </c>
      <c r="O49" s="673">
        <v>59</v>
      </c>
      <c r="P49" s="673">
        <v>58</v>
      </c>
      <c r="Q49" s="673">
        <v>64</v>
      </c>
      <c r="R49" s="673">
        <v>65</v>
      </c>
      <c r="S49" s="673">
        <v>47</v>
      </c>
      <c r="T49" s="673">
        <v>64</v>
      </c>
      <c r="U49" s="673">
        <v>63</v>
      </c>
      <c r="V49" s="665">
        <v>60</v>
      </c>
      <c r="W49" s="665">
        <v>69</v>
      </c>
      <c r="X49" s="665">
        <v>64</v>
      </c>
      <c r="Y49" s="665">
        <v>67</v>
      </c>
      <c r="Z49" s="665">
        <v>65</v>
      </c>
      <c r="AA49" s="665">
        <v>74</v>
      </c>
      <c r="AB49" s="665">
        <v>73</v>
      </c>
      <c r="AC49" s="665">
        <v>53</v>
      </c>
      <c r="AD49" s="665">
        <v>69</v>
      </c>
      <c r="AE49" s="665">
        <v>67</v>
      </c>
      <c r="AF49" s="665">
        <v>61</v>
      </c>
      <c r="AG49" s="665">
        <v>77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0.10112802756791996</v>
      </c>
      <c r="F50" s="680">
        <f t="shared" si="25"/>
        <v>61.53</v>
      </c>
      <c r="G50" s="680">
        <f t="shared" si="26"/>
        <v>68.166666666666671</v>
      </c>
      <c r="H50" s="679">
        <f t="shared" si="27"/>
        <v>55.166666666666664</v>
      </c>
      <c r="I50" s="679">
        <f t="shared" si="28"/>
        <v>62.666666666666664</v>
      </c>
      <c r="J50" s="679">
        <f t="shared" si="29"/>
        <v>62.2</v>
      </c>
      <c r="K50" s="673">
        <v>70</v>
      </c>
      <c r="L50" s="673">
        <v>68</v>
      </c>
      <c r="M50" s="673">
        <v>73</v>
      </c>
      <c r="N50" s="673">
        <v>74</v>
      </c>
      <c r="O50" s="673">
        <v>65</v>
      </c>
      <c r="P50" s="673">
        <v>59</v>
      </c>
      <c r="Q50" s="673">
        <v>62</v>
      </c>
      <c r="R50" s="673">
        <v>54</v>
      </c>
      <c r="S50" s="673">
        <v>50</v>
      </c>
      <c r="T50" s="673">
        <v>58</v>
      </c>
      <c r="U50" s="673">
        <v>58</v>
      </c>
      <c r="V50" s="665">
        <v>49</v>
      </c>
      <c r="W50" s="665">
        <v>65</v>
      </c>
      <c r="X50" s="665">
        <v>65</v>
      </c>
      <c r="Y50" s="665">
        <v>68</v>
      </c>
      <c r="Z50" s="665">
        <v>51</v>
      </c>
      <c r="AA50" s="665">
        <v>66</v>
      </c>
      <c r="AB50" s="665">
        <v>61</v>
      </c>
      <c r="AC50" s="665">
        <v>66</v>
      </c>
      <c r="AD50" s="665">
        <v>66</v>
      </c>
      <c r="AE50" s="665">
        <v>57</v>
      </c>
      <c r="AF50" s="665">
        <v>60</v>
      </c>
      <c r="AG50" s="665">
        <v>62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0.15101544395198624</v>
      </c>
      <c r="F51" s="680">
        <f t="shared" si="25"/>
        <v>91.88333333333334</v>
      </c>
      <c r="G51" s="680">
        <f t="shared" si="26"/>
        <v>77.5</v>
      </c>
      <c r="H51" s="679">
        <f t="shared" si="27"/>
        <v>81.666666666666671</v>
      </c>
      <c r="I51" s="679">
        <f t="shared" si="28"/>
        <v>91.333333333333329</v>
      </c>
      <c r="J51" s="679">
        <f t="shared" si="29"/>
        <v>101</v>
      </c>
      <c r="K51" s="673">
        <v>88</v>
      </c>
      <c r="L51" s="673">
        <v>77</v>
      </c>
      <c r="M51" s="673">
        <v>80</v>
      </c>
      <c r="N51" s="673">
        <v>72</v>
      </c>
      <c r="O51" s="673">
        <v>73</v>
      </c>
      <c r="P51" s="673">
        <v>75</v>
      </c>
      <c r="Q51" s="673">
        <v>85</v>
      </c>
      <c r="R51" s="673">
        <v>84</v>
      </c>
      <c r="S51" s="673">
        <v>78</v>
      </c>
      <c r="T51" s="673">
        <v>80</v>
      </c>
      <c r="U51" s="673">
        <v>92</v>
      </c>
      <c r="V51" s="665">
        <v>71</v>
      </c>
      <c r="W51" s="665">
        <v>84</v>
      </c>
      <c r="X51" s="665">
        <v>84</v>
      </c>
      <c r="Y51" s="665">
        <v>101</v>
      </c>
      <c r="Z51" s="665">
        <v>90</v>
      </c>
      <c r="AA51" s="665">
        <v>93</v>
      </c>
      <c r="AB51" s="665">
        <v>96</v>
      </c>
      <c r="AC51" s="665">
        <v>87</v>
      </c>
      <c r="AD51" s="665">
        <v>97</v>
      </c>
      <c r="AE51" s="665">
        <v>108</v>
      </c>
      <c r="AF51" s="665">
        <v>98</v>
      </c>
      <c r="AG51" s="665">
        <v>115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0.11484624529531968</v>
      </c>
      <c r="F52" s="680">
        <f t="shared" si="25"/>
        <v>69.876666666666665</v>
      </c>
      <c r="G52" s="680">
        <f t="shared" si="26"/>
        <v>52.666666666666664</v>
      </c>
      <c r="H52" s="679">
        <f t="shared" si="27"/>
        <v>56</v>
      </c>
      <c r="I52" s="679">
        <f t="shared" si="28"/>
        <v>68.166666666666671</v>
      </c>
      <c r="J52" s="679">
        <f t="shared" si="29"/>
        <v>82.4</v>
      </c>
      <c r="K52" s="673">
        <v>55</v>
      </c>
      <c r="L52" s="673">
        <v>45</v>
      </c>
      <c r="M52" s="673">
        <v>56</v>
      </c>
      <c r="N52" s="673">
        <v>49</v>
      </c>
      <c r="O52" s="673">
        <v>54</v>
      </c>
      <c r="P52" s="673">
        <v>57</v>
      </c>
      <c r="Q52" s="673">
        <v>58</v>
      </c>
      <c r="R52" s="673">
        <v>56</v>
      </c>
      <c r="S52" s="673">
        <v>48</v>
      </c>
      <c r="T52" s="673">
        <v>59</v>
      </c>
      <c r="U52" s="673">
        <v>58</v>
      </c>
      <c r="V52" s="665">
        <v>57</v>
      </c>
      <c r="W52" s="665">
        <v>57</v>
      </c>
      <c r="X52" s="665">
        <v>60</v>
      </c>
      <c r="Y52" s="665">
        <v>71</v>
      </c>
      <c r="Z52" s="665">
        <v>74</v>
      </c>
      <c r="AA52" s="665">
        <v>78</v>
      </c>
      <c r="AB52" s="665">
        <v>69</v>
      </c>
      <c r="AC52" s="665">
        <v>73</v>
      </c>
      <c r="AD52" s="665">
        <v>80</v>
      </c>
      <c r="AE52" s="665">
        <v>79</v>
      </c>
      <c r="AF52" s="665">
        <v>85</v>
      </c>
      <c r="AG52" s="665">
        <v>95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8.8083667979685629E-2</v>
      </c>
      <c r="F53" s="680">
        <f t="shared" si="25"/>
        <v>53.593333333333334</v>
      </c>
      <c r="G53" s="680">
        <f t="shared" si="26"/>
        <v>61.166666666666664</v>
      </c>
      <c r="H53" s="679">
        <f t="shared" si="27"/>
        <v>44.833333333333336</v>
      </c>
      <c r="I53" s="679">
        <f t="shared" si="28"/>
        <v>51.833333333333336</v>
      </c>
      <c r="J53" s="679">
        <f t="shared" si="29"/>
        <v>57.4</v>
      </c>
      <c r="K53" s="673">
        <v>68</v>
      </c>
      <c r="L53" s="673">
        <v>65</v>
      </c>
      <c r="M53" s="673">
        <v>63</v>
      </c>
      <c r="N53" s="673">
        <v>62</v>
      </c>
      <c r="O53" s="673">
        <v>52</v>
      </c>
      <c r="P53" s="673">
        <v>57</v>
      </c>
      <c r="Q53" s="673">
        <v>55</v>
      </c>
      <c r="R53" s="673">
        <v>46</v>
      </c>
      <c r="S53" s="673">
        <v>51</v>
      </c>
      <c r="T53" s="673">
        <v>41</v>
      </c>
      <c r="U53" s="673">
        <v>39</v>
      </c>
      <c r="V53" s="665">
        <v>37</v>
      </c>
      <c r="W53" s="665">
        <v>44</v>
      </c>
      <c r="X53" s="665">
        <v>41</v>
      </c>
      <c r="Y53" s="665">
        <v>56</v>
      </c>
      <c r="Z53" s="665">
        <v>52</v>
      </c>
      <c r="AA53" s="665">
        <v>55</v>
      </c>
      <c r="AB53" s="665">
        <v>63</v>
      </c>
      <c r="AC53" s="665">
        <v>52</v>
      </c>
      <c r="AD53" s="665">
        <v>60</v>
      </c>
      <c r="AE53" s="665">
        <v>58</v>
      </c>
      <c r="AF53" s="665">
        <v>57</v>
      </c>
      <c r="AG53" s="665">
        <v>60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0.11953585966219436</v>
      </c>
      <c r="F54" s="680">
        <f t="shared" si="25"/>
        <v>72.73</v>
      </c>
      <c r="G54" s="680">
        <f t="shared" si="26"/>
        <v>87.833333333333329</v>
      </c>
      <c r="H54" s="679">
        <f t="shared" si="27"/>
        <v>68.333333333333329</v>
      </c>
      <c r="I54" s="679">
        <f t="shared" si="28"/>
        <v>63.333333333333336</v>
      </c>
      <c r="J54" s="679">
        <f t="shared" si="29"/>
        <v>78.2</v>
      </c>
      <c r="K54" s="673">
        <v>101</v>
      </c>
      <c r="L54" s="673">
        <v>87</v>
      </c>
      <c r="M54" s="673">
        <v>97</v>
      </c>
      <c r="N54" s="673">
        <v>84</v>
      </c>
      <c r="O54" s="673">
        <v>84</v>
      </c>
      <c r="P54" s="673">
        <v>74</v>
      </c>
      <c r="Q54" s="673">
        <v>78</v>
      </c>
      <c r="R54" s="673">
        <v>75</v>
      </c>
      <c r="S54" s="673">
        <v>56</v>
      </c>
      <c r="T54" s="673">
        <v>73</v>
      </c>
      <c r="U54" s="673">
        <v>68</v>
      </c>
      <c r="V54" s="665">
        <v>60</v>
      </c>
      <c r="W54" s="665">
        <v>70</v>
      </c>
      <c r="X54" s="665">
        <v>59</v>
      </c>
      <c r="Y54" s="665">
        <v>67</v>
      </c>
      <c r="Z54" s="665">
        <v>66</v>
      </c>
      <c r="AA54" s="665">
        <v>66</v>
      </c>
      <c r="AB54" s="665">
        <v>52</v>
      </c>
      <c r="AC54" s="665">
        <v>82</v>
      </c>
      <c r="AD54" s="665">
        <v>79</v>
      </c>
      <c r="AE54" s="665">
        <v>76</v>
      </c>
      <c r="AF54" s="665">
        <v>72</v>
      </c>
      <c r="AG54" s="665">
        <v>82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0.12281201549325867</v>
      </c>
      <c r="F55" s="680">
        <f t="shared" si="25"/>
        <v>74.723333333333329</v>
      </c>
      <c r="G55" s="680">
        <f t="shared" si="26"/>
        <v>79.5</v>
      </c>
      <c r="H55" s="679">
        <f t="shared" si="27"/>
        <v>69.166666666666671</v>
      </c>
      <c r="I55" s="679">
        <f t="shared" si="28"/>
        <v>66.333333333333329</v>
      </c>
      <c r="J55" s="679">
        <f t="shared" si="29"/>
        <v>82.6</v>
      </c>
      <c r="K55" s="673">
        <v>86</v>
      </c>
      <c r="L55" s="673">
        <v>82</v>
      </c>
      <c r="M55" s="673">
        <v>80</v>
      </c>
      <c r="N55" s="673">
        <v>76</v>
      </c>
      <c r="O55" s="673">
        <v>73</v>
      </c>
      <c r="P55" s="673">
        <v>80</v>
      </c>
      <c r="Q55" s="673">
        <v>77</v>
      </c>
      <c r="R55" s="673">
        <v>71</v>
      </c>
      <c r="S55" s="673">
        <v>58</v>
      </c>
      <c r="T55" s="673">
        <v>67</v>
      </c>
      <c r="U55" s="673">
        <v>75</v>
      </c>
      <c r="V55" s="665">
        <v>67</v>
      </c>
      <c r="W55" s="665">
        <v>60</v>
      </c>
      <c r="X55" s="665">
        <v>70</v>
      </c>
      <c r="Y55" s="665">
        <v>78</v>
      </c>
      <c r="Z55" s="665">
        <v>49</v>
      </c>
      <c r="AA55" s="665">
        <v>74</v>
      </c>
      <c r="AB55" s="665">
        <v>67</v>
      </c>
      <c r="AC55" s="665">
        <v>65</v>
      </c>
      <c r="AD55" s="665">
        <v>79</v>
      </c>
      <c r="AE55" s="665">
        <v>96</v>
      </c>
      <c r="AF55" s="665">
        <v>82</v>
      </c>
      <c r="AG55" s="665">
        <v>91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0.15347530008601276</v>
      </c>
      <c r="F56" s="680">
        <f t="shared" si="25"/>
        <v>93.38</v>
      </c>
      <c r="G56" s="680">
        <f t="shared" si="26"/>
        <v>96.5</v>
      </c>
      <c r="H56" s="679">
        <f t="shared" si="27"/>
        <v>87</v>
      </c>
      <c r="I56" s="679">
        <f t="shared" si="28"/>
        <v>98.166666666666671</v>
      </c>
      <c r="J56" s="679">
        <f t="shared" si="29"/>
        <v>92.2</v>
      </c>
      <c r="K56" s="673">
        <v>106</v>
      </c>
      <c r="L56" s="673">
        <v>103</v>
      </c>
      <c r="M56" s="673">
        <v>99</v>
      </c>
      <c r="N56" s="673">
        <v>97</v>
      </c>
      <c r="O56" s="673">
        <v>91</v>
      </c>
      <c r="P56" s="673">
        <v>83</v>
      </c>
      <c r="Q56" s="673">
        <v>84</v>
      </c>
      <c r="R56" s="673">
        <v>83</v>
      </c>
      <c r="S56" s="673">
        <v>80</v>
      </c>
      <c r="T56" s="673">
        <v>90</v>
      </c>
      <c r="U56" s="673">
        <v>103</v>
      </c>
      <c r="V56" s="665">
        <v>82</v>
      </c>
      <c r="W56" s="665">
        <v>94</v>
      </c>
      <c r="X56" s="665">
        <v>96</v>
      </c>
      <c r="Y56" s="665">
        <v>102</v>
      </c>
      <c r="Z56" s="665">
        <v>92</v>
      </c>
      <c r="AA56" s="665">
        <v>103</v>
      </c>
      <c r="AB56" s="665">
        <v>102</v>
      </c>
      <c r="AC56" s="665">
        <v>93</v>
      </c>
      <c r="AD56" s="665">
        <v>103</v>
      </c>
      <c r="AE56" s="665">
        <v>95</v>
      </c>
      <c r="AF56" s="665">
        <v>84</v>
      </c>
      <c r="AG56" s="665">
        <v>86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0.1491034399636226</v>
      </c>
      <c r="F57" s="680">
        <f t="shared" si="25"/>
        <v>90.72</v>
      </c>
      <c r="G57" s="680">
        <f t="shared" si="26"/>
        <v>83.666666666666671</v>
      </c>
      <c r="H57" s="679">
        <f t="shared" si="27"/>
        <v>76.666666666666671</v>
      </c>
      <c r="I57" s="679">
        <f t="shared" si="28"/>
        <v>86.333333333333329</v>
      </c>
      <c r="J57" s="679">
        <f t="shared" si="29"/>
        <v>102.8</v>
      </c>
      <c r="K57" s="673">
        <v>100</v>
      </c>
      <c r="L57" s="673">
        <v>85</v>
      </c>
      <c r="M57" s="673">
        <v>90</v>
      </c>
      <c r="N57" s="673">
        <v>80</v>
      </c>
      <c r="O57" s="673">
        <v>75</v>
      </c>
      <c r="P57" s="673">
        <v>72</v>
      </c>
      <c r="Q57" s="673">
        <v>74</v>
      </c>
      <c r="R57" s="673">
        <v>74</v>
      </c>
      <c r="S57" s="673">
        <v>79</v>
      </c>
      <c r="T57" s="673">
        <v>90</v>
      </c>
      <c r="U57" s="673">
        <v>72</v>
      </c>
      <c r="V57" s="665">
        <v>71</v>
      </c>
      <c r="W57" s="665">
        <v>80</v>
      </c>
      <c r="X57" s="665">
        <v>83</v>
      </c>
      <c r="Y57" s="665">
        <v>95</v>
      </c>
      <c r="Z57" s="665">
        <v>83</v>
      </c>
      <c r="AA57" s="665">
        <v>86</v>
      </c>
      <c r="AB57" s="665">
        <v>91</v>
      </c>
      <c r="AC57" s="665">
        <v>90</v>
      </c>
      <c r="AD57" s="665">
        <v>93</v>
      </c>
      <c r="AE57" s="665">
        <v>107</v>
      </c>
      <c r="AF57" s="665">
        <v>105</v>
      </c>
      <c r="AG57" s="665">
        <v>119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0.12849708516991326</v>
      </c>
      <c r="F58" s="680">
        <f t="shared" si="25"/>
        <v>75.31</v>
      </c>
      <c r="G58" s="680">
        <f t="shared" si="26"/>
        <v>78</v>
      </c>
      <c r="H58" s="679">
        <f t="shared" si="27"/>
        <v>72</v>
      </c>
      <c r="I58" s="679">
        <f t="shared" si="28"/>
        <v>73.833333333333329</v>
      </c>
      <c r="J58" s="679">
        <f t="shared" si="29"/>
        <v>77.400000000000006</v>
      </c>
      <c r="K58" s="673">
        <v>82</v>
      </c>
      <c r="L58" s="673">
        <v>68</v>
      </c>
      <c r="M58" s="673">
        <v>84</v>
      </c>
      <c r="N58" s="673">
        <v>75</v>
      </c>
      <c r="O58" s="673">
        <v>81</v>
      </c>
      <c r="P58" s="673">
        <v>78</v>
      </c>
      <c r="Q58" s="673">
        <v>66</v>
      </c>
      <c r="R58" s="673">
        <v>68</v>
      </c>
      <c r="S58" s="673">
        <v>68</v>
      </c>
      <c r="T58" s="673">
        <v>79</v>
      </c>
      <c r="U58" s="673">
        <v>74</v>
      </c>
      <c r="V58" s="665">
        <v>77</v>
      </c>
      <c r="W58" s="665">
        <v>89</v>
      </c>
      <c r="X58" s="665">
        <v>94</v>
      </c>
      <c r="Y58" s="665">
        <v>81</v>
      </c>
      <c r="Z58" s="665">
        <v>56</v>
      </c>
      <c r="AA58" s="665">
        <v>60</v>
      </c>
      <c r="AB58" s="665">
        <v>63</v>
      </c>
      <c r="AC58" s="665">
        <v>64</v>
      </c>
      <c r="AD58" s="665">
        <v>71</v>
      </c>
      <c r="AE58" s="665">
        <v>72</v>
      </c>
      <c r="AF58" s="665">
        <v>90</v>
      </c>
      <c r="AG58" s="665">
        <v>90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0.10492819564908289</v>
      </c>
      <c r="F59" s="680">
        <f t="shared" si="25"/>
        <v>61.49666666666667</v>
      </c>
      <c r="G59" s="680">
        <f t="shared" si="26"/>
        <v>57</v>
      </c>
      <c r="H59" s="679">
        <f t="shared" si="27"/>
        <v>61.833333333333336</v>
      </c>
      <c r="I59" s="679">
        <f t="shared" si="28"/>
        <v>61.833333333333336</v>
      </c>
      <c r="J59" s="679">
        <f t="shared" si="29"/>
        <v>62.2</v>
      </c>
      <c r="K59" s="673">
        <v>67</v>
      </c>
      <c r="L59" s="673">
        <v>63</v>
      </c>
      <c r="M59" s="673">
        <v>54</v>
      </c>
      <c r="N59" s="673">
        <v>51</v>
      </c>
      <c r="O59" s="673">
        <v>52</v>
      </c>
      <c r="P59" s="673">
        <v>55</v>
      </c>
      <c r="Q59" s="673">
        <v>57</v>
      </c>
      <c r="R59" s="673">
        <v>61</v>
      </c>
      <c r="S59" s="673">
        <v>55</v>
      </c>
      <c r="T59" s="673">
        <v>72</v>
      </c>
      <c r="U59" s="673">
        <v>66</v>
      </c>
      <c r="V59" s="665">
        <v>60</v>
      </c>
      <c r="W59" s="665">
        <v>75</v>
      </c>
      <c r="X59" s="665">
        <v>69</v>
      </c>
      <c r="Y59" s="665">
        <v>61</v>
      </c>
      <c r="Z59" s="665">
        <v>59</v>
      </c>
      <c r="AA59" s="665">
        <v>54</v>
      </c>
      <c r="AB59" s="665">
        <v>53</v>
      </c>
      <c r="AC59" s="665">
        <v>49</v>
      </c>
      <c r="AD59" s="665">
        <v>69</v>
      </c>
      <c r="AE59" s="665">
        <v>60</v>
      </c>
      <c r="AF59" s="665">
        <v>68</v>
      </c>
      <c r="AG59" s="665">
        <v>65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9.2603440921370669E-2</v>
      </c>
      <c r="F60" s="680">
        <f t="shared" si="25"/>
        <v>54.273333333333333</v>
      </c>
      <c r="G60" s="680">
        <f t="shared" si="26"/>
        <v>51.5</v>
      </c>
      <c r="H60" s="679">
        <f t="shared" si="27"/>
        <v>50.166666666666664</v>
      </c>
      <c r="I60" s="679">
        <f t="shared" si="28"/>
        <v>49.5</v>
      </c>
      <c r="J60" s="679">
        <f t="shared" si="29"/>
        <v>60.6</v>
      </c>
      <c r="K60" s="673">
        <v>56</v>
      </c>
      <c r="L60" s="673">
        <v>47</v>
      </c>
      <c r="M60" s="673">
        <v>57</v>
      </c>
      <c r="N60" s="673">
        <v>51</v>
      </c>
      <c r="O60" s="673">
        <v>46</v>
      </c>
      <c r="P60" s="673">
        <v>52</v>
      </c>
      <c r="Q60" s="673">
        <v>59</v>
      </c>
      <c r="R60" s="673">
        <v>59</v>
      </c>
      <c r="S60" s="673">
        <v>48</v>
      </c>
      <c r="T60" s="673">
        <v>50</v>
      </c>
      <c r="U60" s="673">
        <v>42</v>
      </c>
      <c r="V60" s="665">
        <v>43</v>
      </c>
      <c r="W60" s="665">
        <v>57</v>
      </c>
      <c r="X60" s="665">
        <v>59</v>
      </c>
      <c r="Y60" s="665">
        <v>54</v>
      </c>
      <c r="Z60" s="665">
        <v>44</v>
      </c>
      <c r="AA60" s="665">
        <v>46</v>
      </c>
      <c r="AB60" s="665">
        <v>37</v>
      </c>
      <c r="AC60" s="665">
        <v>51</v>
      </c>
      <c r="AD60" s="665">
        <v>55</v>
      </c>
      <c r="AE60" s="665">
        <v>57</v>
      </c>
      <c r="AF60" s="665">
        <v>66</v>
      </c>
      <c r="AG60" s="665">
        <v>74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0.12244561353618655</v>
      </c>
      <c r="F61" s="680">
        <f t="shared" si="25"/>
        <v>71.763333333333335</v>
      </c>
      <c r="G61" s="680">
        <f t="shared" si="26"/>
        <v>69.833333333333329</v>
      </c>
      <c r="H61" s="679">
        <f t="shared" si="27"/>
        <v>76.5</v>
      </c>
      <c r="I61" s="679">
        <f t="shared" si="28"/>
        <v>70</v>
      </c>
      <c r="J61" s="679">
        <f t="shared" si="29"/>
        <v>71.2</v>
      </c>
      <c r="K61" s="673">
        <v>62</v>
      </c>
      <c r="L61" s="673">
        <v>57</v>
      </c>
      <c r="M61" s="673">
        <v>77</v>
      </c>
      <c r="N61" s="673">
        <v>69</v>
      </c>
      <c r="O61" s="673">
        <v>75</v>
      </c>
      <c r="P61" s="673">
        <v>79</v>
      </c>
      <c r="Q61" s="673">
        <v>79</v>
      </c>
      <c r="R61" s="673">
        <v>79</v>
      </c>
      <c r="S61" s="673">
        <v>79</v>
      </c>
      <c r="T61" s="673">
        <v>86</v>
      </c>
      <c r="U61" s="673">
        <v>74</v>
      </c>
      <c r="V61" s="665">
        <v>62</v>
      </c>
      <c r="W61" s="665">
        <v>75</v>
      </c>
      <c r="X61" s="665">
        <v>85</v>
      </c>
      <c r="Y61" s="665">
        <v>73</v>
      </c>
      <c r="Z61" s="665">
        <v>71</v>
      </c>
      <c r="AA61" s="665">
        <v>60</v>
      </c>
      <c r="AB61" s="665">
        <v>56</v>
      </c>
      <c r="AC61" s="665">
        <v>64</v>
      </c>
      <c r="AD61" s="665">
        <v>69</v>
      </c>
      <c r="AE61" s="665">
        <v>60</v>
      </c>
      <c r="AF61" s="665">
        <v>81</v>
      </c>
      <c r="AG61" s="665">
        <v>82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0.12369685767097967</v>
      </c>
      <c r="F62" s="680">
        <f t="shared" si="25"/>
        <v>72.49666666666667</v>
      </c>
      <c r="G62" s="680">
        <f t="shared" si="26"/>
        <v>86.833333333333329</v>
      </c>
      <c r="H62" s="679">
        <f t="shared" si="27"/>
        <v>86.166666666666671</v>
      </c>
      <c r="I62" s="679">
        <f t="shared" si="28"/>
        <v>67</v>
      </c>
      <c r="J62" s="679">
        <f t="shared" si="29"/>
        <v>66.2</v>
      </c>
      <c r="K62" s="673">
        <v>88</v>
      </c>
      <c r="L62" s="673">
        <v>82</v>
      </c>
      <c r="M62" s="673">
        <v>92</v>
      </c>
      <c r="N62" s="673">
        <v>90</v>
      </c>
      <c r="O62" s="673">
        <v>91</v>
      </c>
      <c r="P62" s="673">
        <v>78</v>
      </c>
      <c r="Q62" s="673">
        <v>85</v>
      </c>
      <c r="R62" s="673">
        <v>84</v>
      </c>
      <c r="S62" s="673">
        <v>78</v>
      </c>
      <c r="T62" s="673">
        <v>93</v>
      </c>
      <c r="U62" s="673">
        <v>91</v>
      </c>
      <c r="V62" s="665">
        <v>86</v>
      </c>
      <c r="W62" s="665">
        <v>85</v>
      </c>
      <c r="X62" s="665">
        <v>79</v>
      </c>
      <c r="Y62" s="665">
        <v>62</v>
      </c>
      <c r="Z62" s="665">
        <v>63</v>
      </c>
      <c r="AA62" s="665">
        <v>62</v>
      </c>
      <c r="AB62" s="665">
        <v>51</v>
      </c>
      <c r="AC62" s="665">
        <v>64</v>
      </c>
      <c r="AD62" s="665">
        <v>73</v>
      </c>
      <c r="AE62" s="665">
        <v>53</v>
      </c>
      <c r="AF62" s="665">
        <v>67</v>
      </c>
      <c r="AG62" s="665">
        <v>74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9.1170197639698553E-2</v>
      </c>
      <c r="F63" s="680">
        <f t="shared" si="25"/>
        <v>53.43333333333333</v>
      </c>
      <c r="G63" s="680">
        <f t="shared" si="26"/>
        <v>69.833333333333329</v>
      </c>
      <c r="H63" s="679">
        <f t="shared" si="27"/>
        <v>62</v>
      </c>
      <c r="I63" s="679">
        <f t="shared" si="28"/>
        <v>48.166666666666664</v>
      </c>
      <c r="J63" s="679">
        <f t="shared" si="29"/>
        <v>49</v>
      </c>
      <c r="K63" s="673">
        <v>76</v>
      </c>
      <c r="L63" s="673">
        <v>69</v>
      </c>
      <c r="M63" s="673">
        <v>70</v>
      </c>
      <c r="N63" s="673">
        <v>73</v>
      </c>
      <c r="O63" s="673">
        <v>68</v>
      </c>
      <c r="P63" s="673">
        <v>63</v>
      </c>
      <c r="Q63" s="673">
        <v>66</v>
      </c>
      <c r="R63" s="673">
        <v>70</v>
      </c>
      <c r="S63" s="673">
        <v>56</v>
      </c>
      <c r="T63" s="673">
        <v>68</v>
      </c>
      <c r="U63" s="673">
        <v>61</v>
      </c>
      <c r="V63" s="665">
        <v>51</v>
      </c>
      <c r="W63" s="665">
        <v>56</v>
      </c>
      <c r="X63" s="665">
        <v>56</v>
      </c>
      <c r="Y63" s="665">
        <v>52</v>
      </c>
      <c r="Z63" s="665">
        <v>41</v>
      </c>
      <c r="AA63" s="665">
        <v>48</v>
      </c>
      <c r="AB63" s="665">
        <v>36</v>
      </c>
      <c r="AC63" s="665">
        <v>41</v>
      </c>
      <c r="AD63" s="665">
        <v>51</v>
      </c>
      <c r="AE63" s="665">
        <v>48</v>
      </c>
      <c r="AF63" s="665">
        <v>48</v>
      </c>
      <c r="AG63" s="665">
        <v>57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9.5202616237736376E-2</v>
      </c>
      <c r="F64" s="680">
        <f t="shared" si="25"/>
        <v>55.796666666666667</v>
      </c>
      <c r="G64" s="680">
        <f t="shared" si="26"/>
        <v>45.333333333333336</v>
      </c>
      <c r="H64" s="679">
        <f t="shared" si="27"/>
        <v>57.666666666666664</v>
      </c>
      <c r="I64" s="679">
        <f t="shared" si="28"/>
        <v>57.5</v>
      </c>
      <c r="J64" s="679">
        <f t="shared" si="29"/>
        <v>56.2</v>
      </c>
      <c r="K64" s="673">
        <v>48</v>
      </c>
      <c r="L64" s="673">
        <v>47</v>
      </c>
      <c r="M64" s="673">
        <v>45</v>
      </c>
      <c r="N64" s="673">
        <v>44</v>
      </c>
      <c r="O64" s="673">
        <v>48</v>
      </c>
      <c r="P64" s="673">
        <v>40</v>
      </c>
      <c r="Q64" s="673">
        <v>49</v>
      </c>
      <c r="R64" s="673">
        <v>62</v>
      </c>
      <c r="S64" s="673">
        <v>55</v>
      </c>
      <c r="T64" s="673">
        <v>63</v>
      </c>
      <c r="U64" s="673">
        <v>63</v>
      </c>
      <c r="V64" s="665">
        <v>54</v>
      </c>
      <c r="W64" s="665">
        <v>65</v>
      </c>
      <c r="X64" s="665">
        <v>54</v>
      </c>
      <c r="Y64" s="665">
        <v>54</v>
      </c>
      <c r="Z64" s="665">
        <v>53</v>
      </c>
      <c r="AA64" s="665">
        <v>57</v>
      </c>
      <c r="AB64" s="665">
        <v>62</v>
      </c>
      <c r="AC64" s="665">
        <v>57</v>
      </c>
      <c r="AD64" s="665">
        <v>58</v>
      </c>
      <c r="AE64" s="665">
        <v>54</v>
      </c>
      <c r="AF64" s="665">
        <v>52</v>
      </c>
      <c r="AG64" s="665">
        <v>60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0.13032845158538317</v>
      </c>
      <c r="F65" s="680">
        <f t="shared" si="25"/>
        <v>76.383333333333326</v>
      </c>
      <c r="G65" s="680">
        <f t="shared" si="26"/>
        <v>98</v>
      </c>
      <c r="H65" s="679">
        <f t="shared" si="27"/>
        <v>82.166666666666671</v>
      </c>
      <c r="I65" s="679">
        <f t="shared" si="28"/>
        <v>73.833333333333329</v>
      </c>
      <c r="J65" s="679">
        <f t="shared" si="29"/>
        <v>70</v>
      </c>
      <c r="K65" s="673">
        <v>111</v>
      </c>
      <c r="L65" s="673">
        <v>99</v>
      </c>
      <c r="M65" s="673">
        <v>94</v>
      </c>
      <c r="N65" s="673">
        <v>98</v>
      </c>
      <c r="O65" s="673">
        <v>99</v>
      </c>
      <c r="P65" s="673">
        <v>87</v>
      </c>
      <c r="Q65" s="673">
        <v>88</v>
      </c>
      <c r="R65" s="673">
        <v>86</v>
      </c>
      <c r="S65" s="673">
        <v>81</v>
      </c>
      <c r="T65" s="673">
        <v>92</v>
      </c>
      <c r="U65" s="673">
        <v>82</v>
      </c>
      <c r="V65" s="665">
        <v>64</v>
      </c>
      <c r="W65" s="665">
        <v>82</v>
      </c>
      <c r="X65" s="665">
        <v>89</v>
      </c>
      <c r="Y65" s="665">
        <v>72</v>
      </c>
      <c r="Z65" s="665">
        <v>55</v>
      </c>
      <c r="AA65" s="665">
        <v>66</v>
      </c>
      <c r="AB65" s="665">
        <v>79</v>
      </c>
      <c r="AC65" s="665">
        <v>65</v>
      </c>
      <c r="AD65" s="665">
        <v>64</v>
      </c>
      <c r="AE65" s="665">
        <v>70</v>
      </c>
      <c r="AF65" s="665">
        <v>74</v>
      </c>
      <c r="AG65" s="665">
        <v>77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0.11112754158964878</v>
      </c>
      <c r="F66" s="680">
        <f t="shared" si="25"/>
        <v>65.13</v>
      </c>
      <c r="G66" s="680">
        <f t="shared" si="26"/>
        <v>74.333333333333329</v>
      </c>
      <c r="H66" s="679">
        <f t="shared" si="27"/>
        <v>64.833333333333329</v>
      </c>
      <c r="I66" s="679">
        <f t="shared" si="28"/>
        <v>62.166666666666664</v>
      </c>
      <c r="J66" s="679">
        <f t="shared" si="29"/>
        <v>65.2</v>
      </c>
      <c r="K66" s="673">
        <v>82</v>
      </c>
      <c r="L66" s="673">
        <v>75</v>
      </c>
      <c r="M66" s="673">
        <v>85</v>
      </c>
      <c r="N66" s="673">
        <v>72</v>
      </c>
      <c r="O66" s="673">
        <v>64</v>
      </c>
      <c r="P66" s="673">
        <v>68</v>
      </c>
      <c r="Q66" s="673">
        <v>69</v>
      </c>
      <c r="R66" s="673">
        <v>66</v>
      </c>
      <c r="S66" s="673">
        <v>55</v>
      </c>
      <c r="T66" s="673">
        <v>67</v>
      </c>
      <c r="U66" s="673">
        <v>71</v>
      </c>
      <c r="V66" s="665">
        <v>61</v>
      </c>
      <c r="W66" s="665">
        <v>60</v>
      </c>
      <c r="X66" s="665">
        <v>68</v>
      </c>
      <c r="Y66" s="665">
        <v>68</v>
      </c>
      <c r="Z66" s="665">
        <v>59</v>
      </c>
      <c r="AA66" s="665">
        <v>57</v>
      </c>
      <c r="AB66" s="665">
        <v>61</v>
      </c>
      <c r="AC66" s="665">
        <v>58</v>
      </c>
      <c r="AD66" s="665">
        <v>71</v>
      </c>
      <c r="AE66" s="665">
        <v>61</v>
      </c>
      <c r="AF66" s="665">
        <v>66</v>
      </c>
      <c r="AG66" s="665">
        <v>70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0.18505050798891659</v>
      </c>
      <c r="F67" s="680">
        <f t="shared" si="25"/>
        <v>84.816666666666663</v>
      </c>
      <c r="G67" s="680">
        <f t="shared" si="26"/>
        <v>86.333333333333329</v>
      </c>
      <c r="H67" s="679">
        <f t="shared" si="27"/>
        <v>82.166666666666671</v>
      </c>
      <c r="I67" s="679">
        <f t="shared" si="28"/>
        <v>88.5</v>
      </c>
      <c r="J67" s="679">
        <f t="shared" si="29"/>
        <v>83</v>
      </c>
      <c r="K67" s="673">
        <v>93</v>
      </c>
      <c r="L67" s="673">
        <v>93</v>
      </c>
      <c r="M67" s="673">
        <v>90</v>
      </c>
      <c r="N67" s="673">
        <v>76</v>
      </c>
      <c r="O67" s="673">
        <v>86</v>
      </c>
      <c r="P67" s="673">
        <v>80</v>
      </c>
      <c r="Q67" s="673">
        <v>89</v>
      </c>
      <c r="R67" s="673">
        <v>78</v>
      </c>
      <c r="S67" s="673">
        <v>76</v>
      </c>
      <c r="T67" s="673">
        <v>93</v>
      </c>
      <c r="U67" s="673">
        <v>83</v>
      </c>
      <c r="V67" s="665">
        <v>74</v>
      </c>
      <c r="W67" s="665">
        <v>83</v>
      </c>
      <c r="X67" s="665">
        <v>92</v>
      </c>
      <c r="Y67" s="665">
        <v>86</v>
      </c>
      <c r="Z67" s="665">
        <v>86</v>
      </c>
      <c r="AA67" s="665">
        <v>94</v>
      </c>
      <c r="AB67" s="665">
        <v>90</v>
      </c>
      <c r="AC67" s="665">
        <v>82</v>
      </c>
      <c r="AD67" s="665">
        <v>87</v>
      </c>
      <c r="AE67" s="665">
        <v>82</v>
      </c>
      <c r="AF67" s="665">
        <v>78</v>
      </c>
      <c r="AG67" s="665">
        <v>86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0.15869471938794061</v>
      </c>
      <c r="F68" s="680">
        <f t="shared" si="25"/>
        <v>72.736666666666665</v>
      </c>
      <c r="G68" s="680">
        <f t="shared" si="26"/>
        <v>95</v>
      </c>
      <c r="H68" s="679">
        <f t="shared" si="27"/>
        <v>73.833333333333329</v>
      </c>
      <c r="I68" s="679">
        <f t="shared" si="28"/>
        <v>72.5</v>
      </c>
      <c r="J68" s="679">
        <f t="shared" si="29"/>
        <v>66.8</v>
      </c>
      <c r="K68" s="673">
        <v>113</v>
      </c>
      <c r="L68" s="673">
        <v>101</v>
      </c>
      <c r="M68" s="673">
        <v>101</v>
      </c>
      <c r="N68" s="673">
        <v>96</v>
      </c>
      <c r="O68" s="673">
        <v>84</v>
      </c>
      <c r="P68" s="673">
        <v>75</v>
      </c>
      <c r="Q68" s="673">
        <v>76</v>
      </c>
      <c r="R68" s="673">
        <v>66</v>
      </c>
      <c r="S68" s="673">
        <v>71</v>
      </c>
      <c r="T68" s="673">
        <v>86</v>
      </c>
      <c r="U68" s="673">
        <v>78</v>
      </c>
      <c r="V68" s="665">
        <v>66</v>
      </c>
      <c r="W68" s="665">
        <v>74</v>
      </c>
      <c r="X68" s="665">
        <v>76</v>
      </c>
      <c r="Y68" s="665">
        <v>71</v>
      </c>
      <c r="Z68" s="665">
        <v>69</v>
      </c>
      <c r="AA68" s="665">
        <v>73</v>
      </c>
      <c r="AB68" s="665">
        <v>72</v>
      </c>
      <c r="AC68" s="665">
        <v>68</v>
      </c>
      <c r="AD68" s="665">
        <v>68</v>
      </c>
      <c r="AE68" s="665">
        <v>66</v>
      </c>
      <c r="AF68" s="665">
        <v>59</v>
      </c>
      <c r="AG68" s="665">
        <v>73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0.14002603579558265</v>
      </c>
      <c r="F69" s="680">
        <f t="shared" si="25"/>
        <v>64.180000000000007</v>
      </c>
      <c r="G69" s="680">
        <f t="shared" si="26"/>
        <v>63.333333333333336</v>
      </c>
      <c r="H69" s="679">
        <f t="shared" si="27"/>
        <v>63.833333333333336</v>
      </c>
      <c r="I69" s="679">
        <f t="shared" si="28"/>
        <v>67.333333333333329</v>
      </c>
      <c r="J69" s="679">
        <f t="shared" si="29"/>
        <v>62.2</v>
      </c>
      <c r="K69" s="673">
        <v>74</v>
      </c>
      <c r="L69" s="673">
        <v>70</v>
      </c>
      <c r="M69" s="673">
        <v>73</v>
      </c>
      <c r="N69" s="673">
        <v>61</v>
      </c>
      <c r="O69" s="673">
        <v>52</v>
      </c>
      <c r="P69" s="673">
        <v>50</v>
      </c>
      <c r="Q69" s="673">
        <v>54</v>
      </c>
      <c r="R69" s="673">
        <v>55</v>
      </c>
      <c r="S69" s="673">
        <v>60</v>
      </c>
      <c r="T69" s="673">
        <v>71</v>
      </c>
      <c r="U69" s="673">
        <v>70</v>
      </c>
      <c r="V69" s="665">
        <v>73</v>
      </c>
      <c r="W69" s="665">
        <v>68</v>
      </c>
      <c r="X69" s="665">
        <v>67</v>
      </c>
      <c r="Y69" s="665">
        <v>72</v>
      </c>
      <c r="Z69" s="665">
        <v>67</v>
      </c>
      <c r="AA69" s="665">
        <v>69</v>
      </c>
      <c r="AB69" s="665">
        <v>61</v>
      </c>
      <c r="AC69" s="665">
        <v>57</v>
      </c>
      <c r="AD69" s="665">
        <v>58</v>
      </c>
      <c r="AE69" s="665">
        <v>65</v>
      </c>
      <c r="AF69" s="665">
        <v>62</v>
      </c>
      <c r="AG69" s="665">
        <v>69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0.15514570591187105</v>
      </c>
      <c r="F70" s="680">
        <f t="shared" si="25"/>
        <v>71.110000000000014</v>
      </c>
      <c r="G70" s="680">
        <f t="shared" si="26"/>
        <v>85.166666666666671</v>
      </c>
      <c r="H70" s="679">
        <f t="shared" si="27"/>
        <v>69.666666666666671</v>
      </c>
      <c r="I70" s="679">
        <f t="shared" si="28"/>
        <v>72.333333333333329</v>
      </c>
      <c r="J70" s="679">
        <f t="shared" si="29"/>
        <v>67.400000000000006</v>
      </c>
      <c r="K70" s="673">
        <v>96</v>
      </c>
      <c r="L70" s="673">
        <v>81</v>
      </c>
      <c r="M70" s="673">
        <v>85</v>
      </c>
      <c r="N70" s="673">
        <v>83</v>
      </c>
      <c r="O70" s="673">
        <v>86</v>
      </c>
      <c r="P70" s="673">
        <v>80</v>
      </c>
      <c r="Q70" s="673">
        <v>75</v>
      </c>
      <c r="R70" s="673">
        <v>71</v>
      </c>
      <c r="S70" s="673">
        <v>70</v>
      </c>
      <c r="T70" s="673">
        <v>64</v>
      </c>
      <c r="U70" s="673">
        <v>71</v>
      </c>
      <c r="V70" s="665">
        <v>67</v>
      </c>
      <c r="W70" s="665">
        <v>65</v>
      </c>
      <c r="X70" s="665">
        <v>76</v>
      </c>
      <c r="Y70" s="665">
        <v>75</v>
      </c>
      <c r="Z70" s="665">
        <v>70</v>
      </c>
      <c r="AA70" s="665">
        <v>78</v>
      </c>
      <c r="AB70" s="665">
        <v>70</v>
      </c>
      <c r="AC70" s="665">
        <v>62</v>
      </c>
      <c r="AD70" s="665">
        <v>64</v>
      </c>
      <c r="AE70" s="665">
        <v>67</v>
      </c>
      <c r="AF70" s="665">
        <v>71</v>
      </c>
      <c r="AG70" s="665">
        <v>73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0.17441074012930624</v>
      </c>
      <c r="F71" s="680">
        <f t="shared" si="25"/>
        <v>79.94</v>
      </c>
      <c r="G71" s="680">
        <f t="shared" si="26"/>
        <v>81</v>
      </c>
      <c r="H71" s="679">
        <f t="shared" si="27"/>
        <v>81.5</v>
      </c>
      <c r="I71" s="679">
        <f t="shared" si="28"/>
        <v>83</v>
      </c>
      <c r="J71" s="679">
        <f t="shared" si="29"/>
        <v>76.599999999999994</v>
      </c>
      <c r="K71" s="673">
        <v>82</v>
      </c>
      <c r="L71" s="673">
        <v>77</v>
      </c>
      <c r="M71" s="673">
        <v>80</v>
      </c>
      <c r="N71" s="673">
        <v>80</v>
      </c>
      <c r="O71" s="673">
        <v>83</v>
      </c>
      <c r="P71" s="673">
        <v>84</v>
      </c>
      <c r="Q71" s="673">
        <v>80</v>
      </c>
      <c r="R71" s="673">
        <v>83</v>
      </c>
      <c r="S71" s="673">
        <v>81</v>
      </c>
      <c r="T71" s="673">
        <v>86</v>
      </c>
      <c r="U71" s="673">
        <v>81</v>
      </c>
      <c r="V71" s="665">
        <v>78</v>
      </c>
      <c r="W71" s="665">
        <v>77</v>
      </c>
      <c r="X71" s="665">
        <v>84</v>
      </c>
      <c r="Y71" s="665">
        <v>85</v>
      </c>
      <c r="Z71" s="665">
        <v>82</v>
      </c>
      <c r="AA71" s="665">
        <v>90</v>
      </c>
      <c r="AB71" s="665">
        <v>80</v>
      </c>
      <c r="AC71" s="665">
        <v>73</v>
      </c>
      <c r="AD71" s="665">
        <v>77</v>
      </c>
      <c r="AE71" s="665">
        <v>78</v>
      </c>
      <c r="AF71" s="665">
        <v>74</v>
      </c>
      <c r="AG71" s="665">
        <v>81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0.18667229078638284</v>
      </c>
      <c r="F72" s="680">
        <f t="shared" si="25"/>
        <v>85.56</v>
      </c>
      <c r="G72" s="680">
        <f t="shared" si="26"/>
        <v>83.666666666666671</v>
      </c>
      <c r="H72" s="679">
        <f t="shared" si="27"/>
        <v>84.166666666666671</v>
      </c>
      <c r="I72" s="679">
        <f t="shared" si="28"/>
        <v>86</v>
      </c>
      <c r="J72" s="679">
        <f t="shared" si="29"/>
        <v>86.4</v>
      </c>
      <c r="K72" s="673">
        <v>92</v>
      </c>
      <c r="L72" s="673">
        <v>83</v>
      </c>
      <c r="M72" s="673">
        <v>89</v>
      </c>
      <c r="N72" s="673">
        <v>78</v>
      </c>
      <c r="O72" s="673">
        <v>86</v>
      </c>
      <c r="P72" s="673">
        <v>74</v>
      </c>
      <c r="Q72" s="673">
        <v>79</v>
      </c>
      <c r="R72" s="673">
        <v>80</v>
      </c>
      <c r="S72" s="673">
        <v>84</v>
      </c>
      <c r="T72" s="673">
        <v>89</v>
      </c>
      <c r="U72" s="673">
        <v>89</v>
      </c>
      <c r="V72" s="665">
        <v>84</v>
      </c>
      <c r="W72" s="665">
        <v>85</v>
      </c>
      <c r="X72" s="665">
        <v>86</v>
      </c>
      <c r="Y72" s="665">
        <v>87</v>
      </c>
      <c r="Z72" s="665">
        <v>80</v>
      </c>
      <c r="AA72" s="665">
        <v>90</v>
      </c>
      <c r="AB72" s="665">
        <v>88</v>
      </c>
      <c r="AC72" s="665">
        <v>84</v>
      </c>
      <c r="AD72" s="665">
        <v>85</v>
      </c>
      <c r="AE72" s="665">
        <v>85</v>
      </c>
      <c r="AF72" s="665">
        <v>76</v>
      </c>
      <c r="AG72" s="665">
        <v>102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7.1365026410897967E-2</v>
      </c>
      <c r="F73" s="680">
        <f t="shared" si="25"/>
        <v>34.226666666666667</v>
      </c>
      <c r="G73" s="680">
        <f t="shared" si="26"/>
        <v>42.333333333333336</v>
      </c>
      <c r="H73" s="679">
        <f t="shared" si="27"/>
        <v>38.166666666666664</v>
      </c>
      <c r="I73" s="679">
        <f t="shared" si="28"/>
        <v>32.666666666666664</v>
      </c>
      <c r="J73" s="679">
        <f t="shared" si="29"/>
        <v>31.4</v>
      </c>
      <c r="K73" s="673">
        <v>40</v>
      </c>
      <c r="L73" s="673">
        <v>41</v>
      </c>
      <c r="M73" s="673">
        <v>40</v>
      </c>
      <c r="N73" s="673">
        <v>39</v>
      </c>
      <c r="O73" s="673">
        <v>48</v>
      </c>
      <c r="P73" s="673">
        <v>46</v>
      </c>
      <c r="Q73" s="673">
        <v>46</v>
      </c>
      <c r="R73" s="673">
        <v>47</v>
      </c>
      <c r="S73" s="673">
        <v>38</v>
      </c>
      <c r="T73" s="673">
        <v>37</v>
      </c>
      <c r="U73" s="673">
        <v>32</v>
      </c>
      <c r="V73" s="665">
        <v>29</v>
      </c>
      <c r="W73" s="665">
        <v>32</v>
      </c>
      <c r="X73" s="665">
        <v>32</v>
      </c>
      <c r="Y73" s="665">
        <v>37</v>
      </c>
      <c r="Z73" s="665">
        <v>34</v>
      </c>
      <c r="AA73" s="665">
        <v>30</v>
      </c>
      <c r="AB73" s="665">
        <v>31</v>
      </c>
      <c r="AC73" s="665">
        <v>26</v>
      </c>
      <c r="AD73" s="665">
        <v>29</v>
      </c>
      <c r="AE73" s="665">
        <v>37</v>
      </c>
      <c r="AF73" s="665">
        <v>33</v>
      </c>
      <c r="AG73" s="665">
        <v>32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0.17027383931053652</v>
      </c>
      <c r="F74" s="680">
        <f t="shared" si="25"/>
        <v>81.663333333333327</v>
      </c>
      <c r="G74" s="680">
        <f t="shared" si="26"/>
        <v>86.666666666666671</v>
      </c>
      <c r="H74" s="679">
        <f t="shared" si="27"/>
        <v>86.833333333333329</v>
      </c>
      <c r="I74" s="679">
        <f t="shared" si="28"/>
        <v>82.5</v>
      </c>
      <c r="J74" s="679">
        <f t="shared" si="29"/>
        <v>77.2</v>
      </c>
      <c r="K74" s="673">
        <v>92</v>
      </c>
      <c r="L74" s="673">
        <v>91</v>
      </c>
      <c r="M74" s="673">
        <v>87</v>
      </c>
      <c r="N74" s="673">
        <v>82</v>
      </c>
      <c r="O74" s="673">
        <v>83</v>
      </c>
      <c r="P74" s="673">
        <v>85</v>
      </c>
      <c r="Q74" s="673">
        <v>95</v>
      </c>
      <c r="R74" s="673">
        <v>92</v>
      </c>
      <c r="S74" s="673">
        <v>80</v>
      </c>
      <c r="T74" s="673">
        <v>85</v>
      </c>
      <c r="U74" s="673">
        <v>81</v>
      </c>
      <c r="V74" s="665">
        <v>88</v>
      </c>
      <c r="W74" s="665">
        <v>81</v>
      </c>
      <c r="X74" s="665">
        <v>82</v>
      </c>
      <c r="Y74" s="665">
        <v>82</v>
      </c>
      <c r="Z74" s="665">
        <v>82</v>
      </c>
      <c r="AA74" s="665">
        <v>84</v>
      </c>
      <c r="AB74" s="665">
        <v>84</v>
      </c>
      <c r="AC74" s="665">
        <v>74</v>
      </c>
      <c r="AD74" s="665">
        <v>77</v>
      </c>
      <c r="AE74" s="665">
        <v>73</v>
      </c>
      <c r="AF74" s="665">
        <v>74</v>
      </c>
      <c r="AG74" s="665">
        <v>88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0.12668195718654435</v>
      </c>
      <c r="F75" s="680">
        <f t="shared" si="25"/>
        <v>60.756666666666675</v>
      </c>
      <c r="G75" s="680">
        <f t="shared" si="26"/>
        <v>74.5</v>
      </c>
      <c r="H75" s="679">
        <f t="shared" si="27"/>
        <v>62.333333333333336</v>
      </c>
      <c r="I75" s="679">
        <f t="shared" si="28"/>
        <v>52.666666666666664</v>
      </c>
      <c r="J75" s="679">
        <f t="shared" si="29"/>
        <v>62.6</v>
      </c>
      <c r="K75" s="673">
        <v>86</v>
      </c>
      <c r="L75" s="673">
        <v>74</v>
      </c>
      <c r="M75" s="673">
        <v>79</v>
      </c>
      <c r="N75" s="673">
        <v>74</v>
      </c>
      <c r="O75" s="673">
        <v>68</v>
      </c>
      <c r="P75" s="673">
        <v>66</v>
      </c>
      <c r="Q75" s="673">
        <v>75</v>
      </c>
      <c r="R75" s="673">
        <v>60</v>
      </c>
      <c r="S75" s="673">
        <v>54</v>
      </c>
      <c r="T75" s="673">
        <v>57</v>
      </c>
      <c r="U75" s="673">
        <v>64</v>
      </c>
      <c r="V75" s="665">
        <v>64</v>
      </c>
      <c r="W75" s="665">
        <v>62</v>
      </c>
      <c r="X75" s="665">
        <v>66</v>
      </c>
      <c r="Y75" s="665">
        <v>59</v>
      </c>
      <c r="Z75" s="665">
        <v>47</v>
      </c>
      <c r="AA75" s="665">
        <v>37</v>
      </c>
      <c r="AB75" s="665">
        <v>45</v>
      </c>
      <c r="AC75" s="665">
        <v>59</v>
      </c>
      <c r="AD75" s="665">
        <v>63</v>
      </c>
      <c r="AE75" s="665">
        <v>55</v>
      </c>
      <c r="AF75" s="665">
        <v>64</v>
      </c>
      <c r="AG75" s="665">
        <v>72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0.14922157353350013</v>
      </c>
      <c r="F76" s="680">
        <f t="shared" si="25"/>
        <v>71.566666666666663</v>
      </c>
      <c r="G76" s="680">
        <f t="shared" si="26"/>
        <v>76.666666666666671</v>
      </c>
      <c r="H76" s="679">
        <f t="shared" si="27"/>
        <v>71.5</v>
      </c>
      <c r="I76" s="679">
        <f t="shared" si="28"/>
        <v>68</v>
      </c>
      <c r="J76" s="679">
        <f t="shared" si="29"/>
        <v>73</v>
      </c>
      <c r="K76" s="673">
        <v>80</v>
      </c>
      <c r="L76" s="673">
        <v>70</v>
      </c>
      <c r="M76" s="673">
        <v>72</v>
      </c>
      <c r="N76" s="673">
        <v>74</v>
      </c>
      <c r="O76" s="673">
        <v>81</v>
      </c>
      <c r="P76" s="673">
        <v>83</v>
      </c>
      <c r="Q76" s="673">
        <v>80</v>
      </c>
      <c r="R76" s="673">
        <v>74</v>
      </c>
      <c r="S76" s="673">
        <v>67</v>
      </c>
      <c r="T76" s="673">
        <v>74</v>
      </c>
      <c r="U76" s="673">
        <v>68</v>
      </c>
      <c r="V76" s="665">
        <v>66</v>
      </c>
      <c r="W76" s="665">
        <v>65</v>
      </c>
      <c r="X76" s="665">
        <v>68</v>
      </c>
      <c r="Y76" s="665">
        <v>72</v>
      </c>
      <c r="Z76" s="665">
        <v>64</v>
      </c>
      <c r="AA76" s="665">
        <v>70</v>
      </c>
      <c r="AB76" s="665">
        <v>69</v>
      </c>
      <c r="AC76" s="665">
        <v>68</v>
      </c>
      <c r="AD76" s="665">
        <v>69</v>
      </c>
      <c r="AE76" s="665">
        <v>73</v>
      </c>
      <c r="AF76" s="665">
        <v>74</v>
      </c>
      <c r="AG76" s="665">
        <v>81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0.20307895468445927</v>
      </c>
      <c r="F77" s="680">
        <f t="shared" si="25"/>
        <v>97.396666666666675</v>
      </c>
      <c r="G77" s="680">
        <f t="shared" si="26"/>
        <v>109.16666666666667</v>
      </c>
      <c r="H77" s="679">
        <f t="shared" si="27"/>
        <v>102.5</v>
      </c>
      <c r="I77" s="679">
        <f t="shared" si="28"/>
        <v>99.666666666666671</v>
      </c>
      <c r="J77" s="679">
        <f t="shared" si="29"/>
        <v>90.2</v>
      </c>
      <c r="K77" s="673">
        <v>122</v>
      </c>
      <c r="L77" s="673">
        <v>109</v>
      </c>
      <c r="M77" s="673">
        <v>118</v>
      </c>
      <c r="N77" s="673">
        <v>102</v>
      </c>
      <c r="O77" s="673">
        <v>105</v>
      </c>
      <c r="P77" s="673">
        <v>99</v>
      </c>
      <c r="Q77" s="673">
        <v>102</v>
      </c>
      <c r="R77" s="673">
        <v>102</v>
      </c>
      <c r="S77" s="673">
        <v>91</v>
      </c>
      <c r="T77" s="673">
        <v>105</v>
      </c>
      <c r="U77" s="673">
        <v>108</v>
      </c>
      <c r="V77" s="665">
        <v>107</v>
      </c>
      <c r="W77" s="665">
        <v>107</v>
      </c>
      <c r="X77" s="665">
        <v>108</v>
      </c>
      <c r="Y77" s="665">
        <v>105</v>
      </c>
      <c r="Z77" s="665">
        <v>104</v>
      </c>
      <c r="AA77" s="665">
        <v>92</v>
      </c>
      <c r="AB77" s="665">
        <v>82</v>
      </c>
      <c r="AC77" s="665">
        <v>73</v>
      </c>
      <c r="AD77" s="665">
        <v>79</v>
      </c>
      <c r="AE77" s="665">
        <v>88</v>
      </c>
      <c r="AF77" s="665">
        <v>104</v>
      </c>
      <c r="AG77" s="665">
        <v>107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0.15676257992771755</v>
      </c>
      <c r="F78" s="680">
        <f t="shared" si="25"/>
        <v>75.183333333333337</v>
      </c>
      <c r="G78" s="680">
        <f t="shared" si="26"/>
        <v>95.666666666666671</v>
      </c>
      <c r="H78" s="679">
        <f t="shared" si="27"/>
        <v>81.333333333333329</v>
      </c>
      <c r="I78" s="679">
        <f t="shared" si="28"/>
        <v>75.166666666666671</v>
      </c>
      <c r="J78" s="679">
        <f t="shared" si="29"/>
        <v>67</v>
      </c>
      <c r="K78" s="673">
        <v>106</v>
      </c>
      <c r="L78" s="673">
        <v>101</v>
      </c>
      <c r="M78" s="673">
        <v>96</v>
      </c>
      <c r="N78" s="673">
        <v>92</v>
      </c>
      <c r="O78" s="673">
        <v>100</v>
      </c>
      <c r="P78" s="673">
        <v>79</v>
      </c>
      <c r="Q78" s="673">
        <v>79</v>
      </c>
      <c r="R78" s="673">
        <v>79</v>
      </c>
      <c r="S78" s="673">
        <v>79</v>
      </c>
      <c r="T78" s="673">
        <v>84</v>
      </c>
      <c r="U78" s="673">
        <v>87</v>
      </c>
      <c r="V78" s="665">
        <v>80</v>
      </c>
      <c r="W78" s="665">
        <v>84</v>
      </c>
      <c r="X78" s="665">
        <v>82</v>
      </c>
      <c r="Y78" s="665">
        <v>77</v>
      </c>
      <c r="Z78" s="665">
        <v>68</v>
      </c>
      <c r="AA78" s="665">
        <v>73</v>
      </c>
      <c r="AB78" s="665">
        <v>67</v>
      </c>
      <c r="AC78" s="665">
        <v>57</v>
      </c>
      <c r="AD78" s="665">
        <v>63</v>
      </c>
      <c r="AE78" s="665">
        <v>62</v>
      </c>
      <c r="AF78" s="665">
        <v>73</v>
      </c>
      <c r="AG78" s="665">
        <v>80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0.12261606894634418</v>
      </c>
      <c r="F79" s="680">
        <f t="shared" si="25"/>
        <v>58.806666666666672</v>
      </c>
      <c r="G79" s="680">
        <f t="shared" si="26"/>
        <v>69.833333333333329</v>
      </c>
      <c r="H79" s="679">
        <f t="shared" si="27"/>
        <v>67.666666666666671</v>
      </c>
      <c r="I79" s="679">
        <f t="shared" si="28"/>
        <v>64.166666666666671</v>
      </c>
      <c r="J79" s="679">
        <f t="shared" si="29"/>
        <v>47.6</v>
      </c>
      <c r="K79" s="673">
        <v>70</v>
      </c>
      <c r="L79" s="673">
        <v>67</v>
      </c>
      <c r="M79" s="673">
        <v>72</v>
      </c>
      <c r="N79" s="673">
        <v>73</v>
      </c>
      <c r="O79" s="673">
        <v>71</v>
      </c>
      <c r="P79" s="673">
        <v>66</v>
      </c>
      <c r="Q79" s="673">
        <v>67</v>
      </c>
      <c r="R79" s="673">
        <v>73</v>
      </c>
      <c r="S79" s="673">
        <v>57</v>
      </c>
      <c r="T79" s="673">
        <v>66</v>
      </c>
      <c r="U79" s="673">
        <v>70</v>
      </c>
      <c r="V79" s="665">
        <v>73</v>
      </c>
      <c r="W79" s="665">
        <v>67</v>
      </c>
      <c r="X79" s="665">
        <v>69</v>
      </c>
      <c r="Y79" s="665">
        <v>78</v>
      </c>
      <c r="Z79" s="665">
        <v>55</v>
      </c>
      <c r="AA79" s="665">
        <v>59</v>
      </c>
      <c r="AB79" s="665">
        <v>57</v>
      </c>
      <c r="AC79" s="665">
        <v>45</v>
      </c>
      <c r="AD79" s="665">
        <v>36</v>
      </c>
      <c r="AE79" s="665">
        <v>42</v>
      </c>
      <c r="AF79" s="665">
        <v>55</v>
      </c>
      <c r="AG79" s="665">
        <v>60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0.10968735160306979</v>
      </c>
      <c r="F80" s="680">
        <f t="shared" si="25"/>
        <v>47.736666666666665</v>
      </c>
      <c r="G80" s="680">
        <f t="shared" si="26"/>
        <v>49.166666666666664</v>
      </c>
      <c r="H80" s="679">
        <f t="shared" si="27"/>
        <v>48</v>
      </c>
      <c r="I80" s="679">
        <f t="shared" si="28"/>
        <v>45.666666666666664</v>
      </c>
      <c r="J80" s="679">
        <f t="shared" si="29"/>
        <v>48.8</v>
      </c>
      <c r="K80" s="673">
        <v>52</v>
      </c>
      <c r="L80" s="673">
        <v>56</v>
      </c>
      <c r="M80" s="673">
        <v>45</v>
      </c>
      <c r="N80" s="673">
        <v>45</v>
      </c>
      <c r="O80" s="673">
        <v>47</v>
      </c>
      <c r="P80" s="673">
        <v>50</v>
      </c>
      <c r="Q80" s="673">
        <v>50</v>
      </c>
      <c r="R80" s="673">
        <v>48</v>
      </c>
      <c r="S80" s="673">
        <v>41</v>
      </c>
      <c r="T80" s="673">
        <v>52</v>
      </c>
      <c r="U80" s="673">
        <v>50</v>
      </c>
      <c r="V80" s="665">
        <v>47</v>
      </c>
      <c r="W80" s="665">
        <v>46</v>
      </c>
      <c r="X80" s="665">
        <v>51</v>
      </c>
      <c r="Y80" s="665">
        <v>48</v>
      </c>
      <c r="Z80" s="665">
        <v>43</v>
      </c>
      <c r="AA80" s="665">
        <v>47</v>
      </c>
      <c r="AB80" s="665">
        <v>39</v>
      </c>
      <c r="AC80" s="665">
        <v>45</v>
      </c>
      <c r="AD80" s="665">
        <v>46</v>
      </c>
      <c r="AE80" s="665">
        <v>56</v>
      </c>
      <c r="AF80" s="665">
        <v>52</v>
      </c>
      <c r="AG80" s="665">
        <v>45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0.13353808918368285</v>
      </c>
      <c r="F81" s="680">
        <f t="shared" si="25"/>
        <v>58.116666666666667</v>
      </c>
      <c r="G81" s="680">
        <f t="shared" si="26"/>
        <v>62.333333333333336</v>
      </c>
      <c r="H81" s="679">
        <f t="shared" si="27"/>
        <v>52.666666666666664</v>
      </c>
      <c r="I81" s="679">
        <f t="shared" si="28"/>
        <v>57.833333333333336</v>
      </c>
      <c r="J81" s="679">
        <f t="shared" si="29"/>
        <v>60</v>
      </c>
      <c r="K81" s="673">
        <v>65</v>
      </c>
      <c r="L81" s="673">
        <v>72</v>
      </c>
      <c r="M81" s="673">
        <v>75</v>
      </c>
      <c r="N81" s="673">
        <v>59</v>
      </c>
      <c r="O81" s="673">
        <v>56</v>
      </c>
      <c r="P81" s="673">
        <v>47</v>
      </c>
      <c r="Q81" s="673">
        <v>49</v>
      </c>
      <c r="R81" s="673">
        <v>51</v>
      </c>
      <c r="S81" s="673">
        <v>49</v>
      </c>
      <c r="T81" s="673">
        <v>55</v>
      </c>
      <c r="U81" s="673">
        <v>61</v>
      </c>
      <c r="V81" s="665">
        <v>51</v>
      </c>
      <c r="W81" s="665">
        <v>59</v>
      </c>
      <c r="X81" s="665">
        <v>63</v>
      </c>
      <c r="Y81" s="665">
        <v>65</v>
      </c>
      <c r="Z81" s="665">
        <v>57</v>
      </c>
      <c r="AA81" s="665">
        <v>56</v>
      </c>
      <c r="AB81" s="665">
        <v>47</v>
      </c>
      <c r="AC81" s="665">
        <v>50</v>
      </c>
      <c r="AD81" s="665">
        <v>61</v>
      </c>
      <c r="AE81" s="665">
        <v>62</v>
      </c>
      <c r="AF81" s="665">
        <v>64</v>
      </c>
      <c r="AG81" s="665">
        <v>63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0.14927773777975215</v>
      </c>
      <c r="F82" s="680">
        <f t="shared" si="25"/>
        <v>64.966666666666669</v>
      </c>
      <c r="G82" s="680">
        <f t="shared" si="26"/>
        <v>48.166666666666664</v>
      </c>
      <c r="H82" s="679">
        <f t="shared" si="27"/>
        <v>58</v>
      </c>
      <c r="I82" s="679">
        <f t="shared" si="28"/>
        <v>63.166666666666664</v>
      </c>
      <c r="J82" s="679">
        <f t="shared" si="29"/>
        <v>74</v>
      </c>
      <c r="K82" s="673">
        <v>47</v>
      </c>
      <c r="L82" s="673">
        <v>45</v>
      </c>
      <c r="M82" s="673">
        <v>53</v>
      </c>
      <c r="N82" s="673">
        <v>49</v>
      </c>
      <c r="O82" s="673">
        <v>47</v>
      </c>
      <c r="P82" s="673">
        <v>48</v>
      </c>
      <c r="Q82" s="673">
        <v>56</v>
      </c>
      <c r="R82" s="673">
        <v>58</v>
      </c>
      <c r="S82" s="673">
        <v>51</v>
      </c>
      <c r="T82" s="673">
        <v>59</v>
      </c>
      <c r="U82" s="673">
        <v>67</v>
      </c>
      <c r="V82" s="665">
        <v>57</v>
      </c>
      <c r="W82" s="665">
        <v>57</v>
      </c>
      <c r="X82" s="665">
        <v>75</v>
      </c>
      <c r="Y82" s="665">
        <v>71</v>
      </c>
      <c r="Z82" s="665">
        <v>56</v>
      </c>
      <c r="AA82" s="665">
        <v>62</v>
      </c>
      <c r="AB82" s="665">
        <v>58</v>
      </c>
      <c r="AC82" s="665">
        <v>58</v>
      </c>
      <c r="AD82" s="665">
        <v>72</v>
      </c>
      <c r="AE82" s="665">
        <v>67</v>
      </c>
      <c r="AF82" s="665">
        <v>86</v>
      </c>
      <c r="AG82" s="665">
        <v>87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0.12204163539161471</v>
      </c>
      <c r="F83" s="680">
        <f t="shared" si="25"/>
        <v>53.113333333333337</v>
      </c>
      <c r="G83" s="680">
        <f t="shared" si="26"/>
        <v>45.166666666666664</v>
      </c>
      <c r="H83" s="679">
        <f t="shared" si="27"/>
        <v>46.833333333333336</v>
      </c>
      <c r="I83" s="679">
        <f t="shared" si="28"/>
        <v>51.833333333333336</v>
      </c>
      <c r="J83" s="679">
        <f t="shared" si="29"/>
        <v>59.2</v>
      </c>
      <c r="K83" s="673">
        <v>46</v>
      </c>
      <c r="L83" s="673">
        <v>47</v>
      </c>
      <c r="M83" s="673">
        <v>47</v>
      </c>
      <c r="N83" s="673">
        <v>42</v>
      </c>
      <c r="O83" s="673">
        <v>50</v>
      </c>
      <c r="P83" s="673">
        <v>39</v>
      </c>
      <c r="Q83" s="673">
        <v>43</v>
      </c>
      <c r="R83" s="673">
        <v>43</v>
      </c>
      <c r="S83" s="673">
        <v>44</v>
      </c>
      <c r="T83" s="673">
        <v>50</v>
      </c>
      <c r="U83" s="673">
        <v>55</v>
      </c>
      <c r="V83" s="665">
        <v>46</v>
      </c>
      <c r="W83" s="665">
        <v>53</v>
      </c>
      <c r="X83" s="665">
        <v>55</v>
      </c>
      <c r="Y83" s="665">
        <v>58</v>
      </c>
      <c r="Z83" s="665">
        <v>47</v>
      </c>
      <c r="AA83" s="665">
        <v>49</v>
      </c>
      <c r="AB83" s="665">
        <v>49</v>
      </c>
      <c r="AC83" s="665">
        <v>56</v>
      </c>
      <c r="AD83" s="665">
        <v>56</v>
      </c>
      <c r="AE83" s="665">
        <v>58</v>
      </c>
      <c r="AF83" s="665">
        <v>64</v>
      </c>
      <c r="AG83" s="665">
        <v>62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0.16575266922994436</v>
      </c>
      <c r="F84" s="680">
        <f t="shared" si="25"/>
        <v>72.136666666666656</v>
      </c>
      <c r="G84" s="680">
        <f t="shared" si="26"/>
        <v>84.166666666666671</v>
      </c>
      <c r="H84" s="679">
        <f t="shared" si="27"/>
        <v>81</v>
      </c>
      <c r="I84" s="679">
        <f t="shared" si="28"/>
        <v>70.666666666666671</v>
      </c>
      <c r="J84" s="679">
        <f t="shared" si="29"/>
        <v>65.8</v>
      </c>
      <c r="K84" s="673">
        <v>82</v>
      </c>
      <c r="L84" s="673">
        <v>82</v>
      </c>
      <c r="M84" s="673">
        <v>86</v>
      </c>
      <c r="N84" s="673">
        <v>84</v>
      </c>
      <c r="O84" s="673">
        <v>84</v>
      </c>
      <c r="P84" s="673">
        <v>87</v>
      </c>
      <c r="Q84" s="673">
        <v>87</v>
      </c>
      <c r="R84" s="673">
        <v>86</v>
      </c>
      <c r="S84" s="673">
        <v>74</v>
      </c>
      <c r="T84" s="673">
        <v>76</v>
      </c>
      <c r="U84" s="673">
        <v>80</v>
      </c>
      <c r="V84" s="665">
        <v>83</v>
      </c>
      <c r="W84" s="665">
        <v>79</v>
      </c>
      <c r="X84" s="665">
        <v>69</v>
      </c>
      <c r="Y84" s="665">
        <v>71</v>
      </c>
      <c r="Z84" s="665">
        <v>65</v>
      </c>
      <c r="AA84" s="665">
        <v>72</v>
      </c>
      <c r="AB84" s="665">
        <v>68</v>
      </c>
      <c r="AC84" s="665">
        <v>62</v>
      </c>
      <c r="AD84" s="665">
        <v>70</v>
      </c>
      <c r="AE84" s="665">
        <v>49</v>
      </c>
      <c r="AF84" s="665">
        <v>76</v>
      </c>
      <c r="AG84" s="665">
        <v>72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0.1408909177249123</v>
      </c>
      <c r="F85" s="680">
        <f t="shared" si="25"/>
        <v>61.31666666666667</v>
      </c>
      <c r="G85" s="680">
        <f t="shared" si="26"/>
        <v>57.5</v>
      </c>
      <c r="H85" s="679">
        <f t="shared" si="27"/>
        <v>62.333333333333336</v>
      </c>
      <c r="I85" s="679">
        <f t="shared" si="28"/>
        <v>59.666666666666664</v>
      </c>
      <c r="J85" s="679">
        <f t="shared" si="29"/>
        <v>63</v>
      </c>
      <c r="K85" s="673">
        <v>56</v>
      </c>
      <c r="L85" s="673">
        <v>52</v>
      </c>
      <c r="M85" s="673">
        <v>57</v>
      </c>
      <c r="N85" s="673">
        <v>62</v>
      </c>
      <c r="O85" s="673">
        <v>58</v>
      </c>
      <c r="P85" s="673">
        <v>60</v>
      </c>
      <c r="Q85" s="673">
        <v>60</v>
      </c>
      <c r="R85" s="673">
        <v>61</v>
      </c>
      <c r="S85" s="673">
        <v>57</v>
      </c>
      <c r="T85" s="673">
        <v>63</v>
      </c>
      <c r="U85" s="673">
        <v>65</v>
      </c>
      <c r="V85" s="665">
        <v>68</v>
      </c>
      <c r="W85" s="665">
        <v>63</v>
      </c>
      <c r="X85" s="665">
        <v>68</v>
      </c>
      <c r="Y85" s="665">
        <v>61</v>
      </c>
      <c r="Z85" s="665">
        <v>58</v>
      </c>
      <c r="AA85" s="665">
        <v>57</v>
      </c>
      <c r="AB85" s="665">
        <v>51</v>
      </c>
      <c r="AC85" s="665">
        <v>57</v>
      </c>
      <c r="AD85" s="665">
        <v>64</v>
      </c>
      <c r="AE85" s="665">
        <v>63</v>
      </c>
      <c r="AF85" s="665">
        <v>67</v>
      </c>
      <c r="AG85" s="665">
        <v>64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0.17881159908702376</v>
      </c>
      <c r="F86" s="680">
        <f t="shared" si="25"/>
        <v>77.819999999999993</v>
      </c>
      <c r="G86" s="680">
        <f t="shared" si="26"/>
        <v>79</v>
      </c>
      <c r="H86" s="679">
        <f t="shared" si="27"/>
        <v>84</v>
      </c>
      <c r="I86" s="679">
        <f t="shared" si="28"/>
        <v>76</v>
      </c>
      <c r="J86" s="679">
        <f t="shared" si="29"/>
        <v>75.8</v>
      </c>
      <c r="K86" s="673">
        <v>80</v>
      </c>
      <c r="L86" s="673">
        <v>79</v>
      </c>
      <c r="M86" s="673">
        <v>80</v>
      </c>
      <c r="N86" s="673">
        <v>76</v>
      </c>
      <c r="O86" s="673">
        <v>81</v>
      </c>
      <c r="P86" s="673">
        <v>78</v>
      </c>
      <c r="Q86" s="673">
        <v>81</v>
      </c>
      <c r="R86" s="673">
        <v>82</v>
      </c>
      <c r="S86" s="673">
        <v>83</v>
      </c>
      <c r="T86" s="673">
        <v>89</v>
      </c>
      <c r="U86" s="673">
        <v>90</v>
      </c>
      <c r="V86" s="665">
        <v>79</v>
      </c>
      <c r="W86" s="665">
        <v>82</v>
      </c>
      <c r="X86" s="665">
        <v>81</v>
      </c>
      <c r="Y86" s="665">
        <v>81</v>
      </c>
      <c r="Z86" s="665">
        <v>64</v>
      </c>
      <c r="AA86" s="665">
        <v>68</v>
      </c>
      <c r="AB86" s="665">
        <v>80</v>
      </c>
      <c r="AC86" s="665">
        <v>82</v>
      </c>
      <c r="AD86" s="665">
        <v>80</v>
      </c>
      <c r="AE86" s="665">
        <v>78</v>
      </c>
      <c r="AF86" s="665">
        <v>63</v>
      </c>
      <c r="AG86" s="665">
        <v>76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49" priority="10" operator="equal">
      <formula>0</formula>
    </cfRule>
  </conditionalFormatting>
  <conditionalFormatting sqref="K31:V86">
    <cfRule type="cellIs" dxfId="48" priority="9" operator="equal">
      <formula>0</formula>
    </cfRule>
  </conditionalFormatting>
  <conditionalFormatting sqref="G16:J16 G15 I15">
    <cfRule type="cellIs" dxfId="47" priority="8" operator="equal">
      <formula>0</formula>
    </cfRule>
  </conditionalFormatting>
  <conditionalFormatting sqref="G7:J7 G6 I6">
    <cfRule type="cellIs" dxfId="46" priority="7" operator="equal">
      <formula>0</formula>
    </cfRule>
  </conditionalFormatting>
  <conditionalFormatting sqref="F15">
    <cfRule type="cellIs" dxfId="45" priority="6" operator="equal">
      <formula>0</formula>
    </cfRule>
  </conditionalFormatting>
  <conditionalFormatting sqref="F28">
    <cfRule type="cellIs" dxfId="44" priority="5" operator="equal">
      <formula>0</formula>
    </cfRule>
  </conditionalFormatting>
  <conditionalFormatting sqref="E8:E14 E1:E6 E30:E1048576">
    <cfRule type="cellIs" dxfId="43" priority="4" operator="equal">
      <formula>0</formula>
    </cfRule>
  </conditionalFormatting>
  <conditionalFormatting sqref="E15">
    <cfRule type="cellIs" dxfId="42" priority="3" operator="equal">
      <formula>0</formula>
    </cfRule>
  </conditionalFormatting>
  <conditionalFormatting sqref="E28">
    <cfRule type="cellIs" dxfId="41" priority="2" operator="equal">
      <formula>0</formula>
    </cfRule>
  </conditionalFormatting>
  <conditionalFormatting sqref="C2:C3">
    <cfRule type="cellIs" dxfId="40" priority="1" operator="equal">
      <formula>0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505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506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883.48</v>
      </c>
      <c r="G8" s="678">
        <f>SUM(G9:G12)</f>
        <v>1042.1666666666667</v>
      </c>
      <c r="H8" s="671">
        <f t="shared" ref="H8:J8" si="0">SUM(H9:H12)</f>
        <v>1003.1666666666667</v>
      </c>
      <c r="I8" s="671">
        <f t="shared" si="0"/>
        <v>919.16666666666663</v>
      </c>
      <c r="J8" s="671">
        <f t="shared" si="0"/>
        <v>757.2</v>
      </c>
      <c r="K8" s="671">
        <f t="shared" ref="K8:AH8" si="1">SUM(K9:K12)</f>
        <v>1218</v>
      </c>
      <c r="L8" s="671">
        <f t="shared" si="1"/>
        <v>966</v>
      </c>
      <c r="M8" s="671">
        <f t="shared" si="1"/>
        <v>1199</v>
      </c>
      <c r="N8" s="671">
        <f t="shared" si="1"/>
        <v>1031</v>
      </c>
      <c r="O8" s="671">
        <f t="shared" si="1"/>
        <v>1026</v>
      </c>
      <c r="P8" s="671">
        <f t="shared" si="1"/>
        <v>813</v>
      </c>
      <c r="Q8" s="671">
        <f t="shared" si="1"/>
        <v>1002</v>
      </c>
      <c r="R8" s="671">
        <f t="shared" si="1"/>
        <v>1095</v>
      </c>
      <c r="S8" s="671">
        <f t="shared" si="1"/>
        <v>777</v>
      </c>
      <c r="T8" s="671">
        <f t="shared" si="1"/>
        <v>1076</v>
      </c>
      <c r="U8" s="671">
        <f t="shared" si="1"/>
        <v>1039</v>
      </c>
      <c r="V8" s="671">
        <f t="shared" si="1"/>
        <v>1030</v>
      </c>
      <c r="W8" s="671">
        <f t="shared" si="1"/>
        <v>922</v>
      </c>
      <c r="X8" s="671">
        <f t="shared" si="1"/>
        <v>903</v>
      </c>
      <c r="Y8" s="671">
        <f t="shared" si="1"/>
        <v>927</v>
      </c>
      <c r="Z8" s="671">
        <f t="shared" si="1"/>
        <v>848</v>
      </c>
      <c r="AA8" s="671">
        <f t="shared" si="1"/>
        <v>1042</v>
      </c>
      <c r="AB8" s="671">
        <f t="shared" si="1"/>
        <v>873</v>
      </c>
      <c r="AC8" s="671">
        <f t="shared" si="1"/>
        <v>703</v>
      </c>
      <c r="AD8" s="671">
        <f t="shared" si="1"/>
        <v>1004</v>
      </c>
      <c r="AE8" s="671">
        <f t="shared" si="1"/>
        <v>623</v>
      </c>
      <c r="AF8" s="671">
        <f t="shared" si="1"/>
        <v>663</v>
      </c>
      <c r="AG8" s="671">
        <f t="shared" si="1"/>
        <v>793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0.20290593259987019</v>
      </c>
      <c r="F9" s="683">
        <f t="shared" ref="F9:F12" si="3">G9*10%+H9*20%+I9*30%+J9*40%</f>
        <v>179.26333333333332</v>
      </c>
      <c r="G9" s="675">
        <f t="shared" ref="G9:G12" si="4">AVERAGE(K9:P9)</f>
        <v>198.5</v>
      </c>
      <c r="H9" s="672">
        <f t="shared" ref="H9:H12" si="5">AVERAGE(Q9:V9)</f>
        <v>182.16666666666666</v>
      </c>
      <c r="I9" s="672">
        <f t="shared" ref="I9:I12" si="6">AVERAGE(W9:AB9)</f>
        <v>193.66666666666666</v>
      </c>
      <c r="J9" s="672">
        <f t="shared" ref="J9:J12" si="7">AVERAGE(AC9:AG9)</f>
        <v>162.19999999999999</v>
      </c>
      <c r="K9" s="673">
        <f>SUMIF($B$18:$B$25,$C9,K$18:K$25)</f>
        <v>219</v>
      </c>
      <c r="L9" s="673">
        <f t="shared" ref="L9:AA12" si="8">SUMIF($B$18:$B$25,$C9,L$18:L$25)</f>
        <v>182</v>
      </c>
      <c r="M9" s="673">
        <f t="shared" si="8"/>
        <v>243</v>
      </c>
      <c r="N9" s="673">
        <f t="shared" si="8"/>
        <v>204</v>
      </c>
      <c r="O9" s="673">
        <f t="shared" si="8"/>
        <v>196</v>
      </c>
      <c r="P9" s="673">
        <f t="shared" si="8"/>
        <v>147</v>
      </c>
      <c r="Q9" s="673">
        <f t="shared" si="8"/>
        <v>169</v>
      </c>
      <c r="R9" s="673">
        <f t="shared" si="8"/>
        <v>205</v>
      </c>
      <c r="S9" s="673">
        <f t="shared" si="8"/>
        <v>144</v>
      </c>
      <c r="T9" s="673">
        <f t="shared" si="8"/>
        <v>196</v>
      </c>
      <c r="U9" s="673">
        <f t="shared" si="8"/>
        <v>187</v>
      </c>
      <c r="V9" s="673">
        <f t="shared" si="8"/>
        <v>192</v>
      </c>
      <c r="W9" s="673">
        <f t="shared" si="8"/>
        <v>179</v>
      </c>
      <c r="X9" s="673">
        <f t="shared" si="8"/>
        <v>179</v>
      </c>
      <c r="Y9" s="673">
        <f t="shared" si="8"/>
        <v>199</v>
      </c>
      <c r="Z9" s="673">
        <f t="shared" si="8"/>
        <v>178</v>
      </c>
      <c r="AA9" s="673">
        <f t="shared" si="8"/>
        <v>238</v>
      </c>
      <c r="AB9" s="673">
        <f t="shared" ref="AB9:AG12" si="9">SUMIF($B$18:$B$25,$C9,AB$18:AB$25)</f>
        <v>189</v>
      </c>
      <c r="AC9" s="673">
        <f t="shared" si="9"/>
        <v>154</v>
      </c>
      <c r="AD9" s="673">
        <f t="shared" si="9"/>
        <v>200</v>
      </c>
      <c r="AE9" s="673">
        <f t="shared" si="9"/>
        <v>138</v>
      </c>
      <c r="AF9" s="673">
        <f t="shared" si="9"/>
        <v>146</v>
      </c>
      <c r="AG9" s="673">
        <f t="shared" si="9"/>
        <v>173</v>
      </c>
      <c r="AH9" s="673"/>
    </row>
    <row r="10" spans="1:34">
      <c r="C10" s="1002" t="s">
        <v>332</v>
      </c>
      <c r="D10" s="984"/>
      <c r="E10" s="690">
        <f t="shared" si="2"/>
        <v>0.27809344863494362</v>
      </c>
      <c r="F10" s="683">
        <f t="shared" si="3"/>
        <v>245.69</v>
      </c>
      <c r="G10" s="675">
        <f t="shared" si="4"/>
        <v>299.66666666666669</v>
      </c>
      <c r="H10" s="672">
        <f t="shared" si="5"/>
        <v>286.66666666666669</v>
      </c>
      <c r="I10" s="672">
        <f t="shared" si="6"/>
        <v>251.16666666666666</v>
      </c>
      <c r="J10" s="672">
        <f t="shared" si="7"/>
        <v>207.6</v>
      </c>
      <c r="K10" s="673">
        <f t="shared" ref="K10:K12" si="10">SUMIF($B$18:$B$25,$C10,K$18:K$25)</f>
        <v>357</v>
      </c>
      <c r="L10" s="673">
        <f t="shared" si="8"/>
        <v>266</v>
      </c>
      <c r="M10" s="673">
        <f t="shared" si="8"/>
        <v>351</v>
      </c>
      <c r="N10" s="673">
        <f t="shared" si="8"/>
        <v>297</v>
      </c>
      <c r="O10" s="673">
        <f t="shared" si="8"/>
        <v>286</v>
      </c>
      <c r="P10" s="673">
        <f t="shared" si="8"/>
        <v>241</v>
      </c>
      <c r="Q10" s="673">
        <f t="shared" si="8"/>
        <v>296</v>
      </c>
      <c r="R10" s="673">
        <f t="shared" si="8"/>
        <v>299</v>
      </c>
      <c r="S10" s="673">
        <f t="shared" si="8"/>
        <v>204</v>
      </c>
      <c r="T10" s="673">
        <f t="shared" si="8"/>
        <v>309</v>
      </c>
      <c r="U10" s="673">
        <f t="shared" si="8"/>
        <v>314</v>
      </c>
      <c r="V10" s="673">
        <f t="shared" si="8"/>
        <v>298</v>
      </c>
      <c r="W10" s="673">
        <f t="shared" si="8"/>
        <v>238</v>
      </c>
      <c r="X10" s="673">
        <f t="shared" si="8"/>
        <v>239</v>
      </c>
      <c r="Y10" s="673">
        <f t="shared" si="8"/>
        <v>254</v>
      </c>
      <c r="Z10" s="673">
        <f t="shared" si="8"/>
        <v>239</v>
      </c>
      <c r="AA10" s="673">
        <f t="shared" si="8"/>
        <v>287</v>
      </c>
      <c r="AB10" s="673">
        <f t="shared" si="9"/>
        <v>250</v>
      </c>
      <c r="AC10" s="673">
        <f t="shared" si="9"/>
        <v>202</v>
      </c>
      <c r="AD10" s="673">
        <f t="shared" si="9"/>
        <v>276</v>
      </c>
      <c r="AE10" s="673">
        <f t="shared" si="9"/>
        <v>166</v>
      </c>
      <c r="AF10" s="673">
        <f t="shared" si="9"/>
        <v>185</v>
      </c>
      <c r="AG10" s="673">
        <f t="shared" si="9"/>
        <v>209</v>
      </c>
      <c r="AH10" s="673"/>
    </row>
    <row r="11" spans="1:34">
      <c r="C11" s="1002" t="s">
        <v>333</v>
      </c>
      <c r="D11" s="984"/>
      <c r="E11" s="690">
        <f t="shared" si="2"/>
        <v>0.27076259036235495</v>
      </c>
      <c r="F11" s="683">
        <f t="shared" si="3"/>
        <v>239.21333333333334</v>
      </c>
      <c r="G11" s="675">
        <f t="shared" si="4"/>
        <v>281</v>
      </c>
      <c r="H11" s="672">
        <f t="shared" si="5"/>
        <v>276.16666666666669</v>
      </c>
      <c r="I11" s="672">
        <f t="shared" si="6"/>
        <v>243.33333333333334</v>
      </c>
      <c r="J11" s="672">
        <f t="shared" si="7"/>
        <v>207.2</v>
      </c>
      <c r="K11" s="673">
        <f t="shared" si="10"/>
        <v>341</v>
      </c>
      <c r="L11" s="673">
        <f t="shared" si="8"/>
        <v>262</v>
      </c>
      <c r="M11" s="673">
        <f t="shared" si="8"/>
        <v>299</v>
      </c>
      <c r="N11" s="673">
        <f t="shared" si="8"/>
        <v>277</v>
      </c>
      <c r="O11" s="673">
        <f t="shared" si="8"/>
        <v>285</v>
      </c>
      <c r="P11" s="673">
        <f t="shared" si="8"/>
        <v>222</v>
      </c>
      <c r="Q11" s="673">
        <f t="shared" si="8"/>
        <v>271</v>
      </c>
      <c r="R11" s="673">
        <f t="shared" si="8"/>
        <v>301</v>
      </c>
      <c r="S11" s="673">
        <f t="shared" si="8"/>
        <v>219</v>
      </c>
      <c r="T11" s="673">
        <f t="shared" si="8"/>
        <v>292</v>
      </c>
      <c r="U11" s="673">
        <f t="shared" si="8"/>
        <v>274</v>
      </c>
      <c r="V11" s="673">
        <f t="shared" si="8"/>
        <v>300</v>
      </c>
      <c r="W11" s="673">
        <f t="shared" si="8"/>
        <v>271</v>
      </c>
      <c r="X11" s="673">
        <f t="shared" si="8"/>
        <v>255</v>
      </c>
      <c r="Y11" s="673">
        <f t="shared" si="8"/>
        <v>242</v>
      </c>
      <c r="Z11" s="673">
        <f t="shared" si="8"/>
        <v>218</v>
      </c>
      <c r="AA11" s="673">
        <f t="shared" si="8"/>
        <v>253</v>
      </c>
      <c r="AB11" s="673">
        <f t="shared" si="9"/>
        <v>221</v>
      </c>
      <c r="AC11" s="673">
        <f t="shared" si="9"/>
        <v>182</v>
      </c>
      <c r="AD11" s="673">
        <f t="shared" si="9"/>
        <v>284</v>
      </c>
      <c r="AE11" s="673">
        <f t="shared" si="9"/>
        <v>182</v>
      </c>
      <c r="AF11" s="673">
        <f t="shared" si="9"/>
        <v>177</v>
      </c>
      <c r="AG11" s="673">
        <f t="shared" si="9"/>
        <v>211</v>
      </c>
      <c r="AH11" s="673"/>
    </row>
    <row r="12" spans="1:34">
      <c r="C12" s="1002" t="s">
        <v>334</v>
      </c>
      <c r="D12" s="984"/>
      <c r="E12" s="690">
        <f t="shared" si="2"/>
        <v>0.24823802840283121</v>
      </c>
      <c r="F12" s="683">
        <f t="shared" si="3"/>
        <v>219.31333333333333</v>
      </c>
      <c r="G12" s="675">
        <f t="shared" si="4"/>
        <v>263</v>
      </c>
      <c r="H12" s="672">
        <f t="shared" si="5"/>
        <v>258.16666666666669</v>
      </c>
      <c r="I12" s="672">
        <f t="shared" si="6"/>
        <v>231</v>
      </c>
      <c r="J12" s="672">
        <f t="shared" si="7"/>
        <v>180.2</v>
      </c>
      <c r="K12" s="673">
        <f t="shared" si="10"/>
        <v>301</v>
      </c>
      <c r="L12" s="673">
        <f t="shared" si="8"/>
        <v>256</v>
      </c>
      <c r="M12" s="673">
        <f t="shared" si="8"/>
        <v>306</v>
      </c>
      <c r="N12" s="673">
        <f t="shared" si="8"/>
        <v>253</v>
      </c>
      <c r="O12" s="673">
        <f t="shared" si="8"/>
        <v>259</v>
      </c>
      <c r="P12" s="673">
        <f t="shared" si="8"/>
        <v>203</v>
      </c>
      <c r="Q12" s="673">
        <f t="shared" si="8"/>
        <v>266</v>
      </c>
      <c r="R12" s="673">
        <f t="shared" si="8"/>
        <v>290</v>
      </c>
      <c r="S12" s="673">
        <f t="shared" si="8"/>
        <v>210</v>
      </c>
      <c r="T12" s="673">
        <f t="shared" si="8"/>
        <v>279</v>
      </c>
      <c r="U12" s="673">
        <f t="shared" si="8"/>
        <v>264</v>
      </c>
      <c r="V12" s="673">
        <f t="shared" si="8"/>
        <v>240</v>
      </c>
      <c r="W12" s="673">
        <f t="shared" si="8"/>
        <v>234</v>
      </c>
      <c r="X12" s="673">
        <f t="shared" si="8"/>
        <v>230</v>
      </c>
      <c r="Y12" s="673">
        <f t="shared" si="8"/>
        <v>232</v>
      </c>
      <c r="Z12" s="673">
        <f t="shared" si="8"/>
        <v>213</v>
      </c>
      <c r="AA12" s="673">
        <f t="shared" si="8"/>
        <v>264</v>
      </c>
      <c r="AB12" s="673">
        <f t="shared" si="9"/>
        <v>213</v>
      </c>
      <c r="AC12" s="673">
        <f t="shared" si="9"/>
        <v>165</v>
      </c>
      <c r="AD12" s="673">
        <f t="shared" si="9"/>
        <v>244</v>
      </c>
      <c r="AE12" s="673">
        <f t="shared" si="9"/>
        <v>137</v>
      </c>
      <c r="AF12" s="673">
        <f t="shared" si="9"/>
        <v>155</v>
      </c>
      <c r="AG12" s="673">
        <f t="shared" si="9"/>
        <v>200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</v>
      </c>
      <c r="F17" s="684">
        <f>SUM(F18:F25)</f>
        <v>883.48</v>
      </c>
      <c r="G17" s="674">
        <f>SUM(G18:G25)</f>
        <v>1042.1666666666665</v>
      </c>
      <c r="H17" s="674">
        <f t="shared" ref="H17:J17" si="12">SUM(H18:H25)</f>
        <v>1003.1666666666666</v>
      </c>
      <c r="I17" s="674">
        <f t="shared" si="12"/>
        <v>919.16666666666663</v>
      </c>
      <c r="J17" s="674">
        <f t="shared" si="12"/>
        <v>757.19999999999993</v>
      </c>
      <c r="K17" s="671">
        <f t="shared" ref="K17:AH17" si="13">SUM(K18:K25)</f>
        <v>1218</v>
      </c>
      <c r="L17" s="671">
        <f t="shared" si="13"/>
        <v>966</v>
      </c>
      <c r="M17" s="671">
        <f t="shared" si="13"/>
        <v>1199</v>
      </c>
      <c r="N17" s="671">
        <f t="shared" si="13"/>
        <v>1031</v>
      </c>
      <c r="O17" s="671">
        <f t="shared" si="13"/>
        <v>1026</v>
      </c>
      <c r="P17" s="671">
        <f t="shared" si="13"/>
        <v>813</v>
      </c>
      <c r="Q17" s="671">
        <f t="shared" si="13"/>
        <v>1002</v>
      </c>
      <c r="R17" s="671">
        <f t="shared" si="13"/>
        <v>1095</v>
      </c>
      <c r="S17" s="671">
        <f t="shared" si="13"/>
        <v>777</v>
      </c>
      <c r="T17" s="671">
        <f t="shared" si="13"/>
        <v>1076</v>
      </c>
      <c r="U17" s="671">
        <f t="shared" si="13"/>
        <v>1039</v>
      </c>
      <c r="V17" s="671">
        <f t="shared" si="13"/>
        <v>1030</v>
      </c>
      <c r="W17" s="671">
        <f t="shared" si="13"/>
        <v>922</v>
      </c>
      <c r="X17" s="671">
        <f t="shared" si="13"/>
        <v>903</v>
      </c>
      <c r="Y17" s="671">
        <f t="shared" si="13"/>
        <v>927</v>
      </c>
      <c r="Z17" s="671">
        <f t="shared" si="13"/>
        <v>848</v>
      </c>
      <c r="AA17" s="671">
        <f t="shared" si="13"/>
        <v>1042</v>
      </c>
      <c r="AB17" s="671">
        <f t="shared" si="13"/>
        <v>873</v>
      </c>
      <c r="AC17" s="671">
        <f t="shared" si="13"/>
        <v>703</v>
      </c>
      <c r="AD17" s="671">
        <f t="shared" si="13"/>
        <v>1004</v>
      </c>
      <c r="AE17" s="671">
        <f t="shared" si="13"/>
        <v>623</v>
      </c>
      <c r="AF17" s="671">
        <f t="shared" si="13"/>
        <v>663</v>
      </c>
      <c r="AG17" s="671">
        <f t="shared" si="13"/>
        <v>793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0.14276120191364453</v>
      </c>
      <c r="F18" s="683">
        <f t="shared" ref="F18:F25" si="14">G18*10%+H18*20%+I18*30%+J18*40%</f>
        <v>126.12666666666667</v>
      </c>
      <c r="G18" s="675">
        <f t="shared" ref="G18:G25" si="15">AVERAGE(K18:P18)</f>
        <v>155.5</v>
      </c>
      <c r="H18" s="675">
        <f t="shared" ref="H18:H25" si="16">AVERAGE(Q18:V18)</f>
        <v>140.33333333333334</v>
      </c>
      <c r="I18" s="675">
        <f t="shared" ref="I18:I25" si="17">AVERAGE(W18:AB18)</f>
        <v>134.5</v>
      </c>
      <c r="J18" s="675">
        <f t="shared" ref="J18:J25" si="18">AVERAGE(AC18:AG18)</f>
        <v>105.4</v>
      </c>
      <c r="K18" s="673">
        <f>SUMIF($B$31:$B$86,$C18,K$31:K$86)</f>
        <v>167</v>
      </c>
      <c r="L18" s="673">
        <f t="shared" ref="L18:AA25" si="19">SUMIF($B$31:$B$86,$C18,L$31:L$86)</f>
        <v>138</v>
      </c>
      <c r="M18" s="673">
        <f t="shared" si="19"/>
        <v>196</v>
      </c>
      <c r="N18" s="673">
        <f t="shared" si="19"/>
        <v>158</v>
      </c>
      <c r="O18" s="673">
        <f t="shared" si="19"/>
        <v>156</v>
      </c>
      <c r="P18" s="673">
        <f t="shared" si="19"/>
        <v>118</v>
      </c>
      <c r="Q18" s="673">
        <f t="shared" si="19"/>
        <v>134</v>
      </c>
      <c r="R18" s="673">
        <f t="shared" si="19"/>
        <v>165</v>
      </c>
      <c r="S18" s="673">
        <f t="shared" si="19"/>
        <v>103</v>
      </c>
      <c r="T18" s="673">
        <f t="shared" si="19"/>
        <v>152</v>
      </c>
      <c r="U18" s="673">
        <f t="shared" si="19"/>
        <v>142</v>
      </c>
      <c r="V18" s="673">
        <f t="shared" si="19"/>
        <v>146</v>
      </c>
      <c r="W18" s="673">
        <f t="shared" si="19"/>
        <v>124</v>
      </c>
      <c r="X18" s="673">
        <f t="shared" si="19"/>
        <v>122</v>
      </c>
      <c r="Y18" s="673">
        <f t="shared" si="19"/>
        <v>138</v>
      </c>
      <c r="Z18" s="673">
        <f t="shared" si="19"/>
        <v>126</v>
      </c>
      <c r="AA18" s="673">
        <f t="shared" si="19"/>
        <v>175</v>
      </c>
      <c r="AB18" s="673">
        <f t="shared" ref="AB18:AG25" si="20">SUMIF($B$31:$B$86,$C18,AB$31:AB$86)</f>
        <v>122</v>
      </c>
      <c r="AC18" s="673">
        <f t="shared" si="20"/>
        <v>92</v>
      </c>
      <c r="AD18" s="673">
        <f t="shared" si="20"/>
        <v>130</v>
      </c>
      <c r="AE18" s="673">
        <f t="shared" si="20"/>
        <v>93</v>
      </c>
      <c r="AF18" s="673">
        <f t="shared" si="20"/>
        <v>97</v>
      </c>
      <c r="AG18" s="673">
        <f t="shared" si="20"/>
        <v>115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6.0144730686225688E-2</v>
      </c>
      <c r="F19" s="683">
        <f t="shared" si="14"/>
        <v>53.13666666666667</v>
      </c>
      <c r="G19" s="675">
        <f t="shared" si="15"/>
        <v>43</v>
      </c>
      <c r="H19" s="675">
        <f t="shared" si="16"/>
        <v>41.833333333333336</v>
      </c>
      <c r="I19" s="675">
        <f t="shared" si="17"/>
        <v>59.166666666666664</v>
      </c>
      <c r="J19" s="675">
        <f t="shared" si="18"/>
        <v>56.8</v>
      </c>
      <c r="K19" s="673">
        <f t="shared" ref="K19:K25" si="21">SUMIF($B$31:$B$86,$C19,K$31:K$86)</f>
        <v>52</v>
      </c>
      <c r="L19" s="673">
        <f t="shared" si="19"/>
        <v>44</v>
      </c>
      <c r="M19" s="673">
        <f t="shared" si="19"/>
        <v>47</v>
      </c>
      <c r="N19" s="673">
        <f t="shared" si="19"/>
        <v>46</v>
      </c>
      <c r="O19" s="673">
        <f t="shared" si="19"/>
        <v>40</v>
      </c>
      <c r="P19" s="673">
        <f t="shared" si="19"/>
        <v>29</v>
      </c>
      <c r="Q19" s="673">
        <f t="shared" si="19"/>
        <v>35</v>
      </c>
      <c r="R19" s="673">
        <f t="shared" si="19"/>
        <v>40</v>
      </c>
      <c r="S19" s="673">
        <f t="shared" si="19"/>
        <v>41</v>
      </c>
      <c r="T19" s="673">
        <f t="shared" si="19"/>
        <v>44</v>
      </c>
      <c r="U19" s="673">
        <f t="shared" si="19"/>
        <v>45</v>
      </c>
      <c r="V19" s="673">
        <f t="shared" si="19"/>
        <v>46</v>
      </c>
      <c r="W19" s="673">
        <f t="shared" si="19"/>
        <v>55</v>
      </c>
      <c r="X19" s="673">
        <f t="shared" si="19"/>
        <v>57</v>
      </c>
      <c r="Y19" s="673">
        <f t="shared" si="19"/>
        <v>61</v>
      </c>
      <c r="Z19" s="673">
        <f t="shared" si="19"/>
        <v>52</v>
      </c>
      <c r="AA19" s="673">
        <f t="shared" si="19"/>
        <v>63</v>
      </c>
      <c r="AB19" s="673">
        <f t="shared" si="20"/>
        <v>67</v>
      </c>
      <c r="AC19" s="673">
        <f t="shared" si="20"/>
        <v>62</v>
      </c>
      <c r="AD19" s="673">
        <f t="shared" si="20"/>
        <v>70</v>
      </c>
      <c r="AE19" s="673">
        <f t="shared" si="20"/>
        <v>45</v>
      </c>
      <c r="AF19" s="673">
        <f t="shared" si="20"/>
        <v>49</v>
      </c>
      <c r="AG19" s="673">
        <f t="shared" si="20"/>
        <v>58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0.15795490560057954</v>
      </c>
      <c r="F20" s="683">
        <f t="shared" si="14"/>
        <v>139.55000000000001</v>
      </c>
      <c r="G20" s="675">
        <f t="shared" si="15"/>
        <v>176.66666666666666</v>
      </c>
      <c r="H20" s="675">
        <f t="shared" si="16"/>
        <v>168.66666666666666</v>
      </c>
      <c r="I20" s="675">
        <f t="shared" si="17"/>
        <v>143.16666666666666</v>
      </c>
      <c r="J20" s="675">
        <f t="shared" si="18"/>
        <v>113</v>
      </c>
      <c r="K20" s="673">
        <f t="shared" si="21"/>
        <v>186</v>
      </c>
      <c r="L20" s="673">
        <f t="shared" si="19"/>
        <v>163</v>
      </c>
      <c r="M20" s="673">
        <f t="shared" si="19"/>
        <v>208</v>
      </c>
      <c r="N20" s="673">
        <f t="shared" si="19"/>
        <v>173</v>
      </c>
      <c r="O20" s="673">
        <f t="shared" si="19"/>
        <v>180</v>
      </c>
      <c r="P20" s="673">
        <f t="shared" si="19"/>
        <v>150</v>
      </c>
      <c r="Q20" s="673">
        <f t="shared" si="19"/>
        <v>175</v>
      </c>
      <c r="R20" s="673">
        <f t="shared" si="19"/>
        <v>179</v>
      </c>
      <c r="S20" s="673">
        <f t="shared" si="19"/>
        <v>127</v>
      </c>
      <c r="T20" s="673">
        <f t="shared" si="19"/>
        <v>178</v>
      </c>
      <c r="U20" s="673">
        <f t="shared" si="19"/>
        <v>183</v>
      </c>
      <c r="V20" s="673">
        <f t="shared" si="19"/>
        <v>170</v>
      </c>
      <c r="W20" s="673">
        <f t="shared" si="19"/>
        <v>134</v>
      </c>
      <c r="X20" s="673">
        <f t="shared" si="19"/>
        <v>139</v>
      </c>
      <c r="Y20" s="673">
        <f t="shared" si="19"/>
        <v>152</v>
      </c>
      <c r="Z20" s="673">
        <f t="shared" si="19"/>
        <v>131</v>
      </c>
      <c r="AA20" s="673">
        <f t="shared" si="19"/>
        <v>156</v>
      </c>
      <c r="AB20" s="673">
        <f t="shared" si="20"/>
        <v>147</v>
      </c>
      <c r="AC20" s="673">
        <f t="shared" si="20"/>
        <v>116</v>
      </c>
      <c r="AD20" s="673">
        <f t="shared" si="20"/>
        <v>153</v>
      </c>
      <c r="AE20" s="673">
        <f t="shared" si="20"/>
        <v>85</v>
      </c>
      <c r="AF20" s="673">
        <f t="shared" si="20"/>
        <v>101</v>
      </c>
      <c r="AG20" s="673">
        <f t="shared" si="20"/>
        <v>110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0.12013854303436412</v>
      </c>
      <c r="F21" s="683">
        <f t="shared" si="14"/>
        <v>106.14000000000001</v>
      </c>
      <c r="G21" s="675">
        <f t="shared" si="15"/>
        <v>123</v>
      </c>
      <c r="H21" s="675">
        <f t="shared" si="16"/>
        <v>118</v>
      </c>
      <c r="I21" s="675">
        <f t="shared" si="17"/>
        <v>108</v>
      </c>
      <c r="J21" s="675">
        <f t="shared" si="18"/>
        <v>94.6</v>
      </c>
      <c r="K21" s="673">
        <f t="shared" si="21"/>
        <v>171</v>
      </c>
      <c r="L21" s="673">
        <f t="shared" si="19"/>
        <v>103</v>
      </c>
      <c r="M21" s="673">
        <f t="shared" si="19"/>
        <v>143</v>
      </c>
      <c r="N21" s="673">
        <f t="shared" si="19"/>
        <v>124</v>
      </c>
      <c r="O21" s="673">
        <f t="shared" si="19"/>
        <v>106</v>
      </c>
      <c r="P21" s="673">
        <f t="shared" si="19"/>
        <v>91</v>
      </c>
      <c r="Q21" s="673">
        <f t="shared" si="19"/>
        <v>121</v>
      </c>
      <c r="R21" s="673">
        <f t="shared" si="19"/>
        <v>120</v>
      </c>
      <c r="S21" s="673">
        <f t="shared" si="19"/>
        <v>77</v>
      </c>
      <c r="T21" s="673">
        <f t="shared" si="19"/>
        <v>131</v>
      </c>
      <c r="U21" s="673">
        <f t="shared" si="19"/>
        <v>131</v>
      </c>
      <c r="V21" s="673">
        <f t="shared" si="19"/>
        <v>128</v>
      </c>
      <c r="W21" s="673">
        <f t="shared" si="19"/>
        <v>104</v>
      </c>
      <c r="X21" s="673">
        <f t="shared" si="19"/>
        <v>100</v>
      </c>
      <c r="Y21" s="673">
        <f t="shared" si="19"/>
        <v>102</v>
      </c>
      <c r="Z21" s="673">
        <f t="shared" si="19"/>
        <v>108</v>
      </c>
      <c r="AA21" s="673">
        <f t="shared" si="19"/>
        <v>131</v>
      </c>
      <c r="AB21" s="673">
        <f t="shared" si="20"/>
        <v>103</v>
      </c>
      <c r="AC21" s="673">
        <f t="shared" si="20"/>
        <v>86</v>
      </c>
      <c r="AD21" s="673">
        <f t="shared" si="20"/>
        <v>123</v>
      </c>
      <c r="AE21" s="673">
        <f t="shared" si="20"/>
        <v>81</v>
      </c>
      <c r="AF21" s="673">
        <f t="shared" si="20"/>
        <v>84</v>
      </c>
      <c r="AG21" s="673">
        <f t="shared" si="20"/>
        <v>99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0.15064291212025174</v>
      </c>
      <c r="F22" s="683">
        <f t="shared" si="14"/>
        <v>133.09</v>
      </c>
      <c r="G22" s="675">
        <f t="shared" si="15"/>
        <v>147.16666666666666</v>
      </c>
      <c r="H22" s="675">
        <f t="shared" si="16"/>
        <v>153.16666666666666</v>
      </c>
      <c r="I22" s="675">
        <f t="shared" si="17"/>
        <v>131.66666666666666</v>
      </c>
      <c r="J22" s="675">
        <f t="shared" si="18"/>
        <v>120.6</v>
      </c>
      <c r="K22" s="673">
        <f t="shared" si="21"/>
        <v>168</v>
      </c>
      <c r="L22" s="673">
        <f t="shared" si="19"/>
        <v>131</v>
      </c>
      <c r="M22" s="673">
        <f t="shared" si="19"/>
        <v>142</v>
      </c>
      <c r="N22" s="673">
        <f t="shared" si="19"/>
        <v>151</v>
      </c>
      <c r="O22" s="673">
        <f t="shared" si="19"/>
        <v>165</v>
      </c>
      <c r="P22" s="673">
        <f t="shared" si="19"/>
        <v>126</v>
      </c>
      <c r="Q22" s="673">
        <f t="shared" si="19"/>
        <v>148</v>
      </c>
      <c r="R22" s="673">
        <f t="shared" si="19"/>
        <v>161</v>
      </c>
      <c r="S22" s="673">
        <f t="shared" si="19"/>
        <v>115</v>
      </c>
      <c r="T22" s="673">
        <f t="shared" si="19"/>
        <v>172</v>
      </c>
      <c r="U22" s="673">
        <f t="shared" si="19"/>
        <v>155</v>
      </c>
      <c r="V22" s="673">
        <f t="shared" si="19"/>
        <v>168</v>
      </c>
      <c r="W22" s="673">
        <f t="shared" si="19"/>
        <v>149</v>
      </c>
      <c r="X22" s="673">
        <f t="shared" si="19"/>
        <v>146</v>
      </c>
      <c r="Y22" s="673">
        <f t="shared" si="19"/>
        <v>130</v>
      </c>
      <c r="Z22" s="673">
        <f t="shared" si="19"/>
        <v>109</v>
      </c>
      <c r="AA22" s="673">
        <f t="shared" si="19"/>
        <v>135</v>
      </c>
      <c r="AB22" s="673">
        <f t="shared" si="20"/>
        <v>121</v>
      </c>
      <c r="AC22" s="673">
        <f t="shared" si="20"/>
        <v>113</v>
      </c>
      <c r="AD22" s="673">
        <f t="shared" si="20"/>
        <v>164</v>
      </c>
      <c r="AE22" s="673">
        <f t="shared" si="20"/>
        <v>109</v>
      </c>
      <c r="AF22" s="673">
        <f t="shared" si="20"/>
        <v>96</v>
      </c>
      <c r="AG22" s="673">
        <f t="shared" si="20"/>
        <v>121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0.12011967824210319</v>
      </c>
      <c r="F23" s="683">
        <f t="shared" si="14"/>
        <v>106.12333333333333</v>
      </c>
      <c r="G23" s="675">
        <f t="shared" si="15"/>
        <v>133.83333333333334</v>
      </c>
      <c r="H23" s="675">
        <f t="shared" si="16"/>
        <v>123</v>
      </c>
      <c r="I23" s="675">
        <f t="shared" si="17"/>
        <v>111.66666666666667</v>
      </c>
      <c r="J23" s="675">
        <f t="shared" si="18"/>
        <v>86.6</v>
      </c>
      <c r="K23" s="673">
        <f t="shared" si="21"/>
        <v>173</v>
      </c>
      <c r="L23" s="673">
        <f t="shared" si="19"/>
        <v>131</v>
      </c>
      <c r="M23" s="673">
        <f t="shared" si="19"/>
        <v>157</v>
      </c>
      <c r="N23" s="673">
        <f t="shared" si="19"/>
        <v>126</v>
      </c>
      <c r="O23" s="673">
        <f t="shared" si="19"/>
        <v>120</v>
      </c>
      <c r="P23" s="673">
        <f t="shared" si="19"/>
        <v>96</v>
      </c>
      <c r="Q23" s="673">
        <f t="shared" si="19"/>
        <v>123</v>
      </c>
      <c r="R23" s="673">
        <f t="shared" si="19"/>
        <v>140</v>
      </c>
      <c r="S23" s="673">
        <f t="shared" si="19"/>
        <v>104</v>
      </c>
      <c r="T23" s="673">
        <f t="shared" si="19"/>
        <v>120</v>
      </c>
      <c r="U23" s="673">
        <f t="shared" si="19"/>
        <v>119</v>
      </c>
      <c r="V23" s="673">
        <f t="shared" si="19"/>
        <v>132</v>
      </c>
      <c r="W23" s="673">
        <f t="shared" si="19"/>
        <v>122</v>
      </c>
      <c r="X23" s="673">
        <f t="shared" si="19"/>
        <v>109</v>
      </c>
      <c r="Y23" s="673">
        <f t="shared" si="19"/>
        <v>112</v>
      </c>
      <c r="Z23" s="673">
        <f t="shared" si="19"/>
        <v>109</v>
      </c>
      <c r="AA23" s="673">
        <f t="shared" si="19"/>
        <v>118</v>
      </c>
      <c r="AB23" s="673">
        <f t="shared" si="20"/>
        <v>100</v>
      </c>
      <c r="AC23" s="673">
        <f t="shared" si="20"/>
        <v>69</v>
      </c>
      <c r="AD23" s="673">
        <f t="shared" si="20"/>
        <v>120</v>
      </c>
      <c r="AE23" s="673">
        <f t="shared" si="20"/>
        <v>73</v>
      </c>
      <c r="AF23" s="673">
        <f t="shared" si="20"/>
        <v>81</v>
      </c>
      <c r="AG23" s="673">
        <f t="shared" si="20"/>
        <v>90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0.13478139478728057</v>
      </c>
      <c r="F24" s="683">
        <f t="shared" si="14"/>
        <v>119.07666666666665</v>
      </c>
      <c r="G24" s="675">
        <f t="shared" si="15"/>
        <v>145.66666666666666</v>
      </c>
      <c r="H24" s="675">
        <f t="shared" si="16"/>
        <v>134.5</v>
      </c>
      <c r="I24" s="675">
        <f t="shared" si="17"/>
        <v>124.83333333333333</v>
      </c>
      <c r="J24" s="675">
        <f t="shared" si="18"/>
        <v>100.4</v>
      </c>
      <c r="K24" s="673">
        <f t="shared" si="21"/>
        <v>164</v>
      </c>
      <c r="L24" s="673">
        <f t="shared" si="19"/>
        <v>145</v>
      </c>
      <c r="M24" s="673">
        <f t="shared" si="19"/>
        <v>169</v>
      </c>
      <c r="N24" s="673">
        <f t="shared" si="19"/>
        <v>142</v>
      </c>
      <c r="O24" s="673">
        <f t="shared" si="19"/>
        <v>144</v>
      </c>
      <c r="P24" s="673">
        <f t="shared" si="19"/>
        <v>110</v>
      </c>
      <c r="Q24" s="673">
        <f t="shared" si="19"/>
        <v>144</v>
      </c>
      <c r="R24" s="673">
        <f t="shared" si="19"/>
        <v>153</v>
      </c>
      <c r="S24" s="673">
        <f t="shared" si="19"/>
        <v>108</v>
      </c>
      <c r="T24" s="673">
        <f t="shared" si="19"/>
        <v>136</v>
      </c>
      <c r="U24" s="673">
        <f t="shared" si="19"/>
        <v>133</v>
      </c>
      <c r="V24" s="673">
        <f t="shared" si="19"/>
        <v>133</v>
      </c>
      <c r="W24" s="673">
        <f t="shared" si="19"/>
        <v>128</v>
      </c>
      <c r="X24" s="673">
        <f t="shared" si="19"/>
        <v>131</v>
      </c>
      <c r="Y24" s="673">
        <f t="shared" si="19"/>
        <v>133</v>
      </c>
      <c r="Z24" s="673">
        <f t="shared" si="19"/>
        <v>116</v>
      </c>
      <c r="AA24" s="673">
        <f t="shared" si="19"/>
        <v>145</v>
      </c>
      <c r="AB24" s="673">
        <f t="shared" si="20"/>
        <v>96</v>
      </c>
      <c r="AC24" s="673">
        <f t="shared" si="20"/>
        <v>84</v>
      </c>
      <c r="AD24" s="673">
        <f t="shared" si="20"/>
        <v>130</v>
      </c>
      <c r="AE24" s="673">
        <f t="shared" si="20"/>
        <v>70</v>
      </c>
      <c r="AF24" s="673">
        <f t="shared" si="20"/>
        <v>91</v>
      </c>
      <c r="AG24" s="673">
        <f t="shared" si="20"/>
        <v>127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0.11345663361555063</v>
      </c>
      <c r="F25" s="683">
        <f t="shared" si="14"/>
        <v>100.23666666666666</v>
      </c>
      <c r="G25" s="675">
        <f t="shared" si="15"/>
        <v>117.33333333333333</v>
      </c>
      <c r="H25" s="675">
        <f t="shared" si="16"/>
        <v>123.66666666666667</v>
      </c>
      <c r="I25" s="675">
        <f t="shared" si="17"/>
        <v>106.16666666666667</v>
      </c>
      <c r="J25" s="675">
        <f t="shared" si="18"/>
        <v>79.8</v>
      </c>
      <c r="K25" s="676">
        <f t="shared" si="21"/>
        <v>137</v>
      </c>
      <c r="L25" s="676">
        <f t="shared" si="19"/>
        <v>111</v>
      </c>
      <c r="M25" s="676">
        <f t="shared" si="19"/>
        <v>137</v>
      </c>
      <c r="N25" s="676">
        <f t="shared" si="19"/>
        <v>111</v>
      </c>
      <c r="O25" s="676">
        <f t="shared" si="19"/>
        <v>115</v>
      </c>
      <c r="P25" s="676">
        <f t="shared" si="19"/>
        <v>93</v>
      </c>
      <c r="Q25" s="676">
        <f t="shared" si="19"/>
        <v>122</v>
      </c>
      <c r="R25" s="676">
        <f t="shared" si="19"/>
        <v>137</v>
      </c>
      <c r="S25" s="676">
        <f t="shared" si="19"/>
        <v>102</v>
      </c>
      <c r="T25" s="676">
        <f t="shared" si="19"/>
        <v>143</v>
      </c>
      <c r="U25" s="676">
        <f t="shared" si="19"/>
        <v>131</v>
      </c>
      <c r="V25" s="676">
        <f t="shared" si="19"/>
        <v>107</v>
      </c>
      <c r="W25" s="676">
        <f t="shared" si="19"/>
        <v>106</v>
      </c>
      <c r="X25" s="676">
        <f t="shared" si="19"/>
        <v>99</v>
      </c>
      <c r="Y25" s="676">
        <f t="shared" si="19"/>
        <v>99</v>
      </c>
      <c r="Z25" s="676">
        <f t="shared" si="19"/>
        <v>97</v>
      </c>
      <c r="AA25" s="676">
        <f t="shared" si="19"/>
        <v>119</v>
      </c>
      <c r="AB25" s="676">
        <f t="shared" si="20"/>
        <v>117</v>
      </c>
      <c r="AC25" s="676">
        <f t="shared" si="20"/>
        <v>81</v>
      </c>
      <c r="AD25" s="676">
        <f t="shared" si="20"/>
        <v>114</v>
      </c>
      <c r="AE25" s="676">
        <f t="shared" si="20"/>
        <v>67</v>
      </c>
      <c r="AF25" s="676">
        <f t="shared" si="20"/>
        <v>64</v>
      </c>
      <c r="AG25" s="676">
        <f t="shared" si="20"/>
        <v>73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883.47999999999979</v>
      </c>
      <c r="G30" s="678">
        <f>SUM(G31:G86)</f>
        <v>1042.1666666666665</v>
      </c>
      <c r="H30" s="678">
        <f t="shared" ref="H30:J30" si="22">SUM(H31:H86)</f>
        <v>1003.1666666666667</v>
      </c>
      <c r="I30" s="678">
        <f t="shared" si="22"/>
        <v>919.16666666666663</v>
      </c>
      <c r="J30" s="678">
        <f t="shared" si="22"/>
        <v>757.19999999999982</v>
      </c>
      <c r="K30" s="671">
        <f>SUM(K31:K86)</f>
        <v>1218</v>
      </c>
      <c r="L30" s="671">
        <f t="shared" ref="L30:AH30" si="23">SUM(L31:L86)</f>
        <v>966</v>
      </c>
      <c r="M30" s="671">
        <f t="shared" si="23"/>
        <v>1199</v>
      </c>
      <c r="N30" s="671">
        <f t="shared" si="23"/>
        <v>1031</v>
      </c>
      <c r="O30" s="671">
        <f t="shared" si="23"/>
        <v>1026</v>
      </c>
      <c r="P30" s="671">
        <f t="shared" si="23"/>
        <v>813</v>
      </c>
      <c r="Q30" s="671">
        <f t="shared" si="23"/>
        <v>1002</v>
      </c>
      <c r="R30" s="671">
        <f t="shared" si="23"/>
        <v>1095</v>
      </c>
      <c r="S30" s="671">
        <f t="shared" si="23"/>
        <v>777</v>
      </c>
      <c r="T30" s="671">
        <f t="shared" si="23"/>
        <v>1076</v>
      </c>
      <c r="U30" s="671">
        <f t="shared" si="23"/>
        <v>1039</v>
      </c>
      <c r="V30" s="671">
        <f t="shared" si="23"/>
        <v>1030</v>
      </c>
      <c r="W30" s="671">
        <f t="shared" si="23"/>
        <v>922</v>
      </c>
      <c r="X30" s="671">
        <f t="shared" si="23"/>
        <v>903</v>
      </c>
      <c r="Y30" s="671">
        <f t="shared" si="23"/>
        <v>927</v>
      </c>
      <c r="Z30" s="671">
        <f t="shared" si="23"/>
        <v>848</v>
      </c>
      <c r="AA30" s="671">
        <f t="shared" si="23"/>
        <v>1042</v>
      </c>
      <c r="AB30" s="671">
        <f t="shared" si="23"/>
        <v>873</v>
      </c>
      <c r="AC30" s="671">
        <f t="shared" si="23"/>
        <v>703</v>
      </c>
      <c r="AD30" s="671">
        <f t="shared" si="23"/>
        <v>1004</v>
      </c>
      <c r="AE30" s="671">
        <f t="shared" si="23"/>
        <v>623</v>
      </c>
      <c r="AF30" s="671">
        <f t="shared" si="23"/>
        <v>663</v>
      </c>
      <c r="AG30" s="671">
        <f t="shared" si="23"/>
        <v>793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9.5644590094613888E-2</v>
      </c>
      <c r="F31" s="680">
        <f>G31*10%+H31*20%+I31*30%+J31*40%</f>
        <v>12.063333333333334</v>
      </c>
      <c r="G31" s="680">
        <f>AVERAGE(K31:P31)</f>
        <v>14.333333333333334</v>
      </c>
      <c r="H31" s="679">
        <f>AVERAGE(Q31:V31)</f>
        <v>10.5</v>
      </c>
      <c r="I31" s="679">
        <f>AVERAGE(W31:AB31)</f>
        <v>14.833333333333334</v>
      </c>
      <c r="J31" s="679">
        <f>AVERAGE(AC31:AG31)</f>
        <v>10.199999999999999</v>
      </c>
      <c r="K31" s="673">
        <v>23</v>
      </c>
      <c r="L31" s="673">
        <v>11</v>
      </c>
      <c r="M31" s="673">
        <v>14</v>
      </c>
      <c r="N31" s="673">
        <v>17</v>
      </c>
      <c r="O31" s="673">
        <v>13</v>
      </c>
      <c r="P31" s="673">
        <v>8</v>
      </c>
      <c r="Q31" s="673">
        <v>7</v>
      </c>
      <c r="R31" s="673">
        <v>10</v>
      </c>
      <c r="S31" s="673">
        <v>6</v>
      </c>
      <c r="T31" s="673">
        <v>12</v>
      </c>
      <c r="U31" s="673">
        <v>12</v>
      </c>
      <c r="V31" s="665">
        <v>16</v>
      </c>
      <c r="W31" s="665">
        <v>14</v>
      </c>
      <c r="X31" s="665">
        <v>18</v>
      </c>
      <c r="Y31" s="665">
        <v>15</v>
      </c>
      <c r="Z31" s="665">
        <v>12</v>
      </c>
      <c r="AA31" s="665">
        <v>19</v>
      </c>
      <c r="AB31" s="665">
        <v>11</v>
      </c>
      <c r="AC31" s="665">
        <v>8</v>
      </c>
      <c r="AD31" s="665">
        <v>10</v>
      </c>
      <c r="AE31" s="665">
        <v>8</v>
      </c>
      <c r="AF31" s="665">
        <v>12</v>
      </c>
      <c r="AG31" s="665">
        <v>13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6.2846873513399237E-2</v>
      </c>
      <c r="F32" s="680">
        <f t="shared" ref="F32:F86" si="25">G32*10%+H32*20%+I32*30%+J32*40%</f>
        <v>7.9266666666666676</v>
      </c>
      <c r="G32" s="680">
        <f t="shared" ref="G32:G86" si="26">AVERAGE(K32:P32)</f>
        <v>9.1666666666666661</v>
      </c>
      <c r="H32" s="679">
        <f t="shared" ref="H32:H86" si="27">AVERAGE(Q32:V32)</f>
        <v>7.5</v>
      </c>
      <c r="I32" s="679">
        <f t="shared" ref="I32:I86" si="28">AVERAGE(W32:AB32)</f>
        <v>9.8333333333333339</v>
      </c>
      <c r="J32" s="679">
        <f t="shared" ref="J32:J86" si="29">AVERAGE(AC32:AG32)</f>
        <v>6.4</v>
      </c>
      <c r="K32" s="673">
        <v>6</v>
      </c>
      <c r="L32" s="673">
        <v>9</v>
      </c>
      <c r="M32" s="673">
        <v>16</v>
      </c>
      <c r="N32" s="673">
        <v>10</v>
      </c>
      <c r="O32" s="673">
        <v>9</v>
      </c>
      <c r="P32" s="673">
        <v>5</v>
      </c>
      <c r="Q32" s="673">
        <v>7</v>
      </c>
      <c r="R32" s="673">
        <v>8</v>
      </c>
      <c r="S32" s="673">
        <v>4</v>
      </c>
      <c r="T32" s="673">
        <v>9</v>
      </c>
      <c r="U32" s="673">
        <v>7</v>
      </c>
      <c r="V32" s="665">
        <v>10</v>
      </c>
      <c r="W32" s="665">
        <v>7</v>
      </c>
      <c r="X32" s="665">
        <v>7</v>
      </c>
      <c r="Y32" s="665">
        <v>11</v>
      </c>
      <c r="Z32" s="665">
        <v>11</v>
      </c>
      <c r="AA32" s="665">
        <v>14</v>
      </c>
      <c r="AB32" s="665">
        <v>9</v>
      </c>
      <c r="AC32" s="665">
        <v>7</v>
      </c>
      <c r="AD32" s="665">
        <v>8</v>
      </c>
      <c r="AE32" s="665">
        <v>6</v>
      </c>
      <c r="AF32" s="665">
        <v>6</v>
      </c>
      <c r="AG32" s="665">
        <v>5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0.12751731064009725</v>
      </c>
      <c r="F33" s="680">
        <f t="shared" si="25"/>
        <v>16.083333333333332</v>
      </c>
      <c r="G33" s="680">
        <f t="shared" si="26"/>
        <v>21.833333333333332</v>
      </c>
      <c r="H33" s="679">
        <f t="shared" si="27"/>
        <v>19</v>
      </c>
      <c r="I33" s="679">
        <f t="shared" si="28"/>
        <v>16.333333333333332</v>
      </c>
      <c r="J33" s="679">
        <f t="shared" si="29"/>
        <v>13</v>
      </c>
      <c r="K33" s="673">
        <v>21</v>
      </c>
      <c r="L33" s="673">
        <v>18</v>
      </c>
      <c r="M33" s="673">
        <v>34</v>
      </c>
      <c r="N33" s="673">
        <v>23</v>
      </c>
      <c r="O33" s="673">
        <v>21</v>
      </c>
      <c r="P33" s="673">
        <v>14</v>
      </c>
      <c r="Q33" s="673">
        <v>19</v>
      </c>
      <c r="R33" s="673">
        <v>23</v>
      </c>
      <c r="S33" s="673">
        <v>17</v>
      </c>
      <c r="T33" s="673">
        <v>20</v>
      </c>
      <c r="U33" s="673">
        <v>18</v>
      </c>
      <c r="V33" s="665">
        <v>17</v>
      </c>
      <c r="W33" s="665">
        <v>16</v>
      </c>
      <c r="X33" s="665">
        <v>16</v>
      </c>
      <c r="Y33" s="665">
        <v>16</v>
      </c>
      <c r="Z33" s="665">
        <v>15</v>
      </c>
      <c r="AA33" s="665">
        <v>22</v>
      </c>
      <c r="AB33" s="665">
        <v>13</v>
      </c>
      <c r="AC33" s="665">
        <v>9</v>
      </c>
      <c r="AD33" s="665">
        <v>12</v>
      </c>
      <c r="AE33" s="665">
        <v>10</v>
      </c>
      <c r="AF33" s="665">
        <v>16</v>
      </c>
      <c r="AG33" s="665">
        <v>18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9.9978857233469012E-2</v>
      </c>
      <c r="F34" s="680">
        <f t="shared" si="25"/>
        <v>12.610000000000001</v>
      </c>
      <c r="G34" s="680">
        <f t="shared" si="26"/>
        <v>18.5</v>
      </c>
      <c r="H34" s="679">
        <f t="shared" si="27"/>
        <v>16.5</v>
      </c>
      <c r="I34" s="679">
        <f t="shared" si="28"/>
        <v>15</v>
      </c>
      <c r="J34" s="679">
        <f t="shared" si="29"/>
        <v>7.4</v>
      </c>
      <c r="K34" s="673">
        <v>18</v>
      </c>
      <c r="L34" s="673">
        <v>14</v>
      </c>
      <c r="M34" s="673">
        <v>22</v>
      </c>
      <c r="N34" s="673">
        <v>20</v>
      </c>
      <c r="O34" s="673">
        <v>23</v>
      </c>
      <c r="P34" s="673">
        <v>14</v>
      </c>
      <c r="Q34" s="673">
        <v>17</v>
      </c>
      <c r="R34" s="673">
        <v>17</v>
      </c>
      <c r="S34" s="673">
        <v>14</v>
      </c>
      <c r="T34" s="673">
        <v>16</v>
      </c>
      <c r="U34" s="673">
        <v>19</v>
      </c>
      <c r="V34" s="665">
        <v>16</v>
      </c>
      <c r="W34" s="665">
        <v>13</v>
      </c>
      <c r="X34" s="665">
        <v>12</v>
      </c>
      <c r="Y34" s="665">
        <v>17</v>
      </c>
      <c r="Z34" s="665">
        <v>14</v>
      </c>
      <c r="AA34" s="665">
        <v>16</v>
      </c>
      <c r="AB34" s="665">
        <v>18</v>
      </c>
      <c r="AC34" s="665">
        <v>9</v>
      </c>
      <c r="AD34" s="665">
        <v>8</v>
      </c>
      <c r="AE34" s="665">
        <v>5</v>
      </c>
      <c r="AF34" s="665">
        <v>6</v>
      </c>
      <c r="AG34" s="665">
        <v>9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0.25096463872297692</v>
      </c>
      <c r="F35" s="680">
        <f t="shared" si="25"/>
        <v>31.653333333333336</v>
      </c>
      <c r="G35" s="680">
        <f t="shared" si="26"/>
        <v>35.833333333333336</v>
      </c>
      <c r="H35" s="679">
        <f t="shared" si="27"/>
        <v>33.5</v>
      </c>
      <c r="I35" s="679">
        <f t="shared" si="28"/>
        <v>32.833333333333336</v>
      </c>
      <c r="J35" s="679">
        <f t="shared" si="29"/>
        <v>28.8</v>
      </c>
      <c r="K35" s="673">
        <v>40</v>
      </c>
      <c r="L35" s="673">
        <v>37</v>
      </c>
      <c r="M35" s="673">
        <v>40</v>
      </c>
      <c r="N35" s="673">
        <v>32</v>
      </c>
      <c r="O35" s="673">
        <v>35</v>
      </c>
      <c r="P35" s="673">
        <v>31</v>
      </c>
      <c r="Q35" s="673">
        <v>39</v>
      </c>
      <c r="R35" s="673">
        <v>40</v>
      </c>
      <c r="S35" s="673">
        <v>20</v>
      </c>
      <c r="T35" s="673">
        <v>38</v>
      </c>
      <c r="U35" s="673">
        <v>32</v>
      </c>
      <c r="V35" s="665">
        <v>32</v>
      </c>
      <c r="W35" s="665">
        <v>32</v>
      </c>
      <c r="X35" s="665">
        <v>29</v>
      </c>
      <c r="Y35" s="665">
        <v>36</v>
      </c>
      <c r="Z35" s="665">
        <v>32</v>
      </c>
      <c r="AA35" s="665">
        <v>41</v>
      </c>
      <c r="AB35" s="665">
        <v>27</v>
      </c>
      <c r="AC35" s="665">
        <v>23</v>
      </c>
      <c r="AD35" s="665">
        <v>41</v>
      </c>
      <c r="AE35" s="665">
        <v>31</v>
      </c>
      <c r="AF35" s="665">
        <v>23</v>
      </c>
      <c r="AG35" s="665">
        <v>26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0.12188804905121833</v>
      </c>
      <c r="F36" s="680">
        <f t="shared" si="25"/>
        <v>15.373333333333331</v>
      </c>
      <c r="G36" s="680">
        <f t="shared" si="26"/>
        <v>15.666666666666666</v>
      </c>
      <c r="H36" s="679">
        <f t="shared" si="27"/>
        <v>17.833333333333332</v>
      </c>
      <c r="I36" s="679">
        <f t="shared" si="28"/>
        <v>14.666666666666666</v>
      </c>
      <c r="J36" s="679">
        <f t="shared" si="29"/>
        <v>14.6</v>
      </c>
      <c r="K36" s="673">
        <v>18</v>
      </c>
      <c r="L36" s="673">
        <v>13</v>
      </c>
      <c r="M36" s="673">
        <v>18</v>
      </c>
      <c r="N36" s="673">
        <v>16</v>
      </c>
      <c r="O36" s="673">
        <v>15</v>
      </c>
      <c r="P36" s="673">
        <v>14</v>
      </c>
      <c r="Q36" s="673">
        <v>16</v>
      </c>
      <c r="R36" s="673">
        <v>23</v>
      </c>
      <c r="S36" s="673">
        <v>17</v>
      </c>
      <c r="T36" s="673">
        <v>20</v>
      </c>
      <c r="U36" s="673">
        <v>17</v>
      </c>
      <c r="V36" s="665">
        <v>14</v>
      </c>
      <c r="W36" s="665">
        <v>15</v>
      </c>
      <c r="X36" s="665">
        <v>13</v>
      </c>
      <c r="Y36" s="665">
        <v>11</v>
      </c>
      <c r="Z36" s="665">
        <v>15</v>
      </c>
      <c r="AA36" s="665">
        <v>21</v>
      </c>
      <c r="AB36" s="665">
        <v>13</v>
      </c>
      <c r="AC36" s="665">
        <v>12</v>
      </c>
      <c r="AD36" s="665">
        <v>16</v>
      </c>
      <c r="AE36" s="665">
        <v>15</v>
      </c>
      <c r="AF36" s="665">
        <v>14</v>
      </c>
      <c r="AG36" s="665">
        <v>16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9.0887467625138746E-2</v>
      </c>
      <c r="F37" s="680">
        <f t="shared" si="25"/>
        <v>11.463333333333333</v>
      </c>
      <c r="G37" s="680">
        <f t="shared" si="26"/>
        <v>15.5</v>
      </c>
      <c r="H37" s="679">
        <f t="shared" si="27"/>
        <v>12.666666666666666</v>
      </c>
      <c r="I37" s="679">
        <f t="shared" si="28"/>
        <v>12.333333333333334</v>
      </c>
      <c r="J37" s="679">
        <f t="shared" si="29"/>
        <v>9.1999999999999993</v>
      </c>
      <c r="K37" s="673">
        <v>17</v>
      </c>
      <c r="L37" s="673">
        <v>13</v>
      </c>
      <c r="M37" s="673">
        <v>20</v>
      </c>
      <c r="N37" s="673">
        <v>16</v>
      </c>
      <c r="O37" s="673">
        <v>16</v>
      </c>
      <c r="P37" s="673">
        <v>11</v>
      </c>
      <c r="Q37" s="673">
        <v>13</v>
      </c>
      <c r="R37" s="673">
        <v>15</v>
      </c>
      <c r="S37" s="673">
        <v>7</v>
      </c>
      <c r="T37" s="673">
        <v>13</v>
      </c>
      <c r="U37" s="673">
        <v>14</v>
      </c>
      <c r="V37" s="665">
        <v>14</v>
      </c>
      <c r="W37" s="665">
        <v>11</v>
      </c>
      <c r="X37" s="665">
        <v>13</v>
      </c>
      <c r="Y37" s="665">
        <v>14</v>
      </c>
      <c r="Z37" s="665">
        <v>11</v>
      </c>
      <c r="AA37" s="665">
        <v>15</v>
      </c>
      <c r="AB37" s="665">
        <v>10</v>
      </c>
      <c r="AC37" s="665">
        <v>7</v>
      </c>
      <c r="AD37" s="665">
        <v>12</v>
      </c>
      <c r="AE37" s="665">
        <v>7</v>
      </c>
      <c r="AF37" s="665">
        <v>9</v>
      </c>
      <c r="AG37" s="665">
        <v>11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0.15027221311908665</v>
      </c>
      <c r="F38" s="680">
        <f t="shared" si="25"/>
        <v>18.953333333333333</v>
      </c>
      <c r="G38" s="680">
        <f t="shared" si="26"/>
        <v>24.666666666666668</v>
      </c>
      <c r="H38" s="679">
        <f t="shared" si="27"/>
        <v>22.833333333333332</v>
      </c>
      <c r="I38" s="679">
        <f t="shared" si="28"/>
        <v>18.666666666666668</v>
      </c>
      <c r="J38" s="679">
        <f t="shared" si="29"/>
        <v>15.8</v>
      </c>
      <c r="K38" s="673">
        <v>24</v>
      </c>
      <c r="L38" s="673">
        <v>23</v>
      </c>
      <c r="M38" s="673">
        <v>32</v>
      </c>
      <c r="N38" s="673">
        <v>24</v>
      </c>
      <c r="O38" s="673">
        <v>24</v>
      </c>
      <c r="P38" s="673">
        <v>21</v>
      </c>
      <c r="Q38" s="673">
        <v>16</v>
      </c>
      <c r="R38" s="673">
        <v>29</v>
      </c>
      <c r="S38" s="673">
        <v>18</v>
      </c>
      <c r="T38" s="673">
        <v>24</v>
      </c>
      <c r="U38" s="673">
        <v>23</v>
      </c>
      <c r="V38" s="665">
        <v>27</v>
      </c>
      <c r="W38" s="665">
        <v>16</v>
      </c>
      <c r="X38" s="665">
        <v>14</v>
      </c>
      <c r="Y38" s="665">
        <v>18</v>
      </c>
      <c r="Z38" s="665">
        <v>16</v>
      </c>
      <c r="AA38" s="665">
        <v>27</v>
      </c>
      <c r="AB38" s="665">
        <v>21</v>
      </c>
      <c r="AC38" s="665">
        <v>17</v>
      </c>
      <c r="AD38" s="665">
        <v>23</v>
      </c>
      <c r="AE38" s="665">
        <v>11</v>
      </c>
      <c r="AF38" s="665">
        <v>11</v>
      </c>
      <c r="AG38" s="665">
        <v>17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0.3795872279028919</v>
      </c>
      <c r="F39" s="680">
        <f t="shared" si="25"/>
        <v>20.170000000000002</v>
      </c>
      <c r="G39" s="680">
        <f t="shared" si="26"/>
        <v>16.833333333333332</v>
      </c>
      <c r="H39" s="679">
        <f t="shared" si="27"/>
        <v>14.333333333333334</v>
      </c>
      <c r="I39" s="679">
        <f t="shared" si="28"/>
        <v>21.666666666666668</v>
      </c>
      <c r="J39" s="679">
        <f t="shared" si="29"/>
        <v>22.8</v>
      </c>
      <c r="K39" s="673">
        <v>17</v>
      </c>
      <c r="L39" s="673">
        <v>15</v>
      </c>
      <c r="M39" s="673">
        <v>18</v>
      </c>
      <c r="N39" s="673">
        <v>18</v>
      </c>
      <c r="O39" s="673">
        <v>18</v>
      </c>
      <c r="P39" s="673">
        <v>15</v>
      </c>
      <c r="Q39" s="673">
        <v>15</v>
      </c>
      <c r="R39" s="673">
        <v>16</v>
      </c>
      <c r="S39" s="673">
        <v>13</v>
      </c>
      <c r="T39" s="673">
        <v>15</v>
      </c>
      <c r="U39" s="673">
        <v>12</v>
      </c>
      <c r="V39" s="665">
        <v>15</v>
      </c>
      <c r="W39" s="665">
        <v>18</v>
      </c>
      <c r="X39" s="665">
        <v>18</v>
      </c>
      <c r="Y39" s="665">
        <v>23</v>
      </c>
      <c r="Z39" s="665">
        <v>19</v>
      </c>
      <c r="AA39" s="665">
        <v>26</v>
      </c>
      <c r="AB39" s="665">
        <v>26</v>
      </c>
      <c r="AC39" s="665">
        <v>26</v>
      </c>
      <c r="AD39" s="665">
        <v>27</v>
      </c>
      <c r="AE39" s="665">
        <v>17</v>
      </c>
      <c r="AF39" s="665">
        <v>22</v>
      </c>
      <c r="AG39" s="665">
        <v>22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0.25864123957091778</v>
      </c>
      <c r="F40" s="680">
        <f t="shared" si="25"/>
        <v>13.743333333333334</v>
      </c>
      <c r="G40" s="680">
        <f t="shared" si="26"/>
        <v>12.833333333333334</v>
      </c>
      <c r="H40" s="679">
        <f t="shared" si="27"/>
        <v>10.5</v>
      </c>
      <c r="I40" s="679">
        <f t="shared" si="28"/>
        <v>15.333333333333334</v>
      </c>
      <c r="J40" s="679">
        <f t="shared" si="29"/>
        <v>14.4</v>
      </c>
      <c r="K40" s="673">
        <v>17</v>
      </c>
      <c r="L40" s="673">
        <v>14</v>
      </c>
      <c r="M40" s="673">
        <v>13</v>
      </c>
      <c r="N40" s="673">
        <v>17</v>
      </c>
      <c r="O40" s="673">
        <v>10</v>
      </c>
      <c r="P40" s="673">
        <v>6</v>
      </c>
      <c r="Q40" s="673">
        <v>7</v>
      </c>
      <c r="R40" s="673">
        <v>10</v>
      </c>
      <c r="S40" s="673">
        <v>9</v>
      </c>
      <c r="T40" s="673">
        <v>11</v>
      </c>
      <c r="U40" s="673">
        <v>12</v>
      </c>
      <c r="V40" s="665">
        <v>14</v>
      </c>
      <c r="W40" s="665">
        <v>13</v>
      </c>
      <c r="X40" s="665">
        <v>14</v>
      </c>
      <c r="Y40" s="665">
        <v>17</v>
      </c>
      <c r="Z40" s="665">
        <v>15</v>
      </c>
      <c r="AA40" s="665">
        <v>16</v>
      </c>
      <c r="AB40" s="665">
        <v>17</v>
      </c>
      <c r="AC40" s="665">
        <v>14</v>
      </c>
      <c r="AD40" s="665">
        <v>19</v>
      </c>
      <c r="AE40" s="665">
        <v>11</v>
      </c>
      <c r="AF40" s="665">
        <v>11</v>
      </c>
      <c r="AG40" s="665">
        <v>17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0.36177153252619038</v>
      </c>
      <c r="F41" s="680">
        <f t="shared" si="25"/>
        <v>19.223333333333336</v>
      </c>
      <c r="G41" s="680">
        <f t="shared" si="26"/>
        <v>13.333333333333334</v>
      </c>
      <c r="H41" s="679">
        <f t="shared" si="27"/>
        <v>17</v>
      </c>
      <c r="I41" s="679">
        <f t="shared" si="28"/>
        <v>22.166666666666668</v>
      </c>
      <c r="J41" s="679">
        <f t="shared" si="29"/>
        <v>19.600000000000001</v>
      </c>
      <c r="K41" s="673">
        <v>18</v>
      </c>
      <c r="L41" s="673">
        <v>15</v>
      </c>
      <c r="M41" s="673">
        <v>16</v>
      </c>
      <c r="N41" s="673">
        <v>11</v>
      </c>
      <c r="O41" s="673">
        <v>12</v>
      </c>
      <c r="P41" s="673">
        <v>8</v>
      </c>
      <c r="Q41" s="673">
        <v>13</v>
      </c>
      <c r="R41" s="673">
        <v>14</v>
      </c>
      <c r="S41" s="673">
        <v>19</v>
      </c>
      <c r="T41" s="673">
        <v>18</v>
      </c>
      <c r="U41" s="673">
        <v>21</v>
      </c>
      <c r="V41" s="665">
        <v>17</v>
      </c>
      <c r="W41" s="665">
        <v>24</v>
      </c>
      <c r="X41" s="665">
        <v>25</v>
      </c>
      <c r="Y41" s="665">
        <v>21</v>
      </c>
      <c r="Z41" s="665">
        <v>18</v>
      </c>
      <c r="AA41" s="665">
        <v>21</v>
      </c>
      <c r="AB41" s="665">
        <v>24</v>
      </c>
      <c r="AC41" s="665">
        <v>22</v>
      </c>
      <c r="AD41" s="665">
        <v>24</v>
      </c>
      <c r="AE41" s="665">
        <v>17</v>
      </c>
      <c r="AF41" s="665">
        <v>16</v>
      </c>
      <c r="AG41" s="665">
        <v>19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0.20088379314463156</v>
      </c>
      <c r="F42" s="680">
        <f t="shared" si="25"/>
        <v>28.033333333333339</v>
      </c>
      <c r="G42" s="680">
        <f t="shared" si="26"/>
        <v>36.666666666666664</v>
      </c>
      <c r="H42" s="679">
        <f t="shared" si="27"/>
        <v>32.333333333333336</v>
      </c>
      <c r="I42" s="679">
        <f t="shared" si="28"/>
        <v>29</v>
      </c>
      <c r="J42" s="679">
        <f t="shared" si="29"/>
        <v>23</v>
      </c>
      <c r="K42" s="673">
        <v>36</v>
      </c>
      <c r="L42" s="673">
        <v>33</v>
      </c>
      <c r="M42" s="673">
        <v>44</v>
      </c>
      <c r="N42" s="673">
        <v>37</v>
      </c>
      <c r="O42" s="673">
        <v>37</v>
      </c>
      <c r="P42" s="673">
        <v>33</v>
      </c>
      <c r="Q42" s="673">
        <v>37</v>
      </c>
      <c r="R42" s="673">
        <v>34</v>
      </c>
      <c r="S42" s="673">
        <v>24</v>
      </c>
      <c r="T42" s="673">
        <v>32</v>
      </c>
      <c r="U42" s="673">
        <v>37</v>
      </c>
      <c r="V42" s="665">
        <v>30</v>
      </c>
      <c r="W42" s="665">
        <v>25</v>
      </c>
      <c r="X42" s="665">
        <v>35</v>
      </c>
      <c r="Y42" s="665">
        <v>35</v>
      </c>
      <c r="Z42" s="665">
        <v>27</v>
      </c>
      <c r="AA42" s="665">
        <v>29</v>
      </c>
      <c r="AB42" s="665">
        <v>23</v>
      </c>
      <c r="AC42" s="665">
        <v>20</v>
      </c>
      <c r="AD42" s="665">
        <v>27</v>
      </c>
      <c r="AE42" s="665">
        <v>15</v>
      </c>
      <c r="AF42" s="665">
        <v>27</v>
      </c>
      <c r="AG42" s="665">
        <v>26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0.14938492774393886</v>
      </c>
      <c r="F43" s="680">
        <f t="shared" si="25"/>
        <v>20.846666666666668</v>
      </c>
      <c r="G43" s="680">
        <f t="shared" si="26"/>
        <v>25</v>
      </c>
      <c r="H43" s="679">
        <f t="shared" si="27"/>
        <v>22.833333333333332</v>
      </c>
      <c r="I43" s="679">
        <f t="shared" si="28"/>
        <v>21.666666666666668</v>
      </c>
      <c r="J43" s="679">
        <f t="shared" si="29"/>
        <v>18.2</v>
      </c>
      <c r="K43" s="673">
        <v>27</v>
      </c>
      <c r="L43" s="673">
        <v>26</v>
      </c>
      <c r="M43" s="673">
        <v>26</v>
      </c>
      <c r="N43" s="673">
        <v>22</v>
      </c>
      <c r="O43" s="673">
        <v>25</v>
      </c>
      <c r="P43" s="673">
        <v>24</v>
      </c>
      <c r="Q43" s="673">
        <v>24</v>
      </c>
      <c r="R43" s="673">
        <v>21</v>
      </c>
      <c r="S43" s="673">
        <v>19</v>
      </c>
      <c r="T43" s="673">
        <v>21</v>
      </c>
      <c r="U43" s="673">
        <v>27</v>
      </c>
      <c r="V43" s="665">
        <v>25</v>
      </c>
      <c r="W43" s="665">
        <v>25</v>
      </c>
      <c r="X43" s="665">
        <v>22</v>
      </c>
      <c r="Y43" s="665">
        <v>22</v>
      </c>
      <c r="Z43" s="665">
        <v>19</v>
      </c>
      <c r="AA43" s="665">
        <v>20</v>
      </c>
      <c r="AB43" s="665">
        <v>22</v>
      </c>
      <c r="AC43" s="665">
        <v>19</v>
      </c>
      <c r="AD43" s="665">
        <v>22</v>
      </c>
      <c r="AE43" s="665">
        <v>14</v>
      </c>
      <c r="AF43" s="665">
        <v>17</v>
      </c>
      <c r="AG43" s="665">
        <v>19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0.14656634420160036</v>
      </c>
      <c r="F44" s="680">
        <f t="shared" si="25"/>
        <v>20.453333333333333</v>
      </c>
      <c r="G44" s="680">
        <f t="shared" si="26"/>
        <v>25.833333333333332</v>
      </c>
      <c r="H44" s="679">
        <f t="shared" si="27"/>
        <v>25</v>
      </c>
      <c r="I44" s="679">
        <f t="shared" si="28"/>
        <v>20.5</v>
      </c>
      <c r="J44" s="679">
        <f t="shared" si="29"/>
        <v>16.8</v>
      </c>
      <c r="K44" s="673">
        <v>24</v>
      </c>
      <c r="L44" s="673">
        <v>25</v>
      </c>
      <c r="M44" s="673">
        <v>28</v>
      </c>
      <c r="N44" s="673">
        <v>26</v>
      </c>
      <c r="O44" s="673">
        <v>27</v>
      </c>
      <c r="P44" s="673">
        <v>25</v>
      </c>
      <c r="Q44" s="673">
        <v>25</v>
      </c>
      <c r="R44" s="673">
        <v>26</v>
      </c>
      <c r="S44" s="673">
        <v>23</v>
      </c>
      <c r="T44" s="673">
        <v>27</v>
      </c>
      <c r="U44" s="673">
        <v>24</v>
      </c>
      <c r="V44" s="665">
        <v>25</v>
      </c>
      <c r="W44" s="665">
        <v>19</v>
      </c>
      <c r="X44" s="665">
        <v>16</v>
      </c>
      <c r="Y44" s="665">
        <v>21</v>
      </c>
      <c r="Z44" s="665">
        <v>19</v>
      </c>
      <c r="AA44" s="665">
        <v>24</v>
      </c>
      <c r="AB44" s="665">
        <v>24</v>
      </c>
      <c r="AC44" s="665">
        <v>20</v>
      </c>
      <c r="AD44" s="665">
        <v>17</v>
      </c>
      <c r="AE44" s="665">
        <v>14</v>
      </c>
      <c r="AF44" s="665">
        <v>17</v>
      </c>
      <c r="AG44" s="665">
        <v>16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0.10760778693419323</v>
      </c>
      <c r="F45" s="680">
        <f t="shared" si="25"/>
        <v>15.016666666666667</v>
      </c>
      <c r="G45" s="680">
        <f t="shared" si="26"/>
        <v>17.333333333333332</v>
      </c>
      <c r="H45" s="679">
        <f t="shared" si="27"/>
        <v>20.666666666666668</v>
      </c>
      <c r="I45" s="679">
        <f t="shared" si="28"/>
        <v>15.833333333333334</v>
      </c>
      <c r="J45" s="679">
        <f t="shared" si="29"/>
        <v>11</v>
      </c>
      <c r="K45" s="673">
        <v>21</v>
      </c>
      <c r="L45" s="673">
        <v>14</v>
      </c>
      <c r="M45" s="673">
        <v>22</v>
      </c>
      <c r="N45" s="673">
        <v>14</v>
      </c>
      <c r="O45" s="673">
        <v>17</v>
      </c>
      <c r="P45" s="673">
        <v>16</v>
      </c>
      <c r="Q45" s="673">
        <v>25</v>
      </c>
      <c r="R45" s="673">
        <v>24</v>
      </c>
      <c r="S45" s="673">
        <v>10</v>
      </c>
      <c r="T45" s="673">
        <v>22</v>
      </c>
      <c r="U45" s="673">
        <v>23</v>
      </c>
      <c r="V45" s="665">
        <v>20</v>
      </c>
      <c r="W45" s="665">
        <v>16</v>
      </c>
      <c r="X45" s="665">
        <v>19</v>
      </c>
      <c r="Y45" s="665">
        <v>21</v>
      </c>
      <c r="Z45" s="665">
        <v>12</v>
      </c>
      <c r="AA45" s="665">
        <v>14</v>
      </c>
      <c r="AB45" s="665">
        <v>13</v>
      </c>
      <c r="AC45" s="665">
        <v>8</v>
      </c>
      <c r="AD45" s="665">
        <v>19</v>
      </c>
      <c r="AE45" s="665">
        <v>13</v>
      </c>
      <c r="AF45" s="665">
        <v>5</v>
      </c>
      <c r="AG45" s="665">
        <v>10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0.10877821569329989</v>
      </c>
      <c r="F46" s="680">
        <f t="shared" si="25"/>
        <v>15.18</v>
      </c>
      <c r="G46" s="680">
        <f t="shared" si="26"/>
        <v>17.833333333333332</v>
      </c>
      <c r="H46" s="679">
        <f t="shared" si="27"/>
        <v>19.833333333333332</v>
      </c>
      <c r="I46" s="679">
        <f t="shared" si="28"/>
        <v>15.166666666666666</v>
      </c>
      <c r="J46" s="679">
        <f t="shared" si="29"/>
        <v>12.2</v>
      </c>
      <c r="K46" s="673">
        <v>17</v>
      </c>
      <c r="L46" s="673">
        <v>16</v>
      </c>
      <c r="M46" s="673">
        <v>20</v>
      </c>
      <c r="N46" s="673">
        <v>18</v>
      </c>
      <c r="O46" s="673">
        <v>20</v>
      </c>
      <c r="P46" s="673">
        <v>16</v>
      </c>
      <c r="Q46" s="673">
        <v>18</v>
      </c>
      <c r="R46" s="673">
        <v>17</v>
      </c>
      <c r="S46" s="673">
        <v>15</v>
      </c>
      <c r="T46" s="673">
        <v>24</v>
      </c>
      <c r="U46" s="673">
        <v>22</v>
      </c>
      <c r="V46" s="665">
        <v>23</v>
      </c>
      <c r="W46" s="665">
        <v>9</v>
      </c>
      <c r="X46" s="665">
        <v>10</v>
      </c>
      <c r="Y46" s="665">
        <v>13</v>
      </c>
      <c r="Z46" s="665">
        <v>15</v>
      </c>
      <c r="AA46" s="665">
        <v>22</v>
      </c>
      <c r="AB46" s="665">
        <v>22</v>
      </c>
      <c r="AC46" s="665">
        <v>19</v>
      </c>
      <c r="AD46" s="665">
        <v>15</v>
      </c>
      <c r="AE46" s="665">
        <v>7</v>
      </c>
      <c r="AF46" s="665">
        <v>8</v>
      </c>
      <c r="AG46" s="665">
        <v>12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0.13297503881523945</v>
      </c>
      <c r="F47" s="680">
        <f t="shared" si="25"/>
        <v>18.556666666666668</v>
      </c>
      <c r="G47" s="680">
        <f t="shared" si="26"/>
        <v>29.833333333333332</v>
      </c>
      <c r="H47" s="679">
        <f t="shared" si="27"/>
        <v>23.666666666666668</v>
      </c>
      <c r="I47" s="679">
        <f t="shared" si="28"/>
        <v>18</v>
      </c>
      <c r="J47" s="679">
        <f t="shared" si="29"/>
        <v>13.6</v>
      </c>
      <c r="K47" s="673">
        <v>34</v>
      </c>
      <c r="L47" s="673">
        <v>26</v>
      </c>
      <c r="M47" s="673">
        <v>37</v>
      </c>
      <c r="N47" s="673">
        <v>33</v>
      </c>
      <c r="O47" s="673">
        <v>33</v>
      </c>
      <c r="P47" s="673">
        <v>16</v>
      </c>
      <c r="Q47" s="673">
        <v>25</v>
      </c>
      <c r="R47" s="673">
        <v>30</v>
      </c>
      <c r="S47" s="673">
        <v>14</v>
      </c>
      <c r="T47" s="673">
        <v>22</v>
      </c>
      <c r="U47" s="673">
        <v>26</v>
      </c>
      <c r="V47" s="665">
        <v>25</v>
      </c>
      <c r="W47" s="665">
        <v>18</v>
      </c>
      <c r="X47" s="665">
        <v>16</v>
      </c>
      <c r="Y47" s="665">
        <v>16</v>
      </c>
      <c r="Z47" s="665">
        <v>20</v>
      </c>
      <c r="AA47" s="665">
        <v>18</v>
      </c>
      <c r="AB47" s="665">
        <v>20</v>
      </c>
      <c r="AC47" s="665">
        <v>11</v>
      </c>
      <c r="AD47" s="665">
        <v>21</v>
      </c>
      <c r="AE47" s="665">
        <v>8</v>
      </c>
      <c r="AF47" s="665">
        <v>14</v>
      </c>
      <c r="AG47" s="665">
        <v>14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9.994028424698434E-2</v>
      </c>
      <c r="F48" s="680">
        <f t="shared" si="25"/>
        <v>13.946666666666665</v>
      </c>
      <c r="G48" s="680">
        <f t="shared" si="26"/>
        <v>14.666666666666666</v>
      </c>
      <c r="H48" s="679">
        <f t="shared" si="27"/>
        <v>17</v>
      </c>
      <c r="I48" s="679">
        <f t="shared" si="28"/>
        <v>15.333333333333334</v>
      </c>
      <c r="J48" s="679">
        <f t="shared" si="29"/>
        <v>11.2</v>
      </c>
      <c r="K48" s="673">
        <v>15</v>
      </c>
      <c r="L48" s="673">
        <v>11</v>
      </c>
      <c r="M48" s="673">
        <v>22</v>
      </c>
      <c r="N48" s="673">
        <v>14</v>
      </c>
      <c r="O48" s="673">
        <v>14</v>
      </c>
      <c r="P48" s="673">
        <v>12</v>
      </c>
      <c r="Q48" s="673">
        <v>13</v>
      </c>
      <c r="R48" s="673">
        <v>18</v>
      </c>
      <c r="S48" s="673">
        <v>16</v>
      </c>
      <c r="T48" s="673">
        <v>22</v>
      </c>
      <c r="U48" s="673">
        <v>16</v>
      </c>
      <c r="V48" s="665">
        <v>17</v>
      </c>
      <c r="W48" s="665">
        <v>14</v>
      </c>
      <c r="X48" s="665">
        <v>12</v>
      </c>
      <c r="Y48" s="665">
        <v>16</v>
      </c>
      <c r="Z48" s="665">
        <v>14</v>
      </c>
      <c r="AA48" s="665">
        <v>21</v>
      </c>
      <c r="AB48" s="665">
        <v>15</v>
      </c>
      <c r="AC48" s="665">
        <v>12</v>
      </c>
      <c r="AD48" s="665">
        <v>18</v>
      </c>
      <c r="AE48" s="665">
        <v>11</v>
      </c>
      <c r="AF48" s="665">
        <v>6</v>
      </c>
      <c r="AG48" s="665">
        <v>9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5.3863609220112268E-2</v>
      </c>
      <c r="F49" s="680">
        <f t="shared" si="25"/>
        <v>7.5166666666666675</v>
      </c>
      <c r="G49" s="680">
        <f t="shared" si="26"/>
        <v>9.5</v>
      </c>
      <c r="H49" s="679">
        <f t="shared" si="27"/>
        <v>7.333333333333333</v>
      </c>
      <c r="I49" s="679">
        <f t="shared" si="28"/>
        <v>7.666666666666667</v>
      </c>
      <c r="J49" s="679">
        <f t="shared" si="29"/>
        <v>7</v>
      </c>
      <c r="K49" s="673">
        <v>12</v>
      </c>
      <c r="L49" s="673">
        <v>12</v>
      </c>
      <c r="M49" s="673">
        <v>9</v>
      </c>
      <c r="N49" s="673">
        <v>9</v>
      </c>
      <c r="O49" s="673">
        <v>7</v>
      </c>
      <c r="P49" s="673">
        <v>8</v>
      </c>
      <c r="Q49" s="673">
        <v>8</v>
      </c>
      <c r="R49" s="673">
        <v>9</v>
      </c>
      <c r="S49" s="673">
        <v>6</v>
      </c>
      <c r="T49" s="673">
        <v>8</v>
      </c>
      <c r="U49" s="673">
        <v>8</v>
      </c>
      <c r="V49" s="665">
        <v>5</v>
      </c>
      <c r="W49" s="665">
        <v>8</v>
      </c>
      <c r="X49" s="665">
        <v>9</v>
      </c>
      <c r="Y49" s="665">
        <v>8</v>
      </c>
      <c r="Z49" s="665">
        <v>5</v>
      </c>
      <c r="AA49" s="665">
        <v>8</v>
      </c>
      <c r="AB49" s="665">
        <v>8</v>
      </c>
      <c r="AC49" s="665">
        <v>7</v>
      </c>
      <c r="AD49" s="665">
        <v>14</v>
      </c>
      <c r="AE49" s="665">
        <v>3</v>
      </c>
      <c r="AF49" s="665">
        <v>7</v>
      </c>
      <c r="AG49" s="665">
        <v>4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9.5659820363042519E-2</v>
      </c>
      <c r="F50" s="680">
        <f t="shared" si="25"/>
        <v>10.153333333333334</v>
      </c>
      <c r="G50" s="680">
        <f t="shared" si="26"/>
        <v>10.333333333333334</v>
      </c>
      <c r="H50" s="679">
        <f t="shared" si="27"/>
        <v>13</v>
      </c>
      <c r="I50" s="679">
        <f t="shared" si="28"/>
        <v>10</v>
      </c>
      <c r="J50" s="679">
        <f t="shared" si="29"/>
        <v>8.8000000000000007</v>
      </c>
      <c r="K50" s="673">
        <v>14</v>
      </c>
      <c r="L50" s="673">
        <v>10</v>
      </c>
      <c r="M50" s="673">
        <v>8</v>
      </c>
      <c r="N50" s="673">
        <v>14</v>
      </c>
      <c r="O50" s="673">
        <v>9</v>
      </c>
      <c r="P50" s="673">
        <v>7</v>
      </c>
      <c r="Q50" s="673">
        <v>15</v>
      </c>
      <c r="R50" s="673">
        <v>11</v>
      </c>
      <c r="S50" s="673">
        <v>8</v>
      </c>
      <c r="T50" s="673">
        <v>14</v>
      </c>
      <c r="U50" s="673">
        <v>15</v>
      </c>
      <c r="V50" s="665">
        <v>15</v>
      </c>
      <c r="W50" s="665">
        <v>8</v>
      </c>
      <c r="X50" s="665">
        <v>7</v>
      </c>
      <c r="Y50" s="665">
        <v>11</v>
      </c>
      <c r="Z50" s="665">
        <v>11</v>
      </c>
      <c r="AA50" s="665">
        <v>14</v>
      </c>
      <c r="AB50" s="665">
        <v>9</v>
      </c>
      <c r="AC50" s="665">
        <v>6</v>
      </c>
      <c r="AD50" s="665">
        <v>10</v>
      </c>
      <c r="AE50" s="665">
        <v>9</v>
      </c>
      <c r="AF50" s="665">
        <v>9</v>
      </c>
      <c r="AG50" s="665">
        <v>10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0.108535895986433</v>
      </c>
      <c r="F51" s="680">
        <f t="shared" si="25"/>
        <v>11.52</v>
      </c>
      <c r="G51" s="680">
        <f t="shared" si="26"/>
        <v>9.1666666666666661</v>
      </c>
      <c r="H51" s="679">
        <f t="shared" si="27"/>
        <v>11.166666666666666</v>
      </c>
      <c r="I51" s="679">
        <f t="shared" si="28"/>
        <v>14.833333333333334</v>
      </c>
      <c r="J51" s="679">
        <f t="shared" si="29"/>
        <v>9.8000000000000007</v>
      </c>
      <c r="K51" s="673">
        <v>13</v>
      </c>
      <c r="L51" s="673">
        <v>6</v>
      </c>
      <c r="M51" s="673">
        <v>11</v>
      </c>
      <c r="N51" s="673">
        <v>11</v>
      </c>
      <c r="O51" s="673">
        <v>6</v>
      </c>
      <c r="P51" s="673">
        <v>8</v>
      </c>
      <c r="Q51" s="673">
        <v>10</v>
      </c>
      <c r="R51" s="673">
        <v>15</v>
      </c>
      <c r="S51" s="673">
        <v>6</v>
      </c>
      <c r="T51" s="673">
        <v>11</v>
      </c>
      <c r="U51" s="673">
        <v>14</v>
      </c>
      <c r="V51" s="665">
        <v>11</v>
      </c>
      <c r="W51" s="665">
        <v>15</v>
      </c>
      <c r="X51" s="665">
        <v>15</v>
      </c>
      <c r="Y51" s="665">
        <v>14</v>
      </c>
      <c r="Z51" s="665">
        <v>20</v>
      </c>
      <c r="AA51" s="665">
        <v>14</v>
      </c>
      <c r="AB51" s="665">
        <v>11</v>
      </c>
      <c r="AC51" s="665">
        <v>10</v>
      </c>
      <c r="AD51" s="665">
        <v>14</v>
      </c>
      <c r="AE51" s="665">
        <v>6</v>
      </c>
      <c r="AF51" s="665">
        <v>7</v>
      </c>
      <c r="AG51" s="665">
        <v>12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0.1151309591106086</v>
      </c>
      <c r="F52" s="680">
        <f t="shared" si="25"/>
        <v>12.219999999999999</v>
      </c>
      <c r="G52" s="680">
        <f t="shared" si="26"/>
        <v>15.5</v>
      </c>
      <c r="H52" s="679">
        <f t="shared" si="27"/>
        <v>15</v>
      </c>
      <c r="I52" s="679">
        <f t="shared" si="28"/>
        <v>11.166666666666666</v>
      </c>
      <c r="J52" s="679">
        <f t="shared" si="29"/>
        <v>10.8</v>
      </c>
      <c r="K52" s="673">
        <v>17</v>
      </c>
      <c r="L52" s="673">
        <v>16</v>
      </c>
      <c r="M52" s="673">
        <v>18</v>
      </c>
      <c r="N52" s="673">
        <v>13</v>
      </c>
      <c r="O52" s="673">
        <v>16</v>
      </c>
      <c r="P52" s="673">
        <v>13</v>
      </c>
      <c r="Q52" s="673">
        <v>19</v>
      </c>
      <c r="R52" s="673">
        <v>19</v>
      </c>
      <c r="S52" s="673">
        <v>12</v>
      </c>
      <c r="T52" s="673">
        <v>15</v>
      </c>
      <c r="U52" s="673">
        <v>13</v>
      </c>
      <c r="V52" s="665">
        <v>12</v>
      </c>
      <c r="W52" s="665">
        <v>8</v>
      </c>
      <c r="X52" s="665">
        <v>11</v>
      </c>
      <c r="Y52" s="665">
        <v>10</v>
      </c>
      <c r="Z52" s="665">
        <v>9</v>
      </c>
      <c r="AA52" s="665">
        <v>17</v>
      </c>
      <c r="AB52" s="665">
        <v>12</v>
      </c>
      <c r="AC52" s="665">
        <v>11</v>
      </c>
      <c r="AD52" s="665">
        <v>11</v>
      </c>
      <c r="AE52" s="665">
        <v>10</v>
      </c>
      <c r="AF52" s="665">
        <v>10</v>
      </c>
      <c r="AG52" s="665">
        <v>12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7.1572137428553478E-2</v>
      </c>
      <c r="F53" s="680">
        <f t="shared" si="25"/>
        <v>7.5966666666666676</v>
      </c>
      <c r="G53" s="680">
        <f t="shared" si="26"/>
        <v>14.833333333333334</v>
      </c>
      <c r="H53" s="679">
        <f t="shared" si="27"/>
        <v>8.1666666666666661</v>
      </c>
      <c r="I53" s="679">
        <f t="shared" si="28"/>
        <v>6.666666666666667</v>
      </c>
      <c r="J53" s="679">
        <f t="shared" si="29"/>
        <v>6.2</v>
      </c>
      <c r="K53" s="673">
        <v>20</v>
      </c>
      <c r="L53" s="673">
        <v>12</v>
      </c>
      <c r="M53" s="673">
        <v>20</v>
      </c>
      <c r="N53" s="673">
        <v>18</v>
      </c>
      <c r="O53" s="673">
        <v>13</v>
      </c>
      <c r="P53" s="673">
        <v>6</v>
      </c>
      <c r="Q53" s="673">
        <v>8</v>
      </c>
      <c r="R53" s="673">
        <v>10</v>
      </c>
      <c r="S53" s="673">
        <v>5</v>
      </c>
      <c r="T53" s="673">
        <v>7</v>
      </c>
      <c r="U53" s="673">
        <v>8</v>
      </c>
      <c r="V53" s="665">
        <v>11</v>
      </c>
      <c r="W53" s="665">
        <v>5</v>
      </c>
      <c r="X53" s="665">
        <v>5</v>
      </c>
      <c r="Y53" s="665">
        <v>5</v>
      </c>
      <c r="Z53" s="665">
        <v>7</v>
      </c>
      <c r="AA53" s="665">
        <v>10</v>
      </c>
      <c r="AB53" s="665">
        <v>8</v>
      </c>
      <c r="AC53" s="665">
        <v>5</v>
      </c>
      <c r="AD53" s="665">
        <v>9</v>
      </c>
      <c r="AE53" s="665">
        <v>6</v>
      </c>
      <c r="AF53" s="665">
        <v>5</v>
      </c>
      <c r="AG53" s="665">
        <v>6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0.10548960492431379</v>
      </c>
      <c r="F54" s="680">
        <f t="shared" si="25"/>
        <v>11.196666666666667</v>
      </c>
      <c r="G54" s="680">
        <f t="shared" si="26"/>
        <v>17.333333333333332</v>
      </c>
      <c r="H54" s="679">
        <f t="shared" si="27"/>
        <v>15.666666666666666</v>
      </c>
      <c r="I54" s="679">
        <f t="shared" si="28"/>
        <v>10.166666666666666</v>
      </c>
      <c r="J54" s="679">
        <f t="shared" si="29"/>
        <v>8.1999999999999993</v>
      </c>
      <c r="K54" s="673">
        <v>24</v>
      </c>
      <c r="L54" s="673">
        <v>14</v>
      </c>
      <c r="M54" s="673">
        <v>20</v>
      </c>
      <c r="N54" s="673">
        <v>18</v>
      </c>
      <c r="O54" s="673">
        <v>12</v>
      </c>
      <c r="P54" s="673">
        <v>16</v>
      </c>
      <c r="Q54" s="673">
        <v>16</v>
      </c>
      <c r="R54" s="673">
        <v>15</v>
      </c>
      <c r="S54" s="673">
        <v>12</v>
      </c>
      <c r="T54" s="673">
        <v>17</v>
      </c>
      <c r="U54" s="673">
        <v>15</v>
      </c>
      <c r="V54" s="665">
        <v>19</v>
      </c>
      <c r="W54" s="665">
        <v>13</v>
      </c>
      <c r="X54" s="665">
        <v>10</v>
      </c>
      <c r="Y54" s="665">
        <v>9</v>
      </c>
      <c r="Z54" s="665">
        <v>11</v>
      </c>
      <c r="AA54" s="665">
        <v>12</v>
      </c>
      <c r="AB54" s="665">
        <v>6</v>
      </c>
      <c r="AC54" s="665">
        <v>7</v>
      </c>
      <c r="AD54" s="665">
        <v>8</v>
      </c>
      <c r="AE54" s="665">
        <v>5</v>
      </c>
      <c r="AF54" s="665">
        <v>9</v>
      </c>
      <c r="AG54" s="665">
        <v>12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0.1410087306073739</v>
      </c>
      <c r="F55" s="680">
        <f t="shared" si="25"/>
        <v>14.966666666666669</v>
      </c>
      <c r="G55" s="680">
        <f t="shared" si="26"/>
        <v>21.833333333333332</v>
      </c>
      <c r="H55" s="679">
        <f t="shared" si="27"/>
        <v>15.666666666666666</v>
      </c>
      <c r="I55" s="679">
        <f t="shared" si="28"/>
        <v>13.5</v>
      </c>
      <c r="J55" s="679">
        <f t="shared" si="29"/>
        <v>14</v>
      </c>
      <c r="K55" s="673">
        <v>32</v>
      </c>
      <c r="L55" s="673">
        <v>19</v>
      </c>
      <c r="M55" s="673">
        <v>22</v>
      </c>
      <c r="N55" s="673">
        <v>22</v>
      </c>
      <c r="O55" s="673">
        <v>20</v>
      </c>
      <c r="P55" s="673">
        <v>16</v>
      </c>
      <c r="Q55" s="673">
        <v>21</v>
      </c>
      <c r="R55" s="673">
        <v>16</v>
      </c>
      <c r="S55" s="673">
        <v>10</v>
      </c>
      <c r="T55" s="673">
        <v>15</v>
      </c>
      <c r="U55" s="673">
        <v>17</v>
      </c>
      <c r="V55" s="665">
        <v>15</v>
      </c>
      <c r="W55" s="665">
        <v>15</v>
      </c>
      <c r="X55" s="665">
        <v>12</v>
      </c>
      <c r="Y55" s="665">
        <v>10</v>
      </c>
      <c r="Z55" s="665">
        <v>11</v>
      </c>
      <c r="AA55" s="665">
        <v>18</v>
      </c>
      <c r="AB55" s="665">
        <v>15</v>
      </c>
      <c r="AC55" s="665">
        <v>13</v>
      </c>
      <c r="AD55" s="665">
        <v>19</v>
      </c>
      <c r="AE55" s="665">
        <v>14</v>
      </c>
      <c r="AF55" s="665">
        <v>11</v>
      </c>
      <c r="AG55" s="665">
        <v>13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0.19358080522580237</v>
      </c>
      <c r="F56" s="680">
        <f t="shared" si="25"/>
        <v>20.546666666666667</v>
      </c>
      <c r="G56" s="680">
        <f t="shared" si="26"/>
        <v>18.666666666666668</v>
      </c>
      <c r="H56" s="679">
        <f t="shared" si="27"/>
        <v>24</v>
      </c>
      <c r="I56" s="679">
        <f t="shared" si="28"/>
        <v>23.333333333333332</v>
      </c>
      <c r="J56" s="679">
        <f t="shared" si="29"/>
        <v>17.2</v>
      </c>
      <c r="K56" s="673">
        <v>27</v>
      </c>
      <c r="L56" s="673">
        <v>14</v>
      </c>
      <c r="M56" s="673">
        <v>25</v>
      </c>
      <c r="N56" s="673">
        <v>14</v>
      </c>
      <c r="O56" s="673">
        <v>17</v>
      </c>
      <c r="P56" s="673">
        <v>15</v>
      </c>
      <c r="Q56" s="673">
        <v>18</v>
      </c>
      <c r="R56" s="673">
        <v>23</v>
      </c>
      <c r="S56" s="673">
        <v>16</v>
      </c>
      <c r="T56" s="673">
        <v>33</v>
      </c>
      <c r="U56" s="673">
        <v>31</v>
      </c>
      <c r="V56" s="665">
        <v>23</v>
      </c>
      <c r="W56" s="665">
        <v>24</v>
      </c>
      <c r="X56" s="665">
        <v>25</v>
      </c>
      <c r="Y56" s="665">
        <v>23</v>
      </c>
      <c r="Z56" s="665">
        <v>20</v>
      </c>
      <c r="AA56" s="665">
        <v>24</v>
      </c>
      <c r="AB56" s="665">
        <v>24</v>
      </c>
      <c r="AC56" s="665">
        <v>16</v>
      </c>
      <c r="AD56" s="665">
        <v>23</v>
      </c>
      <c r="AE56" s="665">
        <v>16</v>
      </c>
      <c r="AF56" s="665">
        <v>15</v>
      </c>
      <c r="AG56" s="665">
        <v>16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0.16902204635387225</v>
      </c>
      <c r="F57" s="680">
        <f t="shared" si="25"/>
        <v>17.940000000000001</v>
      </c>
      <c r="G57" s="680">
        <f t="shared" si="26"/>
        <v>15.333333333333334</v>
      </c>
      <c r="H57" s="679">
        <f t="shared" si="27"/>
        <v>15.333333333333334</v>
      </c>
      <c r="I57" s="679">
        <f t="shared" si="28"/>
        <v>18.333333333333332</v>
      </c>
      <c r="J57" s="679">
        <f t="shared" si="29"/>
        <v>19.600000000000001</v>
      </c>
      <c r="K57" s="673">
        <v>24</v>
      </c>
      <c r="L57" s="673">
        <v>12</v>
      </c>
      <c r="M57" s="673">
        <v>19</v>
      </c>
      <c r="N57" s="673">
        <v>14</v>
      </c>
      <c r="O57" s="673">
        <v>13</v>
      </c>
      <c r="P57" s="673">
        <v>10</v>
      </c>
      <c r="Q57" s="673">
        <v>14</v>
      </c>
      <c r="R57" s="673">
        <v>11</v>
      </c>
      <c r="S57" s="673">
        <v>8</v>
      </c>
      <c r="T57" s="673">
        <v>19</v>
      </c>
      <c r="U57" s="673">
        <v>18</v>
      </c>
      <c r="V57" s="665">
        <v>22</v>
      </c>
      <c r="W57" s="665">
        <v>16</v>
      </c>
      <c r="X57" s="665">
        <v>15</v>
      </c>
      <c r="Y57" s="665">
        <v>20</v>
      </c>
      <c r="Z57" s="665">
        <v>19</v>
      </c>
      <c r="AA57" s="665">
        <v>22</v>
      </c>
      <c r="AB57" s="665">
        <v>18</v>
      </c>
      <c r="AC57" s="665">
        <v>18</v>
      </c>
      <c r="AD57" s="665">
        <v>29</v>
      </c>
      <c r="AE57" s="665">
        <v>15</v>
      </c>
      <c r="AF57" s="665">
        <v>18</v>
      </c>
      <c r="AG57" s="665">
        <v>18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0.12730733588799559</v>
      </c>
      <c r="F58" s="680">
        <f t="shared" si="25"/>
        <v>16.943333333333332</v>
      </c>
      <c r="G58" s="680">
        <f t="shared" si="26"/>
        <v>15.333333333333334</v>
      </c>
      <c r="H58" s="679">
        <f t="shared" si="27"/>
        <v>19</v>
      </c>
      <c r="I58" s="679">
        <f t="shared" si="28"/>
        <v>16.833333333333332</v>
      </c>
      <c r="J58" s="679">
        <f t="shared" si="29"/>
        <v>16.399999999999999</v>
      </c>
      <c r="K58" s="673">
        <v>17</v>
      </c>
      <c r="L58" s="673">
        <v>14</v>
      </c>
      <c r="M58" s="673">
        <v>13</v>
      </c>
      <c r="N58" s="673">
        <v>16</v>
      </c>
      <c r="O58" s="673">
        <v>18</v>
      </c>
      <c r="P58" s="673">
        <v>14</v>
      </c>
      <c r="Q58" s="673">
        <v>16</v>
      </c>
      <c r="R58" s="673">
        <v>17</v>
      </c>
      <c r="S58" s="673">
        <v>14</v>
      </c>
      <c r="T58" s="673">
        <v>24</v>
      </c>
      <c r="U58" s="673">
        <v>19</v>
      </c>
      <c r="V58" s="665">
        <v>24</v>
      </c>
      <c r="W58" s="665">
        <v>16</v>
      </c>
      <c r="X58" s="665">
        <v>25</v>
      </c>
      <c r="Y58" s="665">
        <v>14</v>
      </c>
      <c r="Z58" s="665">
        <v>13</v>
      </c>
      <c r="AA58" s="665">
        <v>19</v>
      </c>
      <c r="AB58" s="665">
        <v>14</v>
      </c>
      <c r="AC58" s="665">
        <v>17</v>
      </c>
      <c r="AD58" s="665">
        <v>23</v>
      </c>
      <c r="AE58" s="665">
        <v>16</v>
      </c>
      <c r="AF58" s="665">
        <v>13</v>
      </c>
      <c r="AG58" s="665">
        <v>13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0.11981866907105468</v>
      </c>
      <c r="F59" s="680">
        <f t="shared" si="25"/>
        <v>15.946666666666667</v>
      </c>
      <c r="G59" s="680">
        <f t="shared" si="26"/>
        <v>16</v>
      </c>
      <c r="H59" s="679">
        <f t="shared" si="27"/>
        <v>17.333333333333332</v>
      </c>
      <c r="I59" s="679">
        <f t="shared" si="28"/>
        <v>16</v>
      </c>
      <c r="J59" s="679">
        <f t="shared" si="29"/>
        <v>15.2</v>
      </c>
      <c r="K59" s="673">
        <v>17</v>
      </c>
      <c r="L59" s="673">
        <v>14</v>
      </c>
      <c r="M59" s="673">
        <v>15</v>
      </c>
      <c r="N59" s="673">
        <v>10</v>
      </c>
      <c r="O59" s="673">
        <v>22</v>
      </c>
      <c r="P59" s="673">
        <v>18</v>
      </c>
      <c r="Q59" s="673">
        <v>17</v>
      </c>
      <c r="R59" s="673">
        <v>17</v>
      </c>
      <c r="S59" s="673">
        <v>14</v>
      </c>
      <c r="T59" s="673">
        <v>17</v>
      </c>
      <c r="U59" s="673">
        <v>18</v>
      </c>
      <c r="V59" s="665">
        <v>21</v>
      </c>
      <c r="W59" s="665">
        <v>16</v>
      </c>
      <c r="X59" s="665">
        <v>17</v>
      </c>
      <c r="Y59" s="665">
        <v>15</v>
      </c>
      <c r="Z59" s="665">
        <v>13</v>
      </c>
      <c r="AA59" s="665">
        <v>20</v>
      </c>
      <c r="AB59" s="665">
        <v>15</v>
      </c>
      <c r="AC59" s="665">
        <v>11</v>
      </c>
      <c r="AD59" s="665">
        <v>17</v>
      </c>
      <c r="AE59" s="665">
        <v>15</v>
      </c>
      <c r="AF59" s="665">
        <v>15</v>
      </c>
      <c r="AG59" s="665">
        <v>18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8.8661807799233605E-2</v>
      </c>
      <c r="F60" s="680">
        <f t="shared" si="25"/>
        <v>11.8</v>
      </c>
      <c r="G60" s="680">
        <f t="shared" si="26"/>
        <v>10.666666666666666</v>
      </c>
      <c r="H60" s="679">
        <f t="shared" si="27"/>
        <v>12.166666666666666</v>
      </c>
      <c r="I60" s="679">
        <f t="shared" si="28"/>
        <v>11.666666666666666</v>
      </c>
      <c r="J60" s="679">
        <f t="shared" si="29"/>
        <v>12</v>
      </c>
      <c r="K60" s="673">
        <v>9</v>
      </c>
      <c r="L60" s="673">
        <v>6</v>
      </c>
      <c r="M60" s="673">
        <v>13</v>
      </c>
      <c r="N60" s="673">
        <v>12</v>
      </c>
      <c r="O60" s="673">
        <v>13</v>
      </c>
      <c r="P60" s="673">
        <v>11</v>
      </c>
      <c r="Q60" s="673">
        <v>10</v>
      </c>
      <c r="R60" s="673">
        <v>14</v>
      </c>
      <c r="S60" s="673">
        <v>12</v>
      </c>
      <c r="T60" s="673">
        <v>12</v>
      </c>
      <c r="U60" s="673">
        <v>11</v>
      </c>
      <c r="V60" s="665">
        <v>14</v>
      </c>
      <c r="W60" s="665">
        <v>13</v>
      </c>
      <c r="X60" s="665">
        <v>12</v>
      </c>
      <c r="Y60" s="665">
        <v>11</v>
      </c>
      <c r="Z60" s="665">
        <v>9</v>
      </c>
      <c r="AA60" s="665">
        <v>12</v>
      </c>
      <c r="AB60" s="665">
        <v>13</v>
      </c>
      <c r="AC60" s="665">
        <v>11</v>
      </c>
      <c r="AD60" s="665">
        <v>16</v>
      </c>
      <c r="AE60" s="665">
        <v>10</v>
      </c>
      <c r="AF60" s="665">
        <v>10</v>
      </c>
      <c r="AG60" s="665">
        <v>13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0.15115085030180078</v>
      </c>
      <c r="F61" s="680">
        <f t="shared" si="25"/>
        <v>20.116666666666667</v>
      </c>
      <c r="G61" s="680">
        <f t="shared" si="26"/>
        <v>18.833333333333332</v>
      </c>
      <c r="H61" s="679">
        <f t="shared" si="27"/>
        <v>22.666666666666668</v>
      </c>
      <c r="I61" s="679">
        <f t="shared" si="28"/>
        <v>21.666666666666668</v>
      </c>
      <c r="J61" s="679">
        <f t="shared" si="29"/>
        <v>18</v>
      </c>
      <c r="K61" s="673">
        <v>20</v>
      </c>
      <c r="L61" s="673">
        <v>15</v>
      </c>
      <c r="M61" s="673">
        <v>22</v>
      </c>
      <c r="N61" s="673">
        <v>18</v>
      </c>
      <c r="O61" s="673">
        <v>21</v>
      </c>
      <c r="P61" s="673">
        <v>17</v>
      </c>
      <c r="Q61" s="673">
        <v>22</v>
      </c>
      <c r="R61" s="673">
        <v>25</v>
      </c>
      <c r="S61" s="673">
        <v>19</v>
      </c>
      <c r="T61" s="673">
        <v>28</v>
      </c>
      <c r="U61" s="673">
        <v>23</v>
      </c>
      <c r="V61" s="665">
        <v>19</v>
      </c>
      <c r="W61" s="665">
        <v>25</v>
      </c>
      <c r="X61" s="665">
        <v>23</v>
      </c>
      <c r="Y61" s="665">
        <v>22</v>
      </c>
      <c r="Z61" s="665">
        <v>23</v>
      </c>
      <c r="AA61" s="665">
        <v>19</v>
      </c>
      <c r="AB61" s="665">
        <v>18</v>
      </c>
      <c r="AC61" s="665">
        <v>18</v>
      </c>
      <c r="AD61" s="665">
        <v>24</v>
      </c>
      <c r="AE61" s="665">
        <v>17</v>
      </c>
      <c r="AF61" s="665">
        <v>12</v>
      </c>
      <c r="AG61" s="665">
        <v>19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0.15370551256042281</v>
      </c>
      <c r="F62" s="680">
        <f t="shared" si="25"/>
        <v>20.456666666666671</v>
      </c>
      <c r="G62" s="680">
        <f t="shared" si="26"/>
        <v>25.166666666666668</v>
      </c>
      <c r="H62" s="679">
        <f t="shared" si="27"/>
        <v>25</v>
      </c>
      <c r="I62" s="679">
        <f t="shared" si="28"/>
        <v>19.666666666666668</v>
      </c>
      <c r="J62" s="679">
        <f t="shared" si="29"/>
        <v>17.600000000000001</v>
      </c>
      <c r="K62" s="673">
        <v>26</v>
      </c>
      <c r="L62" s="673">
        <v>24</v>
      </c>
      <c r="M62" s="673">
        <v>24</v>
      </c>
      <c r="N62" s="673">
        <v>24</v>
      </c>
      <c r="O62" s="673">
        <v>28</v>
      </c>
      <c r="P62" s="673">
        <v>25</v>
      </c>
      <c r="Q62" s="673">
        <v>24</v>
      </c>
      <c r="R62" s="673">
        <v>24</v>
      </c>
      <c r="S62" s="673">
        <v>18</v>
      </c>
      <c r="T62" s="673">
        <v>29</v>
      </c>
      <c r="U62" s="673">
        <v>23</v>
      </c>
      <c r="V62" s="665">
        <v>32</v>
      </c>
      <c r="W62" s="665">
        <v>28</v>
      </c>
      <c r="X62" s="665">
        <v>19</v>
      </c>
      <c r="Y62" s="665">
        <v>19</v>
      </c>
      <c r="Z62" s="665">
        <v>17</v>
      </c>
      <c r="AA62" s="665">
        <v>19</v>
      </c>
      <c r="AB62" s="665">
        <v>16</v>
      </c>
      <c r="AC62" s="665">
        <v>15</v>
      </c>
      <c r="AD62" s="665">
        <v>26</v>
      </c>
      <c r="AE62" s="665">
        <v>16</v>
      </c>
      <c r="AF62" s="665">
        <v>13</v>
      </c>
      <c r="AG62" s="665">
        <v>18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9.9857239462018174E-2</v>
      </c>
      <c r="F63" s="680">
        <f t="shared" si="25"/>
        <v>13.29</v>
      </c>
      <c r="G63" s="680">
        <f t="shared" si="26"/>
        <v>18.833333333333332</v>
      </c>
      <c r="H63" s="679">
        <f t="shared" si="27"/>
        <v>14.833333333333334</v>
      </c>
      <c r="I63" s="679">
        <f t="shared" si="28"/>
        <v>12.666666666666666</v>
      </c>
      <c r="J63" s="679">
        <f t="shared" si="29"/>
        <v>11.6</v>
      </c>
      <c r="K63" s="673">
        <v>23</v>
      </c>
      <c r="L63" s="673">
        <v>17</v>
      </c>
      <c r="M63" s="673">
        <v>15</v>
      </c>
      <c r="N63" s="673">
        <v>22</v>
      </c>
      <c r="O63" s="673">
        <v>23</v>
      </c>
      <c r="P63" s="673">
        <v>13</v>
      </c>
      <c r="Q63" s="673">
        <v>15</v>
      </c>
      <c r="R63" s="673">
        <v>17</v>
      </c>
      <c r="S63" s="673">
        <v>11</v>
      </c>
      <c r="T63" s="673">
        <v>15</v>
      </c>
      <c r="U63" s="673">
        <v>16</v>
      </c>
      <c r="V63" s="665">
        <v>15</v>
      </c>
      <c r="W63" s="665">
        <v>16</v>
      </c>
      <c r="X63" s="665">
        <v>18</v>
      </c>
      <c r="Y63" s="665">
        <v>13</v>
      </c>
      <c r="Z63" s="665">
        <v>7</v>
      </c>
      <c r="AA63" s="665">
        <v>10</v>
      </c>
      <c r="AB63" s="665">
        <v>12</v>
      </c>
      <c r="AC63" s="665">
        <v>9</v>
      </c>
      <c r="AD63" s="665">
        <v>12</v>
      </c>
      <c r="AE63" s="665">
        <v>13</v>
      </c>
      <c r="AF63" s="665">
        <v>12</v>
      </c>
      <c r="AG63" s="665">
        <v>12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8.2149923610589329E-2</v>
      </c>
      <c r="F64" s="680">
        <f t="shared" si="25"/>
        <v>10.933333333333334</v>
      </c>
      <c r="G64" s="680">
        <f t="shared" si="26"/>
        <v>9.8333333333333339</v>
      </c>
      <c r="H64" s="679">
        <f t="shared" si="27"/>
        <v>13.5</v>
      </c>
      <c r="I64" s="679">
        <f t="shared" si="28"/>
        <v>10.833333333333334</v>
      </c>
      <c r="J64" s="679">
        <f t="shared" si="29"/>
        <v>10</v>
      </c>
      <c r="K64" s="673">
        <v>11</v>
      </c>
      <c r="L64" s="673">
        <v>10</v>
      </c>
      <c r="M64" s="673">
        <v>8</v>
      </c>
      <c r="N64" s="673">
        <v>11</v>
      </c>
      <c r="O64" s="673">
        <v>11</v>
      </c>
      <c r="P64" s="673">
        <v>8</v>
      </c>
      <c r="Q64" s="673">
        <v>8</v>
      </c>
      <c r="R64" s="673">
        <v>14</v>
      </c>
      <c r="S64" s="673">
        <v>12</v>
      </c>
      <c r="T64" s="673">
        <v>17</v>
      </c>
      <c r="U64" s="673">
        <v>14</v>
      </c>
      <c r="V64" s="665">
        <v>16</v>
      </c>
      <c r="W64" s="665">
        <v>8</v>
      </c>
      <c r="X64" s="665">
        <v>10</v>
      </c>
      <c r="Y64" s="665">
        <v>10</v>
      </c>
      <c r="Z64" s="665">
        <v>11</v>
      </c>
      <c r="AA64" s="665">
        <v>13</v>
      </c>
      <c r="AB64" s="665">
        <v>13</v>
      </c>
      <c r="AC64" s="665">
        <v>11</v>
      </c>
      <c r="AD64" s="665">
        <v>13</v>
      </c>
      <c r="AE64" s="665">
        <v>10</v>
      </c>
      <c r="AF64" s="665">
        <v>5</v>
      </c>
      <c r="AG64" s="665">
        <v>11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9.1692338517794986E-2</v>
      </c>
      <c r="F65" s="680">
        <f t="shared" si="25"/>
        <v>12.203333333333335</v>
      </c>
      <c r="G65" s="680">
        <f t="shared" si="26"/>
        <v>15.166666666666666</v>
      </c>
      <c r="H65" s="679">
        <f t="shared" si="27"/>
        <v>15.333333333333334</v>
      </c>
      <c r="I65" s="679">
        <f t="shared" si="28"/>
        <v>12.333333333333334</v>
      </c>
      <c r="J65" s="679">
        <f t="shared" si="29"/>
        <v>9.8000000000000007</v>
      </c>
      <c r="K65" s="673">
        <v>20</v>
      </c>
      <c r="L65" s="673">
        <v>15</v>
      </c>
      <c r="M65" s="673">
        <v>13</v>
      </c>
      <c r="N65" s="673">
        <v>19</v>
      </c>
      <c r="O65" s="673">
        <v>15</v>
      </c>
      <c r="P65" s="673">
        <v>9</v>
      </c>
      <c r="Q65" s="673">
        <v>19</v>
      </c>
      <c r="R65" s="673">
        <v>18</v>
      </c>
      <c r="S65" s="673">
        <v>8</v>
      </c>
      <c r="T65" s="673">
        <v>15</v>
      </c>
      <c r="U65" s="673">
        <v>17</v>
      </c>
      <c r="V65" s="665">
        <v>15</v>
      </c>
      <c r="W65" s="665">
        <v>14</v>
      </c>
      <c r="X65" s="665">
        <v>10</v>
      </c>
      <c r="Y65" s="665">
        <v>14</v>
      </c>
      <c r="Z65" s="665">
        <v>9</v>
      </c>
      <c r="AA65" s="665">
        <v>14</v>
      </c>
      <c r="AB65" s="665">
        <v>13</v>
      </c>
      <c r="AC65" s="665">
        <v>12</v>
      </c>
      <c r="AD65" s="665">
        <v>18</v>
      </c>
      <c r="AE65" s="665">
        <v>5</v>
      </c>
      <c r="AF65" s="665">
        <v>7</v>
      </c>
      <c r="AG65" s="665">
        <v>7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8.5656322789090092E-2</v>
      </c>
      <c r="F66" s="680">
        <f t="shared" si="25"/>
        <v>11.4</v>
      </c>
      <c r="G66" s="680">
        <f t="shared" si="26"/>
        <v>17.333333333333332</v>
      </c>
      <c r="H66" s="679">
        <f t="shared" si="27"/>
        <v>13.333333333333334</v>
      </c>
      <c r="I66" s="679">
        <f t="shared" si="28"/>
        <v>10</v>
      </c>
      <c r="J66" s="679">
        <f t="shared" si="29"/>
        <v>10</v>
      </c>
      <c r="K66" s="673">
        <v>25</v>
      </c>
      <c r="L66" s="673">
        <v>16</v>
      </c>
      <c r="M66" s="673">
        <v>19</v>
      </c>
      <c r="N66" s="673">
        <v>19</v>
      </c>
      <c r="O66" s="673">
        <v>14</v>
      </c>
      <c r="P66" s="673">
        <v>11</v>
      </c>
      <c r="Q66" s="673">
        <v>17</v>
      </c>
      <c r="R66" s="673">
        <v>15</v>
      </c>
      <c r="S66" s="673">
        <v>7</v>
      </c>
      <c r="T66" s="673">
        <v>15</v>
      </c>
      <c r="U66" s="673">
        <v>14</v>
      </c>
      <c r="V66" s="665">
        <v>12</v>
      </c>
      <c r="W66" s="665">
        <v>13</v>
      </c>
      <c r="X66" s="665">
        <v>12</v>
      </c>
      <c r="Y66" s="665">
        <v>12</v>
      </c>
      <c r="Z66" s="665">
        <v>7</v>
      </c>
      <c r="AA66" s="665">
        <v>9</v>
      </c>
      <c r="AB66" s="665">
        <v>7</v>
      </c>
      <c r="AC66" s="665">
        <v>9</v>
      </c>
      <c r="AD66" s="665">
        <v>15</v>
      </c>
      <c r="AE66" s="665">
        <v>7</v>
      </c>
      <c r="AF66" s="665">
        <v>9</v>
      </c>
      <c r="AG66" s="665">
        <v>10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0.18959072776957628</v>
      </c>
      <c r="F67" s="680">
        <f t="shared" si="25"/>
        <v>20.12</v>
      </c>
      <c r="G67" s="680">
        <f t="shared" si="26"/>
        <v>23.166666666666668</v>
      </c>
      <c r="H67" s="679">
        <f t="shared" si="27"/>
        <v>22.666666666666668</v>
      </c>
      <c r="I67" s="679">
        <f t="shared" si="28"/>
        <v>20.5</v>
      </c>
      <c r="J67" s="679">
        <f t="shared" si="29"/>
        <v>17.8</v>
      </c>
      <c r="K67" s="673">
        <v>29</v>
      </c>
      <c r="L67" s="673">
        <v>24</v>
      </c>
      <c r="M67" s="673">
        <v>28</v>
      </c>
      <c r="N67" s="673">
        <v>22</v>
      </c>
      <c r="O67" s="673">
        <v>21</v>
      </c>
      <c r="P67" s="673">
        <v>15</v>
      </c>
      <c r="Q67" s="673">
        <v>28</v>
      </c>
      <c r="R67" s="673">
        <v>27</v>
      </c>
      <c r="S67" s="673">
        <v>16</v>
      </c>
      <c r="T67" s="673">
        <v>21</v>
      </c>
      <c r="U67" s="673">
        <v>22</v>
      </c>
      <c r="V67" s="665">
        <v>22</v>
      </c>
      <c r="W67" s="665">
        <v>23</v>
      </c>
      <c r="X67" s="665">
        <v>22</v>
      </c>
      <c r="Y67" s="665">
        <v>20</v>
      </c>
      <c r="Z67" s="665">
        <v>16</v>
      </c>
      <c r="AA67" s="665">
        <v>23</v>
      </c>
      <c r="AB67" s="665">
        <v>19</v>
      </c>
      <c r="AC67" s="665">
        <v>12</v>
      </c>
      <c r="AD67" s="665">
        <v>24</v>
      </c>
      <c r="AE67" s="665">
        <v>19</v>
      </c>
      <c r="AF67" s="665">
        <v>18</v>
      </c>
      <c r="AG67" s="665">
        <v>16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0.17517354022049819</v>
      </c>
      <c r="F68" s="680">
        <f t="shared" si="25"/>
        <v>18.590000000000003</v>
      </c>
      <c r="G68" s="680">
        <f t="shared" si="26"/>
        <v>27</v>
      </c>
      <c r="H68" s="679">
        <f t="shared" si="27"/>
        <v>21</v>
      </c>
      <c r="I68" s="679">
        <f t="shared" si="28"/>
        <v>18.166666666666668</v>
      </c>
      <c r="J68" s="679">
        <f t="shared" si="29"/>
        <v>15.6</v>
      </c>
      <c r="K68" s="673">
        <v>41</v>
      </c>
      <c r="L68" s="673">
        <v>26</v>
      </c>
      <c r="M68" s="673">
        <v>31</v>
      </c>
      <c r="N68" s="673">
        <v>27</v>
      </c>
      <c r="O68" s="673">
        <v>19</v>
      </c>
      <c r="P68" s="673">
        <v>18</v>
      </c>
      <c r="Q68" s="673">
        <v>20</v>
      </c>
      <c r="R68" s="673">
        <v>22</v>
      </c>
      <c r="S68" s="673">
        <v>19</v>
      </c>
      <c r="T68" s="673">
        <v>21</v>
      </c>
      <c r="U68" s="673">
        <v>18</v>
      </c>
      <c r="V68" s="665">
        <v>26</v>
      </c>
      <c r="W68" s="665">
        <v>20</v>
      </c>
      <c r="X68" s="665">
        <v>19</v>
      </c>
      <c r="Y68" s="665">
        <v>17</v>
      </c>
      <c r="Z68" s="665">
        <v>19</v>
      </c>
      <c r="AA68" s="665">
        <v>18</v>
      </c>
      <c r="AB68" s="665">
        <v>16</v>
      </c>
      <c r="AC68" s="665">
        <v>13</v>
      </c>
      <c r="AD68" s="665">
        <v>23</v>
      </c>
      <c r="AE68" s="665">
        <v>11</v>
      </c>
      <c r="AF68" s="665">
        <v>13</v>
      </c>
      <c r="AG68" s="665">
        <v>18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0.13006878788830606</v>
      </c>
      <c r="F69" s="680">
        <f t="shared" si="25"/>
        <v>13.803333333333333</v>
      </c>
      <c r="G69" s="680">
        <f t="shared" si="26"/>
        <v>16.833333333333332</v>
      </c>
      <c r="H69" s="679">
        <f t="shared" si="27"/>
        <v>17.5</v>
      </c>
      <c r="I69" s="679">
        <f t="shared" si="28"/>
        <v>15.666666666666666</v>
      </c>
      <c r="J69" s="679">
        <f t="shared" si="29"/>
        <v>9.8000000000000007</v>
      </c>
      <c r="K69" s="673">
        <v>22</v>
      </c>
      <c r="L69" s="673">
        <v>20</v>
      </c>
      <c r="M69" s="673">
        <v>20</v>
      </c>
      <c r="N69" s="673">
        <v>11</v>
      </c>
      <c r="O69" s="673">
        <v>14</v>
      </c>
      <c r="P69" s="673">
        <v>14</v>
      </c>
      <c r="Q69" s="673">
        <v>17</v>
      </c>
      <c r="R69" s="673">
        <v>18</v>
      </c>
      <c r="S69" s="673">
        <v>15</v>
      </c>
      <c r="T69" s="673">
        <v>18</v>
      </c>
      <c r="U69" s="673">
        <v>20</v>
      </c>
      <c r="V69" s="665">
        <v>17</v>
      </c>
      <c r="W69" s="665">
        <v>17</v>
      </c>
      <c r="X69" s="665">
        <v>15</v>
      </c>
      <c r="Y69" s="665">
        <v>18</v>
      </c>
      <c r="Z69" s="665">
        <v>15</v>
      </c>
      <c r="AA69" s="665">
        <v>15</v>
      </c>
      <c r="AB69" s="665">
        <v>14</v>
      </c>
      <c r="AC69" s="665">
        <v>8</v>
      </c>
      <c r="AD69" s="665">
        <v>9</v>
      </c>
      <c r="AE69" s="665">
        <v>9</v>
      </c>
      <c r="AF69" s="665">
        <v>10</v>
      </c>
      <c r="AG69" s="665">
        <v>13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0.147909664855357</v>
      </c>
      <c r="F70" s="680">
        <f t="shared" si="25"/>
        <v>15.696666666666669</v>
      </c>
      <c r="G70" s="680">
        <f t="shared" si="26"/>
        <v>24.166666666666668</v>
      </c>
      <c r="H70" s="679">
        <f t="shared" si="27"/>
        <v>17.5</v>
      </c>
      <c r="I70" s="679">
        <f t="shared" si="28"/>
        <v>15</v>
      </c>
      <c r="J70" s="679">
        <f t="shared" si="29"/>
        <v>13.2</v>
      </c>
      <c r="K70" s="673">
        <v>30</v>
      </c>
      <c r="L70" s="673">
        <v>23</v>
      </c>
      <c r="M70" s="673">
        <v>30</v>
      </c>
      <c r="N70" s="673">
        <v>24</v>
      </c>
      <c r="O70" s="673">
        <v>21</v>
      </c>
      <c r="P70" s="673">
        <v>17</v>
      </c>
      <c r="Q70" s="673">
        <v>18</v>
      </c>
      <c r="R70" s="673">
        <v>21</v>
      </c>
      <c r="S70" s="673">
        <v>13</v>
      </c>
      <c r="T70" s="673">
        <v>16</v>
      </c>
      <c r="U70" s="673">
        <v>15</v>
      </c>
      <c r="V70" s="665">
        <v>22</v>
      </c>
      <c r="W70" s="665">
        <v>21</v>
      </c>
      <c r="X70" s="665">
        <v>13</v>
      </c>
      <c r="Y70" s="665">
        <v>14</v>
      </c>
      <c r="Z70" s="665">
        <v>14</v>
      </c>
      <c r="AA70" s="665">
        <v>16</v>
      </c>
      <c r="AB70" s="665">
        <v>12</v>
      </c>
      <c r="AC70" s="665">
        <v>12</v>
      </c>
      <c r="AD70" s="665">
        <v>18</v>
      </c>
      <c r="AE70" s="665">
        <v>11</v>
      </c>
      <c r="AF70" s="665">
        <v>14</v>
      </c>
      <c r="AG70" s="665">
        <v>11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0.17875427961177245</v>
      </c>
      <c r="F71" s="680">
        <f t="shared" si="25"/>
        <v>18.97</v>
      </c>
      <c r="G71" s="680">
        <f t="shared" si="26"/>
        <v>22.166666666666668</v>
      </c>
      <c r="H71" s="679">
        <f t="shared" si="27"/>
        <v>22.666666666666668</v>
      </c>
      <c r="I71" s="679">
        <f t="shared" si="28"/>
        <v>22.333333333333332</v>
      </c>
      <c r="J71" s="679">
        <f t="shared" si="29"/>
        <v>13.8</v>
      </c>
      <c r="K71" s="673">
        <v>24</v>
      </c>
      <c r="L71" s="673">
        <v>20</v>
      </c>
      <c r="M71" s="673">
        <v>24</v>
      </c>
      <c r="N71" s="673">
        <v>23</v>
      </c>
      <c r="O71" s="673">
        <v>25</v>
      </c>
      <c r="P71" s="673">
        <v>17</v>
      </c>
      <c r="Q71" s="673">
        <v>21</v>
      </c>
      <c r="R71" s="673">
        <v>27</v>
      </c>
      <c r="S71" s="673">
        <v>23</v>
      </c>
      <c r="T71" s="673">
        <v>22</v>
      </c>
      <c r="U71" s="673">
        <v>22</v>
      </c>
      <c r="V71" s="665">
        <v>21</v>
      </c>
      <c r="W71" s="665">
        <v>20</v>
      </c>
      <c r="X71" s="665">
        <v>20</v>
      </c>
      <c r="Y71" s="665">
        <v>22</v>
      </c>
      <c r="Z71" s="665">
        <v>24</v>
      </c>
      <c r="AA71" s="665">
        <v>26</v>
      </c>
      <c r="AB71" s="665">
        <v>22</v>
      </c>
      <c r="AC71" s="665">
        <v>10</v>
      </c>
      <c r="AD71" s="665">
        <v>22</v>
      </c>
      <c r="AE71" s="665">
        <v>11</v>
      </c>
      <c r="AF71" s="665">
        <v>11</v>
      </c>
      <c r="AG71" s="665">
        <v>15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0.17850299965449007</v>
      </c>
      <c r="F72" s="680">
        <f t="shared" si="25"/>
        <v>18.943333333333335</v>
      </c>
      <c r="G72" s="680">
        <f t="shared" si="26"/>
        <v>20.5</v>
      </c>
      <c r="H72" s="679">
        <f t="shared" si="27"/>
        <v>21.666666666666668</v>
      </c>
      <c r="I72" s="679">
        <f t="shared" si="28"/>
        <v>20</v>
      </c>
      <c r="J72" s="679">
        <f t="shared" si="29"/>
        <v>16.399999999999999</v>
      </c>
      <c r="K72" s="673">
        <v>27</v>
      </c>
      <c r="L72" s="673">
        <v>18</v>
      </c>
      <c r="M72" s="673">
        <v>24</v>
      </c>
      <c r="N72" s="673">
        <v>19</v>
      </c>
      <c r="O72" s="673">
        <v>20</v>
      </c>
      <c r="P72" s="673">
        <v>15</v>
      </c>
      <c r="Q72" s="673">
        <v>19</v>
      </c>
      <c r="R72" s="673">
        <v>25</v>
      </c>
      <c r="S72" s="673">
        <v>18</v>
      </c>
      <c r="T72" s="673">
        <v>22</v>
      </c>
      <c r="U72" s="673">
        <v>22</v>
      </c>
      <c r="V72" s="665">
        <v>24</v>
      </c>
      <c r="W72" s="665">
        <v>21</v>
      </c>
      <c r="X72" s="665">
        <v>20</v>
      </c>
      <c r="Y72" s="665">
        <v>21</v>
      </c>
      <c r="Z72" s="665">
        <v>21</v>
      </c>
      <c r="AA72" s="665">
        <v>20</v>
      </c>
      <c r="AB72" s="665">
        <v>17</v>
      </c>
      <c r="AC72" s="665">
        <v>14</v>
      </c>
      <c r="AD72" s="665">
        <v>24</v>
      </c>
      <c r="AE72" s="665">
        <v>12</v>
      </c>
      <c r="AF72" s="665">
        <v>15</v>
      </c>
      <c r="AG72" s="665">
        <v>17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6.3768440500517887E-2</v>
      </c>
      <c r="F73" s="680">
        <f t="shared" si="25"/>
        <v>7.5933333333333337</v>
      </c>
      <c r="G73" s="680">
        <f t="shared" si="26"/>
        <v>8.6666666666666661</v>
      </c>
      <c r="H73" s="679">
        <f t="shared" si="27"/>
        <v>8.8333333333333339</v>
      </c>
      <c r="I73" s="679">
        <f t="shared" si="28"/>
        <v>8</v>
      </c>
      <c r="J73" s="679">
        <f t="shared" si="29"/>
        <v>6.4</v>
      </c>
      <c r="K73" s="673">
        <v>9</v>
      </c>
      <c r="L73" s="673">
        <v>5</v>
      </c>
      <c r="M73" s="673">
        <v>10</v>
      </c>
      <c r="N73" s="673">
        <v>7</v>
      </c>
      <c r="O73" s="673">
        <v>10</v>
      </c>
      <c r="P73" s="673">
        <v>11</v>
      </c>
      <c r="Q73" s="673">
        <v>12</v>
      </c>
      <c r="R73" s="673">
        <v>9</v>
      </c>
      <c r="S73" s="673">
        <v>9</v>
      </c>
      <c r="T73" s="673">
        <v>10</v>
      </c>
      <c r="U73" s="673">
        <v>7</v>
      </c>
      <c r="V73" s="665">
        <v>6</v>
      </c>
      <c r="W73" s="665">
        <v>8</v>
      </c>
      <c r="X73" s="665">
        <v>8</v>
      </c>
      <c r="Y73" s="665">
        <v>9</v>
      </c>
      <c r="Z73" s="665">
        <v>8</v>
      </c>
      <c r="AA73" s="665">
        <v>11</v>
      </c>
      <c r="AB73" s="665">
        <v>4</v>
      </c>
      <c r="AC73" s="665">
        <v>7</v>
      </c>
      <c r="AD73" s="665">
        <v>6</v>
      </c>
      <c r="AE73" s="665">
        <v>7</v>
      </c>
      <c r="AF73" s="665">
        <v>6</v>
      </c>
      <c r="AG73" s="665">
        <v>6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0.17042241693026902</v>
      </c>
      <c r="F74" s="680">
        <f t="shared" si="25"/>
        <v>20.293333333333333</v>
      </c>
      <c r="G74" s="680">
        <f t="shared" si="26"/>
        <v>23.833333333333332</v>
      </c>
      <c r="H74" s="679">
        <f t="shared" si="27"/>
        <v>22</v>
      </c>
      <c r="I74" s="679">
        <f t="shared" si="28"/>
        <v>20.5</v>
      </c>
      <c r="J74" s="679">
        <f t="shared" si="29"/>
        <v>18.399999999999999</v>
      </c>
      <c r="K74" s="673">
        <v>24</v>
      </c>
      <c r="L74" s="673">
        <v>25</v>
      </c>
      <c r="M74" s="673">
        <v>31</v>
      </c>
      <c r="N74" s="673">
        <v>22</v>
      </c>
      <c r="O74" s="673">
        <v>24</v>
      </c>
      <c r="P74" s="673">
        <v>17</v>
      </c>
      <c r="Q74" s="673">
        <v>23</v>
      </c>
      <c r="R74" s="673">
        <v>21</v>
      </c>
      <c r="S74" s="673">
        <v>18</v>
      </c>
      <c r="T74" s="673">
        <v>25</v>
      </c>
      <c r="U74" s="673">
        <v>23</v>
      </c>
      <c r="V74" s="665">
        <v>22</v>
      </c>
      <c r="W74" s="665">
        <v>20</v>
      </c>
      <c r="X74" s="665">
        <v>21</v>
      </c>
      <c r="Y74" s="665">
        <v>23</v>
      </c>
      <c r="Z74" s="665">
        <v>15</v>
      </c>
      <c r="AA74" s="665">
        <v>29</v>
      </c>
      <c r="AB74" s="665">
        <v>15</v>
      </c>
      <c r="AC74" s="665">
        <v>13</v>
      </c>
      <c r="AD74" s="665">
        <v>24</v>
      </c>
      <c r="AE74" s="665">
        <v>14</v>
      </c>
      <c r="AF74" s="665">
        <v>18</v>
      </c>
      <c r="AG74" s="665">
        <v>23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0.1284886487697002</v>
      </c>
      <c r="F75" s="680">
        <f t="shared" si="25"/>
        <v>15.3</v>
      </c>
      <c r="G75" s="680">
        <f t="shared" si="26"/>
        <v>20.5</v>
      </c>
      <c r="H75" s="679">
        <f t="shared" si="27"/>
        <v>16</v>
      </c>
      <c r="I75" s="679">
        <f t="shared" si="28"/>
        <v>13.5</v>
      </c>
      <c r="J75" s="679">
        <f t="shared" si="29"/>
        <v>15</v>
      </c>
      <c r="K75" s="673">
        <v>19</v>
      </c>
      <c r="L75" s="673">
        <v>23</v>
      </c>
      <c r="M75" s="673">
        <v>23</v>
      </c>
      <c r="N75" s="673">
        <v>21</v>
      </c>
      <c r="O75" s="673">
        <v>21</v>
      </c>
      <c r="P75" s="673">
        <v>16</v>
      </c>
      <c r="Q75" s="673">
        <v>17</v>
      </c>
      <c r="R75" s="673">
        <v>21</v>
      </c>
      <c r="S75" s="673">
        <v>17</v>
      </c>
      <c r="T75" s="673">
        <v>15</v>
      </c>
      <c r="U75" s="673">
        <v>12</v>
      </c>
      <c r="V75" s="665">
        <v>14</v>
      </c>
      <c r="W75" s="665">
        <v>13</v>
      </c>
      <c r="X75" s="665">
        <v>14</v>
      </c>
      <c r="Y75" s="665">
        <v>13</v>
      </c>
      <c r="Z75" s="665">
        <v>12</v>
      </c>
      <c r="AA75" s="665">
        <v>14</v>
      </c>
      <c r="AB75" s="665">
        <v>15</v>
      </c>
      <c r="AC75" s="665">
        <v>11</v>
      </c>
      <c r="AD75" s="665">
        <v>21</v>
      </c>
      <c r="AE75" s="665">
        <v>8</v>
      </c>
      <c r="AF75" s="665">
        <v>13</v>
      </c>
      <c r="AG75" s="665">
        <v>22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0.13716653136634666</v>
      </c>
      <c r="F76" s="680">
        <f t="shared" si="25"/>
        <v>16.333333333333336</v>
      </c>
      <c r="G76" s="680">
        <f t="shared" si="26"/>
        <v>16</v>
      </c>
      <c r="H76" s="679">
        <f t="shared" si="27"/>
        <v>16.166666666666668</v>
      </c>
      <c r="I76" s="679">
        <f t="shared" si="28"/>
        <v>17</v>
      </c>
      <c r="J76" s="679">
        <f t="shared" si="29"/>
        <v>16</v>
      </c>
      <c r="K76" s="673">
        <v>18</v>
      </c>
      <c r="L76" s="673">
        <v>16</v>
      </c>
      <c r="M76" s="673">
        <v>14</v>
      </c>
      <c r="N76" s="673">
        <v>17</v>
      </c>
      <c r="O76" s="673">
        <v>15</v>
      </c>
      <c r="P76" s="673">
        <v>16</v>
      </c>
      <c r="Q76" s="673">
        <v>19</v>
      </c>
      <c r="R76" s="673">
        <v>21</v>
      </c>
      <c r="S76" s="673">
        <v>12</v>
      </c>
      <c r="T76" s="673">
        <v>15</v>
      </c>
      <c r="U76" s="673">
        <v>15</v>
      </c>
      <c r="V76" s="665">
        <v>15</v>
      </c>
      <c r="W76" s="665">
        <v>16</v>
      </c>
      <c r="X76" s="665">
        <v>18</v>
      </c>
      <c r="Y76" s="665">
        <v>19</v>
      </c>
      <c r="Z76" s="665">
        <v>13</v>
      </c>
      <c r="AA76" s="665">
        <v>19</v>
      </c>
      <c r="AB76" s="665">
        <v>17</v>
      </c>
      <c r="AC76" s="665">
        <v>17</v>
      </c>
      <c r="AD76" s="665">
        <v>21</v>
      </c>
      <c r="AE76" s="665">
        <v>8</v>
      </c>
      <c r="AF76" s="665">
        <v>15</v>
      </c>
      <c r="AG76" s="665">
        <v>19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0.22159393108081635</v>
      </c>
      <c r="F77" s="680">
        <f t="shared" si="25"/>
        <v>26.38666666666667</v>
      </c>
      <c r="G77" s="680">
        <f t="shared" si="26"/>
        <v>30.333333333333332</v>
      </c>
      <c r="H77" s="679">
        <f t="shared" si="27"/>
        <v>28.166666666666668</v>
      </c>
      <c r="I77" s="679">
        <f t="shared" si="28"/>
        <v>30</v>
      </c>
      <c r="J77" s="679">
        <f t="shared" si="29"/>
        <v>21.8</v>
      </c>
      <c r="K77" s="673">
        <v>39</v>
      </c>
      <c r="L77" s="673">
        <v>28</v>
      </c>
      <c r="M77" s="673">
        <v>38</v>
      </c>
      <c r="N77" s="673">
        <v>28</v>
      </c>
      <c r="O77" s="673">
        <v>31</v>
      </c>
      <c r="P77" s="673">
        <v>18</v>
      </c>
      <c r="Q77" s="673">
        <v>26</v>
      </c>
      <c r="R77" s="673">
        <v>34</v>
      </c>
      <c r="S77" s="673">
        <v>20</v>
      </c>
      <c r="T77" s="673">
        <v>26</v>
      </c>
      <c r="U77" s="673">
        <v>30</v>
      </c>
      <c r="V77" s="665">
        <v>33</v>
      </c>
      <c r="W77" s="665">
        <v>30</v>
      </c>
      <c r="X77" s="665">
        <v>31</v>
      </c>
      <c r="Y77" s="665">
        <v>31</v>
      </c>
      <c r="Z77" s="665">
        <v>34</v>
      </c>
      <c r="AA77" s="665">
        <v>34</v>
      </c>
      <c r="AB77" s="665">
        <v>20</v>
      </c>
      <c r="AC77" s="665">
        <v>16</v>
      </c>
      <c r="AD77" s="665">
        <v>31</v>
      </c>
      <c r="AE77" s="665">
        <v>16</v>
      </c>
      <c r="AF77" s="665">
        <v>19</v>
      </c>
      <c r="AG77" s="665">
        <v>27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0.169442655991938</v>
      </c>
      <c r="F78" s="680">
        <f t="shared" si="25"/>
        <v>20.176666666666669</v>
      </c>
      <c r="G78" s="680">
        <f t="shared" si="26"/>
        <v>29</v>
      </c>
      <c r="H78" s="679">
        <f t="shared" si="27"/>
        <v>26.833333333333332</v>
      </c>
      <c r="I78" s="679">
        <f t="shared" si="28"/>
        <v>20.5</v>
      </c>
      <c r="J78" s="679">
        <f t="shared" si="29"/>
        <v>14.4</v>
      </c>
      <c r="K78" s="673">
        <v>35</v>
      </c>
      <c r="L78" s="673">
        <v>32</v>
      </c>
      <c r="M78" s="673">
        <v>40</v>
      </c>
      <c r="N78" s="673">
        <v>26</v>
      </c>
      <c r="O78" s="673">
        <v>23</v>
      </c>
      <c r="P78" s="673">
        <v>18</v>
      </c>
      <c r="Q78" s="673">
        <v>28</v>
      </c>
      <c r="R78" s="673">
        <v>29</v>
      </c>
      <c r="S78" s="673">
        <v>21</v>
      </c>
      <c r="T78" s="673">
        <v>29</v>
      </c>
      <c r="U78" s="673">
        <v>29</v>
      </c>
      <c r="V78" s="665">
        <v>25</v>
      </c>
      <c r="W78" s="665">
        <v>27</v>
      </c>
      <c r="X78" s="665">
        <v>23</v>
      </c>
      <c r="Y78" s="665">
        <v>20</v>
      </c>
      <c r="Z78" s="665">
        <v>19</v>
      </c>
      <c r="AA78" s="665">
        <v>22</v>
      </c>
      <c r="AB78" s="665">
        <v>12</v>
      </c>
      <c r="AC78" s="665">
        <v>11</v>
      </c>
      <c r="AD78" s="665">
        <v>17</v>
      </c>
      <c r="AE78" s="665">
        <v>10</v>
      </c>
      <c r="AF78" s="665">
        <v>14</v>
      </c>
      <c r="AG78" s="665">
        <v>20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0.10911737536041206</v>
      </c>
      <c r="F79" s="680">
        <f t="shared" si="25"/>
        <v>12.993333333333332</v>
      </c>
      <c r="G79" s="680">
        <f t="shared" si="26"/>
        <v>17.333333333333332</v>
      </c>
      <c r="H79" s="679">
        <f t="shared" si="27"/>
        <v>16.5</v>
      </c>
      <c r="I79" s="679">
        <f t="shared" si="28"/>
        <v>15.333333333333334</v>
      </c>
      <c r="J79" s="679">
        <f t="shared" si="29"/>
        <v>8.4</v>
      </c>
      <c r="K79" s="673">
        <v>20</v>
      </c>
      <c r="L79" s="673">
        <v>16</v>
      </c>
      <c r="M79" s="673">
        <v>13</v>
      </c>
      <c r="N79" s="673">
        <v>21</v>
      </c>
      <c r="O79" s="673">
        <v>20</v>
      </c>
      <c r="P79" s="673">
        <v>14</v>
      </c>
      <c r="Q79" s="673">
        <v>19</v>
      </c>
      <c r="R79" s="673">
        <v>18</v>
      </c>
      <c r="S79" s="673">
        <v>11</v>
      </c>
      <c r="T79" s="673">
        <v>16</v>
      </c>
      <c r="U79" s="673">
        <v>17</v>
      </c>
      <c r="V79" s="665">
        <v>18</v>
      </c>
      <c r="W79" s="665">
        <v>14</v>
      </c>
      <c r="X79" s="665">
        <v>16</v>
      </c>
      <c r="Y79" s="665">
        <v>18</v>
      </c>
      <c r="Z79" s="665">
        <v>15</v>
      </c>
      <c r="AA79" s="665">
        <v>16</v>
      </c>
      <c r="AB79" s="665">
        <v>13</v>
      </c>
      <c r="AC79" s="665">
        <v>9</v>
      </c>
      <c r="AD79" s="665">
        <v>10</v>
      </c>
      <c r="AE79" s="665">
        <v>7</v>
      </c>
      <c r="AF79" s="665">
        <v>6</v>
      </c>
      <c r="AG79" s="665">
        <v>10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9.7735359648831108E-2</v>
      </c>
      <c r="F80" s="680">
        <f t="shared" si="25"/>
        <v>9.7966666666666669</v>
      </c>
      <c r="G80" s="680">
        <f t="shared" si="26"/>
        <v>12.5</v>
      </c>
      <c r="H80" s="679">
        <f t="shared" si="27"/>
        <v>14.833333333333334</v>
      </c>
      <c r="I80" s="679">
        <f t="shared" si="28"/>
        <v>9</v>
      </c>
      <c r="J80" s="679">
        <f t="shared" si="29"/>
        <v>7.2</v>
      </c>
      <c r="K80" s="673">
        <v>16</v>
      </c>
      <c r="L80" s="673">
        <v>12</v>
      </c>
      <c r="M80" s="673">
        <v>13</v>
      </c>
      <c r="N80" s="673">
        <v>13</v>
      </c>
      <c r="O80" s="673">
        <v>11</v>
      </c>
      <c r="P80" s="673">
        <v>10</v>
      </c>
      <c r="Q80" s="673">
        <v>16</v>
      </c>
      <c r="R80" s="673">
        <v>16</v>
      </c>
      <c r="S80" s="673">
        <v>13</v>
      </c>
      <c r="T80" s="673">
        <v>17</v>
      </c>
      <c r="U80" s="673">
        <v>15</v>
      </c>
      <c r="V80" s="665">
        <v>12</v>
      </c>
      <c r="W80" s="665">
        <v>11</v>
      </c>
      <c r="X80" s="665">
        <v>8</v>
      </c>
      <c r="Y80" s="665">
        <v>8</v>
      </c>
      <c r="Z80" s="665">
        <v>8</v>
      </c>
      <c r="AA80" s="665">
        <v>9</v>
      </c>
      <c r="AB80" s="665">
        <v>10</v>
      </c>
      <c r="AC80" s="665">
        <v>8</v>
      </c>
      <c r="AD80" s="665">
        <v>9</v>
      </c>
      <c r="AE80" s="665">
        <v>6</v>
      </c>
      <c r="AF80" s="665">
        <v>6</v>
      </c>
      <c r="AG80" s="665">
        <v>7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0.15749393102989595</v>
      </c>
      <c r="F81" s="680">
        <f t="shared" si="25"/>
        <v>15.786666666666669</v>
      </c>
      <c r="G81" s="680">
        <f t="shared" si="26"/>
        <v>18.166666666666668</v>
      </c>
      <c r="H81" s="679">
        <f t="shared" si="27"/>
        <v>18</v>
      </c>
      <c r="I81" s="679">
        <f t="shared" si="28"/>
        <v>16.166666666666668</v>
      </c>
      <c r="J81" s="679">
        <f t="shared" si="29"/>
        <v>13.8</v>
      </c>
      <c r="K81" s="673">
        <v>26</v>
      </c>
      <c r="L81" s="673">
        <v>18</v>
      </c>
      <c r="M81" s="673">
        <v>25</v>
      </c>
      <c r="N81" s="673">
        <v>14</v>
      </c>
      <c r="O81" s="673">
        <v>15</v>
      </c>
      <c r="P81" s="673">
        <v>11</v>
      </c>
      <c r="Q81" s="673">
        <v>16</v>
      </c>
      <c r="R81" s="673">
        <v>18</v>
      </c>
      <c r="S81" s="673">
        <v>15</v>
      </c>
      <c r="T81" s="673">
        <v>21</v>
      </c>
      <c r="U81" s="673">
        <v>21</v>
      </c>
      <c r="V81" s="665">
        <v>17</v>
      </c>
      <c r="W81" s="665">
        <v>14</v>
      </c>
      <c r="X81" s="665">
        <v>15</v>
      </c>
      <c r="Y81" s="665">
        <v>17</v>
      </c>
      <c r="Z81" s="665">
        <v>16</v>
      </c>
      <c r="AA81" s="665">
        <v>20</v>
      </c>
      <c r="AB81" s="665">
        <v>15</v>
      </c>
      <c r="AC81" s="665">
        <v>10</v>
      </c>
      <c r="AD81" s="665">
        <v>16</v>
      </c>
      <c r="AE81" s="665">
        <v>12</v>
      </c>
      <c r="AF81" s="665">
        <v>13</v>
      </c>
      <c r="AG81" s="665">
        <v>18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0.13498054604103624</v>
      </c>
      <c r="F82" s="680">
        <f t="shared" si="25"/>
        <v>13.530000000000001</v>
      </c>
      <c r="G82" s="680">
        <f t="shared" si="26"/>
        <v>11.833333333333334</v>
      </c>
      <c r="H82" s="679">
        <f t="shared" si="27"/>
        <v>15.833333333333334</v>
      </c>
      <c r="I82" s="679">
        <f t="shared" si="28"/>
        <v>15.666666666666666</v>
      </c>
      <c r="J82" s="679">
        <f t="shared" si="29"/>
        <v>11.2</v>
      </c>
      <c r="K82" s="673">
        <v>10</v>
      </c>
      <c r="L82" s="673">
        <v>13</v>
      </c>
      <c r="M82" s="673">
        <v>15</v>
      </c>
      <c r="N82" s="673">
        <v>12</v>
      </c>
      <c r="O82" s="673">
        <v>11</v>
      </c>
      <c r="P82" s="673">
        <v>10</v>
      </c>
      <c r="Q82" s="673">
        <v>16</v>
      </c>
      <c r="R82" s="673">
        <v>16</v>
      </c>
      <c r="S82" s="673">
        <v>11</v>
      </c>
      <c r="T82" s="673">
        <v>19</v>
      </c>
      <c r="U82" s="673">
        <v>17</v>
      </c>
      <c r="V82" s="665">
        <v>16</v>
      </c>
      <c r="W82" s="665">
        <v>14</v>
      </c>
      <c r="X82" s="665">
        <v>19</v>
      </c>
      <c r="Y82" s="665">
        <v>14</v>
      </c>
      <c r="Z82" s="665">
        <v>17</v>
      </c>
      <c r="AA82" s="665">
        <v>16</v>
      </c>
      <c r="AB82" s="665">
        <v>14</v>
      </c>
      <c r="AC82" s="665">
        <v>10</v>
      </c>
      <c r="AD82" s="665">
        <v>15</v>
      </c>
      <c r="AE82" s="665">
        <v>10</v>
      </c>
      <c r="AF82" s="665">
        <v>12</v>
      </c>
      <c r="AG82" s="665">
        <v>9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8.4832562934388622E-2</v>
      </c>
      <c r="F83" s="680">
        <f t="shared" si="25"/>
        <v>8.5033333333333339</v>
      </c>
      <c r="G83" s="680">
        <f t="shared" si="26"/>
        <v>11.666666666666666</v>
      </c>
      <c r="H83" s="679">
        <f t="shared" si="27"/>
        <v>9.3333333333333339</v>
      </c>
      <c r="I83" s="679">
        <f t="shared" si="28"/>
        <v>9.1666666666666661</v>
      </c>
      <c r="J83" s="679">
        <f t="shared" si="29"/>
        <v>6.8</v>
      </c>
      <c r="K83" s="673">
        <v>17</v>
      </c>
      <c r="L83" s="673">
        <v>15</v>
      </c>
      <c r="M83" s="673">
        <v>14</v>
      </c>
      <c r="N83" s="673">
        <v>10</v>
      </c>
      <c r="O83" s="673">
        <v>7</v>
      </c>
      <c r="P83" s="673">
        <v>7</v>
      </c>
      <c r="Q83" s="673">
        <v>8</v>
      </c>
      <c r="R83" s="673">
        <v>12</v>
      </c>
      <c r="S83" s="673">
        <v>5</v>
      </c>
      <c r="T83" s="673">
        <v>12</v>
      </c>
      <c r="U83" s="673">
        <v>11</v>
      </c>
      <c r="V83" s="665">
        <v>8</v>
      </c>
      <c r="W83" s="665">
        <v>8</v>
      </c>
      <c r="X83" s="665">
        <v>9</v>
      </c>
      <c r="Y83" s="665">
        <v>8</v>
      </c>
      <c r="Z83" s="665">
        <v>8</v>
      </c>
      <c r="AA83" s="665">
        <v>12</v>
      </c>
      <c r="AB83" s="665">
        <v>10</v>
      </c>
      <c r="AC83" s="665">
        <v>7</v>
      </c>
      <c r="AD83" s="665">
        <v>6</v>
      </c>
      <c r="AE83" s="665">
        <v>6</v>
      </c>
      <c r="AF83" s="665">
        <v>8</v>
      </c>
      <c r="AG83" s="665">
        <v>7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0.18346579761231752</v>
      </c>
      <c r="F84" s="680">
        <f t="shared" si="25"/>
        <v>18.39</v>
      </c>
      <c r="G84" s="680">
        <f t="shared" si="26"/>
        <v>23.333333333333332</v>
      </c>
      <c r="H84" s="679">
        <f t="shared" si="27"/>
        <v>23.333333333333332</v>
      </c>
      <c r="I84" s="679">
        <f t="shared" si="28"/>
        <v>18.5</v>
      </c>
      <c r="J84" s="679">
        <f t="shared" si="29"/>
        <v>14.6</v>
      </c>
      <c r="K84" s="673">
        <v>27</v>
      </c>
      <c r="L84" s="673">
        <v>18</v>
      </c>
      <c r="M84" s="673">
        <v>25</v>
      </c>
      <c r="N84" s="673">
        <v>24</v>
      </c>
      <c r="O84" s="673">
        <v>26</v>
      </c>
      <c r="P84" s="673">
        <v>20</v>
      </c>
      <c r="Q84" s="673">
        <v>24</v>
      </c>
      <c r="R84" s="673">
        <v>24</v>
      </c>
      <c r="S84" s="673">
        <v>20</v>
      </c>
      <c r="T84" s="673">
        <v>27</v>
      </c>
      <c r="U84" s="673">
        <v>25</v>
      </c>
      <c r="V84" s="665">
        <v>20</v>
      </c>
      <c r="W84" s="665">
        <v>22</v>
      </c>
      <c r="X84" s="665">
        <v>19</v>
      </c>
      <c r="Y84" s="665">
        <v>18</v>
      </c>
      <c r="Z84" s="665">
        <v>14</v>
      </c>
      <c r="AA84" s="665">
        <v>18</v>
      </c>
      <c r="AB84" s="665">
        <v>20</v>
      </c>
      <c r="AC84" s="665">
        <v>14</v>
      </c>
      <c r="AD84" s="665">
        <v>21</v>
      </c>
      <c r="AE84" s="665">
        <v>11</v>
      </c>
      <c r="AF84" s="665">
        <v>11</v>
      </c>
      <c r="AG84" s="665">
        <v>16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0.14425858800838018</v>
      </c>
      <c r="F85" s="680">
        <f t="shared" si="25"/>
        <v>14.46</v>
      </c>
      <c r="G85" s="680">
        <f t="shared" si="26"/>
        <v>17.166666666666668</v>
      </c>
      <c r="H85" s="679">
        <f t="shared" si="27"/>
        <v>17.166666666666668</v>
      </c>
      <c r="I85" s="679">
        <f t="shared" si="28"/>
        <v>15.833333333333334</v>
      </c>
      <c r="J85" s="679">
        <f t="shared" si="29"/>
        <v>11.4</v>
      </c>
      <c r="K85" s="673">
        <v>17</v>
      </c>
      <c r="L85" s="673">
        <v>14</v>
      </c>
      <c r="M85" s="673">
        <v>18</v>
      </c>
      <c r="N85" s="673">
        <v>18</v>
      </c>
      <c r="O85" s="673">
        <v>19</v>
      </c>
      <c r="P85" s="673">
        <v>17</v>
      </c>
      <c r="Q85" s="673">
        <v>17</v>
      </c>
      <c r="R85" s="673">
        <v>23</v>
      </c>
      <c r="S85" s="673">
        <v>14</v>
      </c>
      <c r="T85" s="673">
        <v>18</v>
      </c>
      <c r="U85" s="673">
        <v>17</v>
      </c>
      <c r="V85" s="665">
        <v>14</v>
      </c>
      <c r="W85" s="665">
        <v>19</v>
      </c>
      <c r="X85" s="665">
        <v>11</v>
      </c>
      <c r="Y85" s="665">
        <v>13</v>
      </c>
      <c r="Z85" s="665">
        <v>16</v>
      </c>
      <c r="AA85" s="665">
        <v>15</v>
      </c>
      <c r="AB85" s="665">
        <v>21</v>
      </c>
      <c r="AC85" s="665">
        <v>10</v>
      </c>
      <c r="AD85" s="665">
        <v>16</v>
      </c>
      <c r="AE85" s="665">
        <v>12</v>
      </c>
      <c r="AF85" s="665">
        <v>10</v>
      </c>
      <c r="AG85" s="665">
        <v>9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0.19723321472515051</v>
      </c>
      <c r="F86" s="680">
        <f t="shared" si="25"/>
        <v>19.770000000000003</v>
      </c>
      <c r="G86" s="680">
        <f t="shared" si="26"/>
        <v>22.666666666666668</v>
      </c>
      <c r="H86" s="679">
        <f t="shared" si="27"/>
        <v>25.166666666666668</v>
      </c>
      <c r="I86" s="679">
        <f t="shared" si="28"/>
        <v>21.833333333333332</v>
      </c>
      <c r="J86" s="679">
        <f t="shared" si="29"/>
        <v>14.8</v>
      </c>
      <c r="K86" s="673">
        <v>24</v>
      </c>
      <c r="L86" s="673">
        <v>21</v>
      </c>
      <c r="M86" s="673">
        <v>27</v>
      </c>
      <c r="N86" s="673">
        <v>20</v>
      </c>
      <c r="O86" s="673">
        <v>26</v>
      </c>
      <c r="P86" s="673">
        <v>18</v>
      </c>
      <c r="Q86" s="673">
        <v>25</v>
      </c>
      <c r="R86" s="673">
        <v>28</v>
      </c>
      <c r="S86" s="673">
        <v>24</v>
      </c>
      <c r="T86" s="673">
        <v>29</v>
      </c>
      <c r="U86" s="673">
        <v>25</v>
      </c>
      <c r="V86" s="665">
        <v>20</v>
      </c>
      <c r="W86" s="665">
        <v>18</v>
      </c>
      <c r="X86" s="665">
        <v>18</v>
      </c>
      <c r="Y86" s="665">
        <v>21</v>
      </c>
      <c r="Z86" s="665">
        <v>18</v>
      </c>
      <c r="AA86" s="665">
        <v>29</v>
      </c>
      <c r="AB86" s="665">
        <v>27</v>
      </c>
      <c r="AC86" s="665">
        <v>22</v>
      </c>
      <c r="AD86" s="665">
        <v>31</v>
      </c>
      <c r="AE86" s="665">
        <v>10</v>
      </c>
      <c r="AF86" s="665">
        <v>4</v>
      </c>
      <c r="AG86" s="665">
        <v>7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39" priority="11" operator="equal">
      <formula>0</formula>
    </cfRule>
  </conditionalFormatting>
  <conditionalFormatting sqref="K31:V86">
    <cfRule type="cellIs" dxfId="38" priority="10" operator="equal">
      <formula>0</formula>
    </cfRule>
  </conditionalFormatting>
  <conditionalFormatting sqref="G16:J16 G15 I15">
    <cfRule type="cellIs" dxfId="37" priority="9" operator="equal">
      <formula>0</formula>
    </cfRule>
  </conditionalFormatting>
  <conditionalFormatting sqref="G7:J7 G6 I6">
    <cfRule type="cellIs" dxfId="36" priority="8" operator="equal">
      <formula>0</formula>
    </cfRule>
  </conditionalFormatting>
  <conditionalFormatting sqref="F15">
    <cfRule type="cellIs" dxfId="35" priority="7" operator="equal">
      <formula>0</formula>
    </cfRule>
  </conditionalFormatting>
  <conditionalFormatting sqref="F28">
    <cfRule type="cellIs" dxfId="34" priority="6" operator="equal">
      <formula>0</formula>
    </cfRule>
  </conditionalFormatting>
  <conditionalFormatting sqref="E8:E14 E1:E6 E30:E1048576">
    <cfRule type="cellIs" dxfId="33" priority="5" operator="equal">
      <formula>0</formula>
    </cfRule>
  </conditionalFormatting>
  <conditionalFormatting sqref="E15">
    <cfRule type="cellIs" dxfId="32" priority="4" operator="equal">
      <formula>0</formula>
    </cfRule>
  </conditionalFormatting>
  <conditionalFormatting sqref="E28">
    <cfRule type="cellIs" dxfId="31" priority="3" operator="equal">
      <formula>0</formula>
    </cfRule>
  </conditionalFormatting>
  <conditionalFormatting sqref="C2:C3">
    <cfRule type="cellIs" dxfId="30" priority="1" operator="equal">
      <formula>0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507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508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216.34666666666669</v>
      </c>
      <c r="G8" s="678">
        <f>SUM(G9:G12)</f>
        <v>184.33333333333334</v>
      </c>
      <c r="H8" s="671">
        <f t="shared" ref="H8:J8" si="0">SUM(H9:H12)</f>
        <v>241.16666666666669</v>
      </c>
      <c r="I8" s="671">
        <f t="shared" si="0"/>
        <v>225.33333333333334</v>
      </c>
      <c r="J8" s="671">
        <f t="shared" si="0"/>
        <v>205.20000000000002</v>
      </c>
      <c r="K8" s="671">
        <f t="shared" ref="K8:AH8" si="1">SUM(K9:K12)</f>
        <v>210</v>
      </c>
      <c r="L8" s="671">
        <f t="shared" si="1"/>
        <v>173</v>
      </c>
      <c r="M8" s="671">
        <f t="shared" si="1"/>
        <v>203</v>
      </c>
      <c r="N8" s="671">
        <f t="shared" si="1"/>
        <v>175</v>
      </c>
      <c r="O8" s="671">
        <f t="shared" si="1"/>
        <v>176</v>
      </c>
      <c r="P8" s="671">
        <f t="shared" si="1"/>
        <v>169</v>
      </c>
      <c r="Q8" s="671">
        <f t="shared" si="1"/>
        <v>219</v>
      </c>
      <c r="R8" s="671">
        <f t="shared" si="1"/>
        <v>224</v>
      </c>
      <c r="S8" s="671">
        <f t="shared" si="1"/>
        <v>199</v>
      </c>
      <c r="T8" s="671">
        <f t="shared" si="1"/>
        <v>296</v>
      </c>
      <c r="U8" s="671">
        <f t="shared" si="1"/>
        <v>268</v>
      </c>
      <c r="V8" s="671">
        <f t="shared" si="1"/>
        <v>241</v>
      </c>
      <c r="W8" s="671">
        <f t="shared" si="1"/>
        <v>220</v>
      </c>
      <c r="X8" s="671">
        <f t="shared" si="1"/>
        <v>233</v>
      </c>
      <c r="Y8" s="671">
        <f t="shared" si="1"/>
        <v>234</v>
      </c>
      <c r="Z8" s="671">
        <f t="shared" si="1"/>
        <v>201</v>
      </c>
      <c r="AA8" s="671">
        <f t="shared" si="1"/>
        <v>220</v>
      </c>
      <c r="AB8" s="671">
        <f t="shared" si="1"/>
        <v>244</v>
      </c>
      <c r="AC8" s="671">
        <f t="shared" si="1"/>
        <v>213</v>
      </c>
      <c r="AD8" s="671">
        <f t="shared" si="1"/>
        <v>176</v>
      </c>
      <c r="AE8" s="671">
        <f t="shared" si="1"/>
        <v>207</v>
      </c>
      <c r="AF8" s="671">
        <f t="shared" si="1"/>
        <v>201</v>
      </c>
      <c r="AG8" s="671">
        <f t="shared" si="1"/>
        <v>229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0.16080672993960307</v>
      </c>
      <c r="F9" s="683">
        <f t="shared" ref="F9:F12" si="3">G9*10%+H9*20%+I9*30%+J9*40%</f>
        <v>34.79</v>
      </c>
      <c r="G9" s="675">
        <f t="shared" ref="G9:G12" si="4">AVERAGE(K9:P9)</f>
        <v>29.5</v>
      </c>
      <c r="H9" s="672">
        <f t="shared" ref="H9:H12" si="5">AVERAGE(Q9:V9)</f>
        <v>43</v>
      </c>
      <c r="I9" s="672">
        <f t="shared" ref="I9:I12" si="6">AVERAGE(W9:AB9)</f>
        <v>44.666666666666664</v>
      </c>
      <c r="J9" s="672">
        <f t="shared" ref="J9:J12" si="7">AVERAGE(AC9:AG9)</f>
        <v>24.6</v>
      </c>
      <c r="K9" s="673">
        <f>SUMIF($B$18:$B$25,$C9,K$18:K$25)</f>
        <v>33</v>
      </c>
      <c r="L9" s="673">
        <f t="shared" ref="L9:AA12" si="8">SUMIF($B$18:$B$25,$C9,L$18:L$25)</f>
        <v>32</v>
      </c>
      <c r="M9" s="673">
        <f t="shared" si="8"/>
        <v>37</v>
      </c>
      <c r="N9" s="673">
        <f t="shared" si="8"/>
        <v>29</v>
      </c>
      <c r="O9" s="673">
        <f t="shared" si="8"/>
        <v>26</v>
      </c>
      <c r="P9" s="673">
        <f t="shared" si="8"/>
        <v>20</v>
      </c>
      <c r="Q9" s="673">
        <f t="shared" si="8"/>
        <v>35</v>
      </c>
      <c r="R9" s="673">
        <f t="shared" si="8"/>
        <v>35</v>
      </c>
      <c r="S9" s="673">
        <f t="shared" si="8"/>
        <v>44</v>
      </c>
      <c r="T9" s="673">
        <f t="shared" si="8"/>
        <v>47</v>
      </c>
      <c r="U9" s="673">
        <f t="shared" si="8"/>
        <v>43</v>
      </c>
      <c r="V9" s="673">
        <f t="shared" si="8"/>
        <v>54</v>
      </c>
      <c r="W9" s="673">
        <f t="shared" si="8"/>
        <v>49</v>
      </c>
      <c r="X9" s="673">
        <f t="shared" si="8"/>
        <v>47</v>
      </c>
      <c r="Y9" s="673">
        <f t="shared" si="8"/>
        <v>46</v>
      </c>
      <c r="Z9" s="673">
        <f t="shared" si="8"/>
        <v>47</v>
      </c>
      <c r="AA9" s="673">
        <f t="shared" si="8"/>
        <v>46</v>
      </c>
      <c r="AB9" s="673">
        <f t="shared" ref="AB9:AG12" si="9">SUMIF($B$18:$B$25,$C9,AB$18:AB$25)</f>
        <v>33</v>
      </c>
      <c r="AC9" s="673">
        <f t="shared" si="9"/>
        <v>35</v>
      </c>
      <c r="AD9" s="673">
        <f t="shared" si="9"/>
        <v>23</v>
      </c>
      <c r="AE9" s="673">
        <f t="shared" si="9"/>
        <v>21</v>
      </c>
      <c r="AF9" s="673">
        <f t="shared" si="9"/>
        <v>18</v>
      </c>
      <c r="AG9" s="673">
        <f t="shared" si="9"/>
        <v>26</v>
      </c>
      <c r="AH9" s="673"/>
    </row>
    <row r="10" spans="1:34">
      <c r="C10" s="1002" t="s">
        <v>332</v>
      </c>
      <c r="D10" s="984"/>
      <c r="E10" s="690">
        <f t="shared" si="2"/>
        <v>0.36697275976827315</v>
      </c>
      <c r="F10" s="683">
        <f t="shared" si="3"/>
        <v>79.393333333333345</v>
      </c>
      <c r="G10" s="675">
        <f t="shared" si="4"/>
        <v>58.833333333333336</v>
      </c>
      <c r="H10" s="672">
        <f t="shared" si="5"/>
        <v>75</v>
      </c>
      <c r="I10" s="672">
        <f t="shared" si="6"/>
        <v>85.166666666666671</v>
      </c>
      <c r="J10" s="672">
        <f t="shared" si="7"/>
        <v>82.4</v>
      </c>
      <c r="K10" s="673">
        <f t="shared" ref="K10:K12" si="10">SUMIF($B$18:$B$25,$C10,K$18:K$25)</f>
        <v>62</v>
      </c>
      <c r="L10" s="673">
        <f t="shared" si="8"/>
        <v>55</v>
      </c>
      <c r="M10" s="673">
        <f t="shared" si="8"/>
        <v>70</v>
      </c>
      <c r="N10" s="673">
        <f t="shared" si="8"/>
        <v>60</v>
      </c>
      <c r="O10" s="673">
        <f t="shared" si="8"/>
        <v>61</v>
      </c>
      <c r="P10" s="673">
        <f t="shared" si="8"/>
        <v>45</v>
      </c>
      <c r="Q10" s="673">
        <f t="shared" si="8"/>
        <v>78</v>
      </c>
      <c r="R10" s="673">
        <f t="shared" si="8"/>
        <v>72</v>
      </c>
      <c r="S10" s="673">
        <f t="shared" si="8"/>
        <v>61</v>
      </c>
      <c r="T10" s="673">
        <f t="shared" si="8"/>
        <v>92</v>
      </c>
      <c r="U10" s="673">
        <f t="shared" si="8"/>
        <v>77</v>
      </c>
      <c r="V10" s="673">
        <f t="shared" si="8"/>
        <v>70</v>
      </c>
      <c r="W10" s="673">
        <f t="shared" si="8"/>
        <v>66</v>
      </c>
      <c r="X10" s="673">
        <f t="shared" si="8"/>
        <v>70</v>
      </c>
      <c r="Y10" s="673">
        <f t="shared" si="8"/>
        <v>94</v>
      </c>
      <c r="Z10" s="673">
        <f t="shared" si="8"/>
        <v>78</v>
      </c>
      <c r="AA10" s="673">
        <f t="shared" si="8"/>
        <v>95</v>
      </c>
      <c r="AB10" s="673">
        <f t="shared" si="9"/>
        <v>108</v>
      </c>
      <c r="AC10" s="673">
        <f t="shared" si="9"/>
        <v>85</v>
      </c>
      <c r="AD10" s="673">
        <f t="shared" si="9"/>
        <v>65</v>
      </c>
      <c r="AE10" s="673">
        <f t="shared" si="9"/>
        <v>73</v>
      </c>
      <c r="AF10" s="673">
        <f t="shared" si="9"/>
        <v>93</v>
      </c>
      <c r="AG10" s="673">
        <f t="shared" si="9"/>
        <v>96</v>
      </c>
      <c r="AH10" s="673"/>
    </row>
    <row r="11" spans="1:34">
      <c r="C11" s="1002" t="s">
        <v>333</v>
      </c>
      <c r="D11" s="984"/>
      <c r="E11" s="690">
        <f t="shared" si="2"/>
        <v>0.27442068285467763</v>
      </c>
      <c r="F11" s="683">
        <f t="shared" si="3"/>
        <v>59.37</v>
      </c>
      <c r="G11" s="675">
        <f t="shared" si="4"/>
        <v>57.166666666666664</v>
      </c>
      <c r="H11" s="672">
        <f t="shared" si="5"/>
        <v>69.666666666666671</v>
      </c>
      <c r="I11" s="672">
        <f t="shared" si="6"/>
        <v>58</v>
      </c>
      <c r="J11" s="672">
        <f t="shared" si="7"/>
        <v>55.8</v>
      </c>
      <c r="K11" s="673">
        <f t="shared" si="10"/>
        <v>52</v>
      </c>
      <c r="L11" s="673">
        <f t="shared" si="8"/>
        <v>48</v>
      </c>
      <c r="M11" s="673">
        <f t="shared" si="8"/>
        <v>59</v>
      </c>
      <c r="N11" s="673">
        <f t="shared" si="8"/>
        <v>64</v>
      </c>
      <c r="O11" s="673">
        <f t="shared" si="8"/>
        <v>54</v>
      </c>
      <c r="P11" s="673">
        <f t="shared" si="8"/>
        <v>66</v>
      </c>
      <c r="Q11" s="673">
        <f t="shared" si="8"/>
        <v>62</v>
      </c>
      <c r="R11" s="673">
        <f t="shared" si="8"/>
        <v>67</v>
      </c>
      <c r="S11" s="673">
        <f t="shared" si="8"/>
        <v>61</v>
      </c>
      <c r="T11" s="673">
        <f t="shared" si="8"/>
        <v>85</v>
      </c>
      <c r="U11" s="673">
        <f t="shared" si="8"/>
        <v>82</v>
      </c>
      <c r="V11" s="673">
        <f t="shared" si="8"/>
        <v>61</v>
      </c>
      <c r="W11" s="673">
        <f t="shared" si="8"/>
        <v>62</v>
      </c>
      <c r="X11" s="673">
        <f t="shared" si="8"/>
        <v>81</v>
      </c>
      <c r="Y11" s="673">
        <f t="shared" si="8"/>
        <v>54</v>
      </c>
      <c r="Z11" s="673">
        <f t="shared" si="8"/>
        <v>42</v>
      </c>
      <c r="AA11" s="673">
        <f t="shared" si="8"/>
        <v>48</v>
      </c>
      <c r="AB11" s="673">
        <f t="shared" si="9"/>
        <v>61</v>
      </c>
      <c r="AC11" s="673">
        <f t="shared" si="9"/>
        <v>60</v>
      </c>
      <c r="AD11" s="673">
        <f t="shared" si="9"/>
        <v>55</v>
      </c>
      <c r="AE11" s="673">
        <f t="shared" si="9"/>
        <v>56</v>
      </c>
      <c r="AF11" s="673">
        <f t="shared" si="9"/>
        <v>50</v>
      </c>
      <c r="AG11" s="673">
        <f t="shared" si="9"/>
        <v>58</v>
      </c>
      <c r="AH11" s="673"/>
    </row>
    <row r="12" spans="1:34">
      <c r="C12" s="1002" t="s">
        <v>334</v>
      </c>
      <c r="D12" s="984"/>
      <c r="E12" s="690">
        <f t="shared" si="2"/>
        <v>0.19779982743744606</v>
      </c>
      <c r="F12" s="683">
        <f t="shared" si="3"/>
        <v>42.793333333333337</v>
      </c>
      <c r="G12" s="675">
        <f t="shared" si="4"/>
        <v>38.833333333333336</v>
      </c>
      <c r="H12" s="672">
        <f t="shared" si="5"/>
        <v>53.5</v>
      </c>
      <c r="I12" s="672">
        <f t="shared" si="6"/>
        <v>37.5</v>
      </c>
      <c r="J12" s="672">
        <f t="shared" si="7"/>
        <v>42.4</v>
      </c>
      <c r="K12" s="673">
        <f t="shared" si="10"/>
        <v>63</v>
      </c>
      <c r="L12" s="673">
        <f t="shared" si="8"/>
        <v>38</v>
      </c>
      <c r="M12" s="673">
        <f t="shared" si="8"/>
        <v>37</v>
      </c>
      <c r="N12" s="673">
        <f t="shared" si="8"/>
        <v>22</v>
      </c>
      <c r="O12" s="673">
        <f t="shared" si="8"/>
        <v>35</v>
      </c>
      <c r="P12" s="673">
        <f t="shared" si="8"/>
        <v>38</v>
      </c>
      <c r="Q12" s="673">
        <f t="shared" si="8"/>
        <v>44</v>
      </c>
      <c r="R12" s="673">
        <f t="shared" si="8"/>
        <v>50</v>
      </c>
      <c r="S12" s="673">
        <f t="shared" si="8"/>
        <v>33</v>
      </c>
      <c r="T12" s="673">
        <f t="shared" si="8"/>
        <v>72</v>
      </c>
      <c r="U12" s="673">
        <f t="shared" si="8"/>
        <v>66</v>
      </c>
      <c r="V12" s="673">
        <f t="shared" si="8"/>
        <v>56</v>
      </c>
      <c r="W12" s="673">
        <f t="shared" si="8"/>
        <v>43</v>
      </c>
      <c r="X12" s="673">
        <f t="shared" si="8"/>
        <v>35</v>
      </c>
      <c r="Y12" s="673">
        <f t="shared" si="8"/>
        <v>40</v>
      </c>
      <c r="Z12" s="673">
        <f t="shared" si="8"/>
        <v>34</v>
      </c>
      <c r="AA12" s="673">
        <f t="shared" si="8"/>
        <v>31</v>
      </c>
      <c r="AB12" s="673">
        <f t="shared" si="9"/>
        <v>42</v>
      </c>
      <c r="AC12" s="673">
        <f t="shared" si="9"/>
        <v>33</v>
      </c>
      <c r="AD12" s="673">
        <f t="shared" si="9"/>
        <v>33</v>
      </c>
      <c r="AE12" s="673">
        <f t="shared" si="9"/>
        <v>57</v>
      </c>
      <c r="AF12" s="673">
        <f t="shared" si="9"/>
        <v>40</v>
      </c>
      <c r="AG12" s="673">
        <f t="shared" si="9"/>
        <v>49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0.99999999999999989</v>
      </c>
      <c r="F17" s="684">
        <f>SUM(F18:F25)</f>
        <v>216.34666666666666</v>
      </c>
      <c r="G17" s="674">
        <f>SUM(G18:G25)</f>
        <v>184.33333333333334</v>
      </c>
      <c r="H17" s="674">
        <f t="shared" ref="H17:J17" si="12">SUM(H18:H25)</f>
        <v>241.16666666666666</v>
      </c>
      <c r="I17" s="674">
        <f t="shared" si="12"/>
        <v>225.33333333333334</v>
      </c>
      <c r="J17" s="674">
        <f t="shared" si="12"/>
        <v>205.2</v>
      </c>
      <c r="K17" s="671">
        <f t="shared" ref="K17:AH17" si="13">SUM(K18:K25)</f>
        <v>210</v>
      </c>
      <c r="L17" s="671">
        <f t="shared" si="13"/>
        <v>173</v>
      </c>
      <c r="M17" s="671">
        <f t="shared" si="13"/>
        <v>203</v>
      </c>
      <c r="N17" s="671">
        <f t="shared" si="13"/>
        <v>175</v>
      </c>
      <c r="O17" s="671">
        <f t="shared" si="13"/>
        <v>176</v>
      </c>
      <c r="P17" s="671">
        <f t="shared" si="13"/>
        <v>169</v>
      </c>
      <c r="Q17" s="671">
        <f t="shared" si="13"/>
        <v>219</v>
      </c>
      <c r="R17" s="671">
        <f t="shared" si="13"/>
        <v>224</v>
      </c>
      <c r="S17" s="671">
        <f t="shared" si="13"/>
        <v>199</v>
      </c>
      <c r="T17" s="671">
        <f t="shared" si="13"/>
        <v>296</v>
      </c>
      <c r="U17" s="671">
        <f t="shared" si="13"/>
        <v>268</v>
      </c>
      <c r="V17" s="671">
        <f t="shared" si="13"/>
        <v>241</v>
      </c>
      <c r="W17" s="671">
        <f t="shared" si="13"/>
        <v>220</v>
      </c>
      <c r="X17" s="671">
        <f t="shared" si="13"/>
        <v>233</v>
      </c>
      <c r="Y17" s="671">
        <f t="shared" si="13"/>
        <v>234</v>
      </c>
      <c r="Z17" s="671">
        <f t="shared" si="13"/>
        <v>201</v>
      </c>
      <c r="AA17" s="671">
        <f t="shared" si="13"/>
        <v>220</v>
      </c>
      <c r="AB17" s="671">
        <f t="shared" si="13"/>
        <v>244</v>
      </c>
      <c r="AC17" s="671">
        <f t="shared" si="13"/>
        <v>213</v>
      </c>
      <c r="AD17" s="671">
        <f t="shared" si="13"/>
        <v>176</v>
      </c>
      <c r="AE17" s="671">
        <f t="shared" si="13"/>
        <v>207</v>
      </c>
      <c r="AF17" s="671">
        <f t="shared" si="13"/>
        <v>201</v>
      </c>
      <c r="AG17" s="671">
        <f t="shared" si="13"/>
        <v>229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0.1286207321582645</v>
      </c>
      <c r="F18" s="683">
        <f t="shared" ref="F18:F25" si="14">G18*10%+H18*20%+I18*30%+J18*40%</f>
        <v>27.826666666666668</v>
      </c>
      <c r="G18" s="675">
        <f t="shared" ref="G18:G25" si="15">AVERAGE(K18:P18)</f>
        <v>24.333333333333332</v>
      </c>
      <c r="H18" s="675">
        <f t="shared" ref="H18:H25" si="16">AVERAGE(Q18:V18)</f>
        <v>34.166666666666664</v>
      </c>
      <c r="I18" s="675">
        <f t="shared" ref="I18:I25" si="17">AVERAGE(W18:AB18)</f>
        <v>37.333333333333336</v>
      </c>
      <c r="J18" s="675">
        <f t="shared" ref="J18:J25" si="18">AVERAGE(AC18:AG18)</f>
        <v>18.399999999999999</v>
      </c>
      <c r="K18" s="673">
        <f>SUMIF($B$31:$B$86,$C18,K$31:K$86)</f>
        <v>30</v>
      </c>
      <c r="L18" s="673">
        <f t="shared" ref="L18:AA25" si="19">SUMIF($B$31:$B$86,$C18,L$31:L$86)</f>
        <v>22</v>
      </c>
      <c r="M18" s="673">
        <f t="shared" si="19"/>
        <v>34</v>
      </c>
      <c r="N18" s="673">
        <f t="shared" si="19"/>
        <v>23</v>
      </c>
      <c r="O18" s="673">
        <f t="shared" si="19"/>
        <v>20</v>
      </c>
      <c r="P18" s="673">
        <f t="shared" si="19"/>
        <v>17</v>
      </c>
      <c r="Q18" s="673">
        <f t="shared" si="19"/>
        <v>31</v>
      </c>
      <c r="R18" s="673">
        <f t="shared" si="19"/>
        <v>34</v>
      </c>
      <c r="S18" s="673">
        <f t="shared" si="19"/>
        <v>34</v>
      </c>
      <c r="T18" s="673">
        <f t="shared" si="19"/>
        <v>30</v>
      </c>
      <c r="U18" s="673">
        <f t="shared" si="19"/>
        <v>32</v>
      </c>
      <c r="V18" s="673">
        <f t="shared" si="19"/>
        <v>44</v>
      </c>
      <c r="W18" s="673">
        <f t="shared" si="19"/>
        <v>39</v>
      </c>
      <c r="X18" s="673">
        <f t="shared" si="19"/>
        <v>37</v>
      </c>
      <c r="Y18" s="673">
        <f t="shared" si="19"/>
        <v>41</v>
      </c>
      <c r="Z18" s="673">
        <f t="shared" si="19"/>
        <v>37</v>
      </c>
      <c r="AA18" s="673">
        <f t="shared" si="19"/>
        <v>42</v>
      </c>
      <c r="AB18" s="673">
        <f t="shared" ref="AB18:AG25" si="20">SUMIF($B$31:$B$86,$C18,AB$31:AB$86)</f>
        <v>28</v>
      </c>
      <c r="AC18" s="673">
        <f t="shared" si="20"/>
        <v>27</v>
      </c>
      <c r="AD18" s="673">
        <f t="shared" si="20"/>
        <v>15</v>
      </c>
      <c r="AE18" s="673">
        <f t="shared" si="20"/>
        <v>18</v>
      </c>
      <c r="AF18" s="673">
        <f t="shared" si="20"/>
        <v>11</v>
      </c>
      <c r="AG18" s="673">
        <f t="shared" si="20"/>
        <v>21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3.2185997781338592E-2</v>
      </c>
      <c r="F19" s="683">
        <f t="shared" si="14"/>
        <v>6.9633333333333338</v>
      </c>
      <c r="G19" s="675">
        <f t="shared" si="15"/>
        <v>5.166666666666667</v>
      </c>
      <c r="H19" s="675">
        <f t="shared" si="16"/>
        <v>8.8333333333333339</v>
      </c>
      <c r="I19" s="675">
        <f t="shared" si="17"/>
        <v>7.333333333333333</v>
      </c>
      <c r="J19" s="675">
        <f t="shared" si="18"/>
        <v>6.2</v>
      </c>
      <c r="K19" s="673">
        <f t="shared" ref="K19:K25" si="21">SUMIF($B$31:$B$86,$C19,K$31:K$86)</f>
        <v>3</v>
      </c>
      <c r="L19" s="673">
        <f t="shared" si="19"/>
        <v>10</v>
      </c>
      <c r="M19" s="673">
        <f t="shared" si="19"/>
        <v>3</v>
      </c>
      <c r="N19" s="673">
        <f t="shared" si="19"/>
        <v>6</v>
      </c>
      <c r="O19" s="673">
        <f t="shared" si="19"/>
        <v>6</v>
      </c>
      <c r="P19" s="673">
        <f t="shared" si="19"/>
        <v>3</v>
      </c>
      <c r="Q19" s="673">
        <f t="shared" si="19"/>
        <v>4</v>
      </c>
      <c r="R19" s="673">
        <f t="shared" si="19"/>
        <v>1</v>
      </c>
      <c r="S19" s="673">
        <f t="shared" si="19"/>
        <v>10</v>
      </c>
      <c r="T19" s="673">
        <f t="shared" si="19"/>
        <v>17</v>
      </c>
      <c r="U19" s="673">
        <f t="shared" si="19"/>
        <v>11</v>
      </c>
      <c r="V19" s="673">
        <f t="shared" si="19"/>
        <v>10</v>
      </c>
      <c r="W19" s="673">
        <f t="shared" si="19"/>
        <v>10</v>
      </c>
      <c r="X19" s="673">
        <f t="shared" si="19"/>
        <v>10</v>
      </c>
      <c r="Y19" s="673">
        <f t="shared" si="19"/>
        <v>5</v>
      </c>
      <c r="Z19" s="673">
        <f t="shared" si="19"/>
        <v>10</v>
      </c>
      <c r="AA19" s="673">
        <f t="shared" si="19"/>
        <v>4</v>
      </c>
      <c r="AB19" s="673">
        <f t="shared" si="20"/>
        <v>5</v>
      </c>
      <c r="AC19" s="673">
        <f t="shared" si="20"/>
        <v>8</v>
      </c>
      <c r="AD19" s="673">
        <f t="shared" si="20"/>
        <v>8</v>
      </c>
      <c r="AE19" s="673">
        <f t="shared" si="20"/>
        <v>3</v>
      </c>
      <c r="AF19" s="673">
        <f t="shared" si="20"/>
        <v>7</v>
      </c>
      <c r="AG19" s="673">
        <f t="shared" si="20"/>
        <v>5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0.17196166646123504</v>
      </c>
      <c r="F20" s="683">
        <f t="shared" si="14"/>
        <v>37.203333333333333</v>
      </c>
      <c r="G20" s="675">
        <f t="shared" si="15"/>
        <v>30.5</v>
      </c>
      <c r="H20" s="675">
        <f t="shared" si="16"/>
        <v>35.166666666666664</v>
      </c>
      <c r="I20" s="675">
        <f t="shared" si="17"/>
        <v>41.333333333333336</v>
      </c>
      <c r="J20" s="675">
        <f t="shared" si="18"/>
        <v>36.799999999999997</v>
      </c>
      <c r="K20" s="673">
        <f t="shared" si="21"/>
        <v>28</v>
      </c>
      <c r="L20" s="673">
        <f t="shared" si="19"/>
        <v>33</v>
      </c>
      <c r="M20" s="673">
        <f t="shared" si="19"/>
        <v>32</v>
      </c>
      <c r="N20" s="673">
        <f t="shared" si="19"/>
        <v>27</v>
      </c>
      <c r="O20" s="673">
        <f t="shared" si="19"/>
        <v>35</v>
      </c>
      <c r="P20" s="673">
        <f t="shared" si="19"/>
        <v>28</v>
      </c>
      <c r="Q20" s="673">
        <f t="shared" si="19"/>
        <v>40</v>
      </c>
      <c r="R20" s="673">
        <f t="shared" si="19"/>
        <v>35</v>
      </c>
      <c r="S20" s="673">
        <f t="shared" si="19"/>
        <v>29</v>
      </c>
      <c r="T20" s="673">
        <f t="shared" si="19"/>
        <v>41</v>
      </c>
      <c r="U20" s="673">
        <f t="shared" si="19"/>
        <v>31</v>
      </c>
      <c r="V20" s="673">
        <f t="shared" si="19"/>
        <v>35</v>
      </c>
      <c r="W20" s="673">
        <f t="shared" si="19"/>
        <v>36</v>
      </c>
      <c r="X20" s="673">
        <f t="shared" si="19"/>
        <v>35</v>
      </c>
      <c r="Y20" s="673">
        <f t="shared" si="19"/>
        <v>47</v>
      </c>
      <c r="Z20" s="673">
        <f t="shared" si="19"/>
        <v>37</v>
      </c>
      <c r="AA20" s="673">
        <f t="shared" si="19"/>
        <v>42</v>
      </c>
      <c r="AB20" s="673">
        <f t="shared" si="20"/>
        <v>51</v>
      </c>
      <c r="AC20" s="673">
        <f t="shared" si="20"/>
        <v>40</v>
      </c>
      <c r="AD20" s="673">
        <f t="shared" si="20"/>
        <v>32</v>
      </c>
      <c r="AE20" s="673">
        <f t="shared" si="20"/>
        <v>30</v>
      </c>
      <c r="AF20" s="673">
        <f t="shared" si="20"/>
        <v>35</v>
      </c>
      <c r="AG20" s="673">
        <f t="shared" si="20"/>
        <v>47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0.19501109330703809</v>
      </c>
      <c r="F21" s="683">
        <f t="shared" si="14"/>
        <v>42.190000000000005</v>
      </c>
      <c r="G21" s="675">
        <f t="shared" si="15"/>
        <v>28.333333333333332</v>
      </c>
      <c r="H21" s="675">
        <f t="shared" si="16"/>
        <v>39.833333333333336</v>
      </c>
      <c r="I21" s="675">
        <f t="shared" si="17"/>
        <v>43.833333333333336</v>
      </c>
      <c r="J21" s="675">
        <f t="shared" si="18"/>
        <v>45.6</v>
      </c>
      <c r="K21" s="673">
        <f t="shared" si="21"/>
        <v>34</v>
      </c>
      <c r="L21" s="673">
        <f t="shared" si="19"/>
        <v>22</v>
      </c>
      <c r="M21" s="673">
        <f t="shared" si="19"/>
        <v>38</v>
      </c>
      <c r="N21" s="673">
        <f t="shared" si="19"/>
        <v>33</v>
      </c>
      <c r="O21" s="673">
        <f t="shared" si="19"/>
        <v>26</v>
      </c>
      <c r="P21" s="673">
        <f t="shared" si="19"/>
        <v>17</v>
      </c>
      <c r="Q21" s="673">
        <f t="shared" si="19"/>
        <v>38</v>
      </c>
      <c r="R21" s="673">
        <f t="shared" si="19"/>
        <v>37</v>
      </c>
      <c r="S21" s="673">
        <f t="shared" si="19"/>
        <v>32</v>
      </c>
      <c r="T21" s="673">
        <f t="shared" si="19"/>
        <v>51</v>
      </c>
      <c r="U21" s="673">
        <f t="shared" si="19"/>
        <v>46</v>
      </c>
      <c r="V21" s="673">
        <f t="shared" si="19"/>
        <v>35</v>
      </c>
      <c r="W21" s="673">
        <f t="shared" si="19"/>
        <v>30</v>
      </c>
      <c r="X21" s="673">
        <f t="shared" si="19"/>
        <v>35</v>
      </c>
      <c r="Y21" s="673">
        <f t="shared" si="19"/>
        <v>47</v>
      </c>
      <c r="Z21" s="673">
        <f t="shared" si="19"/>
        <v>41</v>
      </c>
      <c r="AA21" s="673">
        <f t="shared" si="19"/>
        <v>53</v>
      </c>
      <c r="AB21" s="673">
        <f t="shared" si="20"/>
        <v>57</v>
      </c>
      <c r="AC21" s="673">
        <f t="shared" si="20"/>
        <v>45</v>
      </c>
      <c r="AD21" s="673">
        <f t="shared" si="20"/>
        <v>33</v>
      </c>
      <c r="AE21" s="673">
        <f t="shared" si="20"/>
        <v>43</v>
      </c>
      <c r="AF21" s="673">
        <f t="shared" si="20"/>
        <v>58</v>
      </c>
      <c r="AG21" s="673">
        <f t="shared" si="20"/>
        <v>49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0.15966658449402193</v>
      </c>
      <c r="F22" s="683">
        <f t="shared" si="14"/>
        <v>34.543333333333337</v>
      </c>
      <c r="G22" s="675">
        <f t="shared" si="15"/>
        <v>32.833333333333336</v>
      </c>
      <c r="H22" s="675">
        <f t="shared" si="16"/>
        <v>40.5</v>
      </c>
      <c r="I22" s="675">
        <f t="shared" si="17"/>
        <v>36.666666666666664</v>
      </c>
      <c r="J22" s="675">
        <f t="shared" si="18"/>
        <v>30.4</v>
      </c>
      <c r="K22" s="673">
        <f t="shared" si="21"/>
        <v>28</v>
      </c>
      <c r="L22" s="673">
        <f t="shared" si="19"/>
        <v>21</v>
      </c>
      <c r="M22" s="673">
        <f t="shared" si="19"/>
        <v>37</v>
      </c>
      <c r="N22" s="673">
        <f t="shared" si="19"/>
        <v>45</v>
      </c>
      <c r="O22" s="673">
        <f t="shared" si="19"/>
        <v>35</v>
      </c>
      <c r="P22" s="673">
        <f t="shared" si="19"/>
        <v>31</v>
      </c>
      <c r="Q22" s="673">
        <f t="shared" si="19"/>
        <v>33</v>
      </c>
      <c r="R22" s="673">
        <f t="shared" si="19"/>
        <v>37</v>
      </c>
      <c r="S22" s="673">
        <f t="shared" si="19"/>
        <v>35</v>
      </c>
      <c r="T22" s="673">
        <f t="shared" si="19"/>
        <v>55</v>
      </c>
      <c r="U22" s="673">
        <f t="shared" si="19"/>
        <v>48</v>
      </c>
      <c r="V22" s="673">
        <f t="shared" si="19"/>
        <v>35</v>
      </c>
      <c r="W22" s="673">
        <f t="shared" si="19"/>
        <v>43</v>
      </c>
      <c r="X22" s="673">
        <f t="shared" si="19"/>
        <v>50</v>
      </c>
      <c r="Y22" s="673">
        <f t="shared" si="19"/>
        <v>32</v>
      </c>
      <c r="Z22" s="673">
        <f t="shared" si="19"/>
        <v>28</v>
      </c>
      <c r="AA22" s="673">
        <f t="shared" si="19"/>
        <v>26</v>
      </c>
      <c r="AB22" s="673">
        <f t="shared" si="20"/>
        <v>41</v>
      </c>
      <c r="AC22" s="673">
        <f t="shared" si="20"/>
        <v>31</v>
      </c>
      <c r="AD22" s="673">
        <f t="shared" si="20"/>
        <v>28</v>
      </c>
      <c r="AE22" s="673">
        <f t="shared" si="20"/>
        <v>32</v>
      </c>
      <c r="AF22" s="673">
        <f t="shared" si="20"/>
        <v>24</v>
      </c>
      <c r="AG22" s="673">
        <f t="shared" si="20"/>
        <v>37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0.11475409836065573</v>
      </c>
      <c r="F23" s="683">
        <f t="shared" si="14"/>
        <v>24.826666666666668</v>
      </c>
      <c r="G23" s="675">
        <f t="shared" si="15"/>
        <v>24.333333333333332</v>
      </c>
      <c r="H23" s="675">
        <f t="shared" si="16"/>
        <v>29.166666666666668</v>
      </c>
      <c r="I23" s="675">
        <f t="shared" si="17"/>
        <v>21.333333333333332</v>
      </c>
      <c r="J23" s="675">
        <f t="shared" si="18"/>
        <v>25.4</v>
      </c>
      <c r="K23" s="673">
        <f t="shared" si="21"/>
        <v>24</v>
      </c>
      <c r="L23" s="673">
        <f t="shared" si="19"/>
        <v>27</v>
      </c>
      <c r="M23" s="673">
        <f t="shared" si="19"/>
        <v>22</v>
      </c>
      <c r="N23" s="673">
        <f t="shared" si="19"/>
        <v>19</v>
      </c>
      <c r="O23" s="673">
        <f t="shared" si="19"/>
        <v>19</v>
      </c>
      <c r="P23" s="673">
        <f t="shared" si="19"/>
        <v>35</v>
      </c>
      <c r="Q23" s="673">
        <f t="shared" si="19"/>
        <v>29</v>
      </c>
      <c r="R23" s="673">
        <f t="shared" si="19"/>
        <v>30</v>
      </c>
      <c r="S23" s="673">
        <f t="shared" si="19"/>
        <v>26</v>
      </c>
      <c r="T23" s="673">
        <f t="shared" si="19"/>
        <v>30</v>
      </c>
      <c r="U23" s="673">
        <f t="shared" si="19"/>
        <v>34</v>
      </c>
      <c r="V23" s="673">
        <f t="shared" si="19"/>
        <v>26</v>
      </c>
      <c r="W23" s="673">
        <f t="shared" si="19"/>
        <v>19</v>
      </c>
      <c r="X23" s="673">
        <f t="shared" si="19"/>
        <v>31</v>
      </c>
      <c r="Y23" s="673">
        <f t="shared" si="19"/>
        <v>22</v>
      </c>
      <c r="Z23" s="673">
        <f t="shared" si="19"/>
        <v>14</v>
      </c>
      <c r="AA23" s="673">
        <f t="shared" si="19"/>
        <v>22</v>
      </c>
      <c r="AB23" s="673">
        <f t="shared" si="20"/>
        <v>20</v>
      </c>
      <c r="AC23" s="673">
        <f t="shared" si="20"/>
        <v>29</v>
      </c>
      <c r="AD23" s="673">
        <f t="shared" si="20"/>
        <v>27</v>
      </c>
      <c r="AE23" s="673">
        <f t="shared" si="20"/>
        <v>24</v>
      </c>
      <c r="AF23" s="673">
        <f t="shared" si="20"/>
        <v>26</v>
      </c>
      <c r="AG23" s="673">
        <f t="shared" si="20"/>
        <v>21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0.1050628620732158</v>
      </c>
      <c r="F24" s="683">
        <f t="shared" si="14"/>
        <v>22.729999999999997</v>
      </c>
      <c r="G24" s="675">
        <f t="shared" si="15"/>
        <v>23.833333333333332</v>
      </c>
      <c r="H24" s="675">
        <f t="shared" si="16"/>
        <v>29.333333333333332</v>
      </c>
      <c r="I24" s="675">
        <f t="shared" si="17"/>
        <v>21.333333333333332</v>
      </c>
      <c r="J24" s="675">
        <f t="shared" si="18"/>
        <v>20.2</v>
      </c>
      <c r="K24" s="673">
        <f t="shared" si="21"/>
        <v>37</v>
      </c>
      <c r="L24" s="673">
        <f t="shared" si="19"/>
        <v>26</v>
      </c>
      <c r="M24" s="673">
        <f t="shared" si="19"/>
        <v>23</v>
      </c>
      <c r="N24" s="673">
        <f t="shared" si="19"/>
        <v>14</v>
      </c>
      <c r="O24" s="673">
        <f t="shared" si="19"/>
        <v>18</v>
      </c>
      <c r="P24" s="673">
        <f t="shared" si="19"/>
        <v>25</v>
      </c>
      <c r="Q24" s="673">
        <f t="shared" si="19"/>
        <v>22</v>
      </c>
      <c r="R24" s="673">
        <f t="shared" si="19"/>
        <v>30</v>
      </c>
      <c r="S24" s="673">
        <f t="shared" si="19"/>
        <v>15</v>
      </c>
      <c r="T24" s="673">
        <f t="shared" si="19"/>
        <v>45</v>
      </c>
      <c r="U24" s="673">
        <f t="shared" si="19"/>
        <v>32</v>
      </c>
      <c r="V24" s="673">
        <f t="shared" si="19"/>
        <v>32</v>
      </c>
      <c r="W24" s="673">
        <f t="shared" si="19"/>
        <v>24</v>
      </c>
      <c r="X24" s="673">
        <f t="shared" si="19"/>
        <v>20</v>
      </c>
      <c r="Y24" s="673">
        <f t="shared" si="19"/>
        <v>22</v>
      </c>
      <c r="Z24" s="673">
        <f t="shared" si="19"/>
        <v>17</v>
      </c>
      <c r="AA24" s="673">
        <f t="shared" si="19"/>
        <v>15</v>
      </c>
      <c r="AB24" s="673">
        <f t="shared" si="20"/>
        <v>30</v>
      </c>
      <c r="AC24" s="673">
        <f t="shared" si="20"/>
        <v>19</v>
      </c>
      <c r="AD24" s="673">
        <f t="shared" si="20"/>
        <v>16</v>
      </c>
      <c r="AE24" s="673">
        <f t="shared" si="20"/>
        <v>28</v>
      </c>
      <c r="AF24" s="673">
        <f t="shared" si="20"/>
        <v>17</v>
      </c>
      <c r="AG24" s="673">
        <f t="shared" si="20"/>
        <v>21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9.2736965364230234E-2</v>
      </c>
      <c r="F25" s="683">
        <f t="shared" si="14"/>
        <v>20.063333333333333</v>
      </c>
      <c r="G25" s="675">
        <f t="shared" si="15"/>
        <v>15</v>
      </c>
      <c r="H25" s="675">
        <f t="shared" si="16"/>
        <v>24.166666666666668</v>
      </c>
      <c r="I25" s="675">
        <f t="shared" si="17"/>
        <v>16.166666666666668</v>
      </c>
      <c r="J25" s="675">
        <f t="shared" si="18"/>
        <v>22.2</v>
      </c>
      <c r="K25" s="676">
        <f t="shared" si="21"/>
        <v>26</v>
      </c>
      <c r="L25" s="676">
        <f t="shared" si="19"/>
        <v>12</v>
      </c>
      <c r="M25" s="676">
        <f t="shared" si="19"/>
        <v>14</v>
      </c>
      <c r="N25" s="676">
        <f t="shared" si="19"/>
        <v>8</v>
      </c>
      <c r="O25" s="676">
        <f t="shared" si="19"/>
        <v>17</v>
      </c>
      <c r="P25" s="676">
        <f t="shared" si="19"/>
        <v>13</v>
      </c>
      <c r="Q25" s="676">
        <f t="shared" si="19"/>
        <v>22</v>
      </c>
      <c r="R25" s="676">
        <f t="shared" si="19"/>
        <v>20</v>
      </c>
      <c r="S25" s="676">
        <f t="shared" si="19"/>
        <v>18</v>
      </c>
      <c r="T25" s="676">
        <f t="shared" si="19"/>
        <v>27</v>
      </c>
      <c r="U25" s="676">
        <f t="shared" si="19"/>
        <v>34</v>
      </c>
      <c r="V25" s="676">
        <f t="shared" si="19"/>
        <v>24</v>
      </c>
      <c r="W25" s="676">
        <f t="shared" si="19"/>
        <v>19</v>
      </c>
      <c r="X25" s="676">
        <f t="shared" si="19"/>
        <v>15</v>
      </c>
      <c r="Y25" s="676">
        <f t="shared" si="19"/>
        <v>18</v>
      </c>
      <c r="Z25" s="676">
        <f t="shared" si="19"/>
        <v>17</v>
      </c>
      <c r="AA25" s="676">
        <f t="shared" si="19"/>
        <v>16</v>
      </c>
      <c r="AB25" s="676">
        <f t="shared" si="20"/>
        <v>12</v>
      </c>
      <c r="AC25" s="676">
        <f t="shared" si="20"/>
        <v>14</v>
      </c>
      <c r="AD25" s="676">
        <f t="shared" si="20"/>
        <v>17</v>
      </c>
      <c r="AE25" s="676">
        <f t="shared" si="20"/>
        <v>29</v>
      </c>
      <c r="AF25" s="676">
        <f t="shared" si="20"/>
        <v>23</v>
      </c>
      <c r="AG25" s="676">
        <f t="shared" si="20"/>
        <v>28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216.34666666666664</v>
      </c>
      <c r="G30" s="678">
        <f>SUM(G31:G86)</f>
        <v>184.33333333333331</v>
      </c>
      <c r="H30" s="678">
        <f t="shared" ref="H30:J30" si="22">SUM(H31:H86)</f>
        <v>241.16666666666663</v>
      </c>
      <c r="I30" s="678">
        <f t="shared" si="22"/>
        <v>225.33333333333334</v>
      </c>
      <c r="J30" s="678">
        <f t="shared" si="22"/>
        <v>205.20000000000005</v>
      </c>
      <c r="K30" s="671">
        <f>SUM(K31:K86)</f>
        <v>210</v>
      </c>
      <c r="L30" s="671">
        <f t="shared" ref="L30:AH30" si="23">SUM(L31:L86)</f>
        <v>173</v>
      </c>
      <c r="M30" s="671">
        <f t="shared" si="23"/>
        <v>203</v>
      </c>
      <c r="N30" s="671">
        <f t="shared" si="23"/>
        <v>175</v>
      </c>
      <c r="O30" s="671">
        <f t="shared" si="23"/>
        <v>176</v>
      </c>
      <c r="P30" s="671">
        <f t="shared" si="23"/>
        <v>169</v>
      </c>
      <c r="Q30" s="671">
        <f t="shared" si="23"/>
        <v>219</v>
      </c>
      <c r="R30" s="671">
        <f t="shared" si="23"/>
        <v>224</v>
      </c>
      <c r="S30" s="671">
        <f t="shared" si="23"/>
        <v>199</v>
      </c>
      <c r="T30" s="671">
        <f t="shared" si="23"/>
        <v>296</v>
      </c>
      <c r="U30" s="671">
        <f t="shared" si="23"/>
        <v>268</v>
      </c>
      <c r="V30" s="671">
        <f t="shared" si="23"/>
        <v>241</v>
      </c>
      <c r="W30" s="671">
        <f t="shared" si="23"/>
        <v>220</v>
      </c>
      <c r="X30" s="671">
        <f t="shared" si="23"/>
        <v>233</v>
      </c>
      <c r="Y30" s="671">
        <f t="shared" si="23"/>
        <v>234</v>
      </c>
      <c r="Z30" s="671">
        <f t="shared" si="23"/>
        <v>201</v>
      </c>
      <c r="AA30" s="671">
        <f t="shared" si="23"/>
        <v>220</v>
      </c>
      <c r="AB30" s="671">
        <f t="shared" si="23"/>
        <v>244</v>
      </c>
      <c r="AC30" s="671">
        <f t="shared" si="23"/>
        <v>213</v>
      </c>
      <c r="AD30" s="671">
        <f t="shared" si="23"/>
        <v>176</v>
      </c>
      <c r="AE30" s="671">
        <f t="shared" si="23"/>
        <v>207</v>
      </c>
      <c r="AF30" s="671">
        <f t="shared" si="23"/>
        <v>201</v>
      </c>
      <c r="AG30" s="671">
        <f t="shared" si="23"/>
        <v>229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0.13116914230953519</v>
      </c>
      <c r="F31" s="680">
        <f>G31*10%+H31*20%+I31*30%+J31*40%</f>
        <v>3.6499999999999995</v>
      </c>
      <c r="G31" s="680">
        <f>AVERAGE(K31:P31)</f>
        <v>3.3333333333333335</v>
      </c>
      <c r="H31" s="679">
        <f>AVERAGE(Q31:V31)</f>
        <v>5.333333333333333</v>
      </c>
      <c r="I31" s="679">
        <f>AVERAGE(W31:AB31)</f>
        <v>4.833333333333333</v>
      </c>
      <c r="J31" s="679">
        <f>AVERAGE(AC31:AG31)</f>
        <v>2</v>
      </c>
      <c r="K31" s="673">
        <v>3</v>
      </c>
      <c r="L31" s="673">
        <v>4</v>
      </c>
      <c r="M31" s="673">
        <v>4</v>
      </c>
      <c r="N31" s="673">
        <v>4</v>
      </c>
      <c r="O31" s="673">
        <v>4</v>
      </c>
      <c r="P31" s="673">
        <v>1</v>
      </c>
      <c r="Q31" s="673">
        <v>2</v>
      </c>
      <c r="R31" s="673">
        <v>8</v>
      </c>
      <c r="S31" s="673">
        <v>9</v>
      </c>
      <c r="T31" s="673">
        <v>6</v>
      </c>
      <c r="U31" s="673">
        <v>4</v>
      </c>
      <c r="V31" s="665">
        <v>3</v>
      </c>
      <c r="W31" s="665">
        <v>6</v>
      </c>
      <c r="X31" s="665">
        <v>7</v>
      </c>
      <c r="Y31" s="665">
        <v>3</v>
      </c>
      <c r="Z31" s="665">
        <v>5</v>
      </c>
      <c r="AA31" s="665">
        <v>4</v>
      </c>
      <c r="AB31" s="665">
        <v>4</v>
      </c>
      <c r="AC31" s="665">
        <v>4</v>
      </c>
      <c r="AD31" s="665">
        <v>4</v>
      </c>
      <c r="AE31" s="665">
        <v>0</v>
      </c>
      <c r="AF31" s="665">
        <v>0</v>
      </c>
      <c r="AG31" s="665">
        <v>2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7.2113080977479635E-2</v>
      </c>
      <c r="F32" s="680">
        <f t="shared" ref="F32:F86" si="25">G32*10%+H32*20%+I32*30%+J32*40%</f>
        <v>2.0066666666666668</v>
      </c>
      <c r="G32" s="680">
        <f t="shared" ref="G32:G86" si="26">AVERAGE(K32:P32)</f>
        <v>1.6666666666666667</v>
      </c>
      <c r="H32" s="679">
        <f t="shared" ref="H32:H86" si="27">AVERAGE(Q32:V32)</f>
        <v>2</v>
      </c>
      <c r="I32" s="679">
        <f t="shared" ref="I32:I86" si="28">AVERAGE(W32:AB32)</f>
        <v>2.6666666666666665</v>
      </c>
      <c r="J32" s="679">
        <f t="shared" ref="J32:J86" si="29">AVERAGE(AC32:AG32)</f>
        <v>1.6</v>
      </c>
      <c r="K32" s="673">
        <v>4</v>
      </c>
      <c r="L32" s="673">
        <v>1</v>
      </c>
      <c r="M32" s="673">
        <v>1</v>
      </c>
      <c r="N32" s="673">
        <v>0</v>
      </c>
      <c r="O32" s="673">
        <v>1</v>
      </c>
      <c r="P32" s="673">
        <v>3</v>
      </c>
      <c r="Q32" s="673">
        <v>1</v>
      </c>
      <c r="R32" s="673">
        <v>3</v>
      </c>
      <c r="S32" s="673">
        <v>3</v>
      </c>
      <c r="T32" s="673">
        <v>0</v>
      </c>
      <c r="U32" s="673">
        <v>2</v>
      </c>
      <c r="V32" s="665">
        <v>3</v>
      </c>
      <c r="W32" s="665">
        <v>1</v>
      </c>
      <c r="X32" s="665">
        <v>3</v>
      </c>
      <c r="Y32" s="665">
        <v>1</v>
      </c>
      <c r="Z32" s="665">
        <v>3</v>
      </c>
      <c r="AA32" s="665">
        <v>3</v>
      </c>
      <c r="AB32" s="665">
        <v>5</v>
      </c>
      <c r="AC32" s="665">
        <v>3</v>
      </c>
      <c r="AD32" s="665">
        <v>2</v>
      </c>
      <c r="AE32" s="665">
        <v>1</v>
      </c>
      <c r="AF32" s="665">
        <v>1</v>
      </c>
      <c r="AG32" s="665">
        <v>1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0.15069477719214183</v>
      </c>
      <c r="F33" s="680">
        <f t="shared" si="25"/>
        <v>4.1933333333333334</v>
      </c>
      <c r="G33" s="680">
        <f t="shared" si="26"/>
        <v>4.5</v>
      </c>
      <c r="H33" s="679">
        <f t="shared" si="27"/>
        <v>3.6666666666666665</v>
      </c>
      <c r="I33" s="679">
        <f t="shared" si="28"/>
        <v>6.833333333333333</v>
      </c>
      <c r="J33" s="679">
        <f t="shared" si="29"/>
        <v>2.4</v>
      </c>
      <c r="K33" s="673">
        <v>4</v>
      </c>
      <c r="L33" s="673">
        <v>5</v>
      </c>
      <c r="M33" s="673">
        <v>6</v>
      </c>
      <c r="N33" s="673">
        <v>4</v>
      </c>
      <c r="O33" s="673">
        <v>4</v>
      </c>
      <c r="P33" s="673">
        <v>4</v>
      </c>
      <c r="Q33" s="673">
        <v>2</v>
      </c>
      <c r="R33" s="673">
        <v>7</v>
      </c>
      <c r="S33" s="673">
        <v>2</v>
      </c>
      <c r="T33" s="673">
        <v>4</v>
      </c>
      <c r="U33" s="673">
        <v>2</v>
      </c>
      <c r="V33" s="665">
        <v>5</v>
      </c>
      <c r="W33" s="665">
        <v>8</v>
      </c>
      <c r="X33" s="665">
        <v>3</v>
      </c>
      <c r="Y33" s="665">
        <v>9</v>
      </c>
      <c r="Z33" s="665">
        <v>5</v>
      </c>
      <c r="AA33" s="665">
        <v>12</v>
      </c>
      <c r="AB33" s="665">
        <v>4</v>
      </c>
      <c r="AC33" s="665">
        <v>0</v>
      </c>
      <c r="AD33" s="665">
        <v>3</v>
      </c>
      <c r="AE33" s="665">
        <v>2</v>
      </c>
      <c r="AF33" s="665">
        <v>2</v>
      </c>
      <c r="AG33" s="665">
        <v>5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0.13248682319118352</v>
      </c>
      <c r="F34" s="680">
        <f t="shared" si="25"/>
        <v>3.686666666666667</v>
      </c>
      <c r="G34" s="680">
        <f t="shared" si="26"/>
        <v>2.5</v>
      </c>
      <c r="H34" s="679">
        <f t="shared" si="27"/>
        <v>3.3333333333333335</v>
      </c>
      <c r="I34" s="679">
        <f t="shared" si="28"/>
        <v>6.833333333333333</v>
      </c>
      <c r="J34" s="679">
        <f t="shared" si="29"/>
        <v>1.8</v>
      </c>
      <c r="K34" s="673">
        <v>3</v>
      </c>
      <c r="L34" s="673">
        <v>3</v>
      </c>
      <c r="M34" s="673">
        <v>4</v>
      </c>
      <c r="N34" s="673">
        <v>2</v>
      </c>
      <c r="O34" s="673">
        <v>2</v>
      </c>
      <c r="P34" s="673">
        <v>1</v>
      </c>
      <c r="Q34" s="673">
        <v>3</v>
      </c>
      <c r="R34" s="673">
        <v>2</v>
      </c>
      <c r="S34" s="673">
        <v>4</v>
      </c>
      <c r="T34" s="673">
        <v>4</v>
      </c>
      <c r="U34" s="673">
        <v>3</v>
      </c>
      <c r="V34" s="665">
        <v>4</v>
      </c>
      <c r="W34" s="665">
        <v>7</v>
      </c>
      <c r="X34" s="665">
        <v>6</v>
      </c>
      <c r="Y34" s="665">
        <v>10</v>
      </c>
      <c r="Z34" s="665">
        <v>8</v>
      </c>
      <c r="AA34" s="665">
        <v>6</v>
      </c>
      <c r="AB34" s="665">
        <v>4</v>
      </c>
      <c r="AC34" s="665">
        <v>2</v>
      </c>
      <c r="AD34" s="665">
        <v>1</v>
      </c>
      <c r="AE34" s="665">
        <v>1</v>
      </c>
      <c r="AF34" s="665">
        <v>2</v>
      </c>
      <c r="AG34" s="665">
        <v>3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9.786775275515093E-2</v>
      </c>
      <c r="F35" s="680">
        <f t="shared" si="25"/>
        <v>2.7233333333333332</v>
      </c>
      <c r="G35" s="680">
        <f t="shared" si="26"/>
        <v>2.1666666666666665</v>
      </c>
      <c r="H35" s="679">
        <f t="shared" si="27"/>
        <v>2.8333333333333335</v>
      </c>
      <c r="I35" s="679">
        <f t="shared" si="28"/>
        <v>4.333333333333333</v>
      </c>
      <c r="J35" s="679">
        <f t="shared" si="29"/>
        <v>1.6</v>
      </c>
      <c r="K35" s="673">
        <v>2</v>
      </c>
      <c r="L35" s="673">
        <v>2</v>
      </c>
      <c r="M35" s="673">
        <v>2</v>
      </c>
      <c r="N35" s="673">
        <v>5</v>
      </c>
      <c r="O35" s="673">
        <v>1</v>
      </c>
      <c r="P35" s="673">
        <v>1</v>
      </c>
      <c r="Q35" s="673">
        <v>4</v>
      </c>
      <c r="R35" s="673">
        <v>3</v>
      </c>
      <c r="S35" s="673">
        <v>1</v>
      </c>
      <c r="T35" s="673">
        <v>3</v>
      </c>
      <c r="U35" s="673">
        <v>3</v>
      </c>
      <c r="V35" s="665">
        <v>3</v>
      </c>
      <c r="W35" s="665">
        <v>4</v>
      </c>
      <c r="X35" s="665">
        <v>6</v>
      </c>
      <c r="Y35" s="665">
        <v>4</v>
      </c>
      <c r="Z35" s="665">
        <v>2</v>
      </c>
      <c r="AA35" s="665">
        <v>5</v>
      </c>
      <c r="AB35" s="665">
        <v>5</v>
      </c>
      <c r="AC35" s="665">
        <v>2</v>
      </c>
      <c r="AD35" s="665">
        <v>2</v>
      </c>
      <c r="AE35" s="665">
        <v>3</v>
      </c>
      <c r="AF35" s="665">
        <v>0</v>
      </c>
      <c r="AG35" s="665">
        <v>1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0.15788212745567801</v>
      </c>
      <c r="F36" s="680">
        <f t="shared" si="25"/>
        <v>4.3933333333333335</v>
      </c>
      <c r="G36" s="680">
        <f t="shared" si="26"/>
        <v>3</v>
      </c>
      <c r="H36" s="679">
        <f t="shared" si="27"/>
        <v>6.166666666666667</v>
      </c>
      <c r="I36" s="679">
        <f t="shared" si="28"/>
        <v>5</v>
      </c>
      <c r="J36" s="679">
        <f t="shared" si="29"/>
        <v>3.4</v>
      </c>
      <c r="K36" s="673">
        <v>3</v>
      </c>
      <c r="L36" s="673">
        <v>3</v>
      </c>
      <c r="M36" s="673">
        <v>3</v>
      </c>
      <c r="N36" s="673">
        <v>3</v>
      </c>
      <c r="O36" s="673">
        <v>3</v>
      </c>
      <c r="P36" s="673">
        <v>3</v>
      </c>
      <c r="Q36" s="673">
        <v>11</v>
      </c>
      <c r="R36" s="673">
        <v>2</v>
      </c>
      <c r="S36" s="673">
        <v>6</v>
      </c>
      <c r="T36" s="673">
        <v>5</v>
      </c>
      <c r="U36" s="673">
        <v>5</v>
      </c>
      <c r="V36" s="665">
        <v>8</v>
      </c>
      <c r="W36" s="665">
        <v>6</v>
      </c>
      <c r="X36" s="665">
        <v>7</v>
      </c>
      <c r="Y36" s="665">
        <v>5</v>
      </c>
      <c r="Z36" s="665">
        <v>6</v>
      </c>
      <c r="AA36" s="665">
        <v>4</v>
      </c>
      <c r="AB36" s="665">
        <v>2</v>
      </c>
      <c r="AC36" s="665">
        <v>9</v>
      </c>
      <c r="AD36" s="665">
        <v>1</v>
      </c>
      <c r="AE36" s="665">
        <v>4</v>
      </c>
      <c r="AF36" s="665">
        <v>1</v>
      </c>
      <c r="AG36" s="665">
        <v>2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0.10493531384762818</v>
      </c>
      <c r="F37" s="680">
        <f t="shared" si="25"/>
        <v>2.9200000000000004</v>
      </c>
      <c r="G37" s="680">
        <f t="shared" si="26"/>
        <v>3.5</v>
      </c>
      <c r="H37" s="679">
        <f t="shared" si="27"/>
        <v>4</v>
      </c>
      <c r="I37" s="679">
        <f t="shared" si="28"/>
        <v>3.5</v>
      </c>
      <c r="J37" s="679">
        <f t="shared" si="29"/>
        <v>1.8</v>
      </c>
      <c r="K37" s="673">
        <v>7</v>
      </c>
      <c r="L37" s="673">
        <v>2</v>
      </c>
      <c r="M37" s="673">
        <v>5</v>
      </c>
      <c r="N37" s="673">
        <v>4</v>
      </c>
      <c r="O37" s="673">
        <v>1</v>
      </c>
      <c r="P37" s="673">
        <v>2</v>
      </c>
      <c r="Q37" s="673">
        <v>2</v>
      </c>
      <c r="R37" s="673">
        <v>4</v>
      </c>
      <c r="S37" s="673">
        <v>4</v>
      </c>
      <c r="T37" s="673">
        <v>3</v>
      </c>
      <c r="U37" s="673">
        <v>5</v>
      </c>
      <c r="V37" s="665">
        <v>6</v>
      </c>
      <c r="W37" s="665">
        <v>3</v>
      </c>
      <c r="X37" s="665">
        <v>3</v>
      </c>
      <c r="Y37" s="665">
        <v>4</v>
      </c>
      <c r="Z37" s="665">
        <v>5</v>
      </c>
      <c r="AA37" s="665">
        <v>4</v>
      </c>
      <c r="AB37" s="665">
        <v>2</v>
      </c>
      <c r="AC37" s="665">
        <v>2</v>
      </c>
      <c r="AD37" s="665">
        <v>2</v>
      </c>
      <c r="AE37" s="665">
        <v>2</v>
      </c>
      <c r="AF37" s="665">
        <v>1</v>
      </c>
      <c r="AG37" s="665">
        <v>2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0.1528509822712027</v>
      </c>
      <c r="F38" s="680">
        <f t="shared" si="25"/>
        <v>4.2533333333333339</v>
      </c>
      <c r="G38" s="680">
        <f t="shared" si="26"/>
        <v>3.6666666666666665</v>
      </c>
      <c r="H38" s="679">
        <f t="shared" si="27"/>
        <v>6.833333333333333</v>
      </c>
      <c r="I38" s="679">
        <f t="shared" si="28"/>
        <v>3.3333333333333335</v>
      </c>
      <c r="J38" s="679">
        <f t="shared" si="29"/>
        <v>3.8</v>
      </c>
      <c r="K38" s="673">
        <v>4</v>
      </c>
      <c r="L38" s="673">
        <v>2</v>
      </c>
      <c r="M38" s="673">
        <v>9</v>
      </c>
      <c r="N38" s="673">
        <v>1</v>
      </c>
      <c r="O38" s="673">
        <v>4</v>
      </c>
      <c r="P38" s="673">
        <v>2</v>
      </c>
      <c r="Q38" s="673">
        <v>6</v>
      </c>
      <c r="R38" s="673">
        <v>5</v>
      </c>
      <c r="S38" s="673">
        <v>5</v>
      </c>
      <c r="T38" s="673">
        <v>5</v>
      </c>
      <c r="U38" s="673">
        <v>8</v>
      </c>
      <c r="V38" s="665">
        <v>12</v>
      </c>
      <c r="W38" s="665">
        <v>4</v>
      </c>
      <c r="X38" s="665">
        <v>2</v>
      </c>
      <c r="Y38" s="665">
        <v>5</v>
      </c>
      <c r="Z38" s="665">
        <v>3</v>
      </c>
      <c r="AA38" s="665">
        <v>4</v>
      </c>
      <c r="AB38" s="665">
        <v>2</v>
      </c>
      <c r="AC38" s="665">
        <v>5</v>
      </c>
      <c r="AD38" s="665">
        <v>0</v>
      </c>
      <c r="AE38" s="665">
        <v>5</v>
      </c>
      <c r="AF38" s="665">
        <v>4</v>
      </c>
      <c r="AG38" s="665">
        <v>5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0.38822403063666822</v>
      </c>
      <c r="F39" s="680">
        <f t="shared" si="25"/>
        <v>2.7033333333333331</v>
      </c>
      <c r="G39" s="680">
        <f t="shared" si="26"/>
        <v>2.3333333333333335</v>
      </c>
      <c r="H39" s="679">
        <f t="shared" si="27"/>
        <v>2.5</v>
      </c>
      <c r="I39" s="679">
        <f t="shared" si="28"/>
        <v>2.8333333333333335</v>
      </c>
      <c r="J39" s="679">
        <f t="shared" si="29"/>
        <v>2.8</v>
      </c>
      <c r="K39" s="673">
        <v>1</v>
      </c>
      <c r="L39" s="673">
        <v>7</v>
      </c>
      <c r="M39" s="673">
        <v>1</v>
      </c>
      <c r="N39" s="673">
        <v>2</v>
      </c>
      <c r="O39" s="673">
        <v>2</v>
      </c>
      <c r="P39" s="673">
        <v>1</v>
      </c>
      <c r="Q39" s="673">
        <v>2</v>
      </c>
      <c r="R39" s="673">
        <v>0</v>
      </c>
      <c r="S39" s="673">
        <v>2</v>
      </c>
      <c r="T39" s="673">
        <v>6</v>
      </c>
      <c r="U39" s="673">
        <v>2</v>
      </c>
      <c r="V39" s="665">
        <v>3</v>
      </c>
      <c r="W39" s="665">
        <v>4</v>
      </c>
      <c r="X39" s="665">
        <v>3</v>
      </c>
      <c r="Y39" s="665">
        <v>2</v>
      </c>
      <c r="Z39" s="665">
        <v>5</v>
      </c>
      <c r="AA39" s="665">
        <v>1</v>
      </c>
      <c r="AB39" s="665">
        <v>2</v>
      </c>
      <c r="AC39" s="665">
        <v>5</v>
      </c>
      <c r="AD39" s="665">
        <v>2</v>
      </c>
      <c r="AE39" s="665">
        <v>1</v>
      </c>
      <c r="AF39" s="665">
        <v>3</v>
      </c>
      <c r="AG39" s="665">
        <v>3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0.37960746768788894</v>
      </c>
      <c r="F40" s="680">
        <f t="shared" si="25"/>
        <v>2.6433333333333335</v>
      </c>
      <c r="G40" s="680">
        <f t="shared" si="26"/>
        <v>1.5</v>
      </c>
      <c r="H40" s="679">
        <f t="shared" si="27"/>
        <v>5.166666666666667</v>
      </c>
      <c r="I40" s="679">
        <f t="shared" si="28"/>
        <v>3</v>
      </c>
      <c r="J40" s="679">
        <f t="shared" si="29"/>
        <v>1.4</v>
      </c>
      <c r="K40" s="673">
        <v>1</v>
      </c>
      <c r="L40" s="673">
        <v>0</v>
      </c>
      <c r="M40" s="673">
        <v>1</v>
      </c>
      <c r="N40" s="673">
        <v>4</v>
      </c>
      <c r="O40" s="673">
        <v>3</v>
      </c>
      <c r="P40" s="673">
        <v>0</v>
      </c>
      <c r="Q40" s="673">
        <v>1</v>
      </c>
      <c r="R40" s="673">
        <v>1</v>
      </c>
      <c r="S40" s="673">
        <v>5</v>
      </c>
      <c r="T40" s="673">
        <v>10</v>
      </c>
      <c r="U40" s="673">
        <v>8</v>
      </c>
      <c r="V40" s="665">
        <v>6</v>
      </c>
      <c r="W40" s="665">
        <v>3</v>
      </c>
      <c r="X40" s="665">
        <v>4</v>
      </c>
      <c r="Y40" s="665">
        <v>2</v>
      </c>
      <c r="Z40" s="665">
        <v>3</v>
      </c>
      <c r="AA40" s="665">
        <v>3</v>
      </c>
      <c r="AB40" s="665">
        <v>3</v>
      </c>
      <c r="AC40" s="665">
        <v>2</v>
      </c>
      <c r="AD40" s="665">
        <v>3</v>
      </c>
      <c r="AE40" s="665">
        <v>1</v>
      </c>
      <c r="AF40" s="665">
        <v>0</v>
      </c>
      <c r="AG40" s="665">
        <v>1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0.23216850167544278</v>
      </c>
      <c r="F41" s="680">
        <f t="shared" si="25"/>
        <v>1.6166666666666667</v>
      </c>
      <c r="G41" s="680">
        <f t="shared" si="26"/>
        <v>1.3333333333333333</v>
      </c>
      <c r="H41" s="679">
        <f t="shared" si="27"/>
        <v>1.1666666666666667</v>
      </c>
      <c r="I41" s="679">
        <f t="shared" si="28"/>
        <v>1.5</v>
      </c>
      <c r="J41" s="679">
        <f t="shared" si="29"/>
        <v>2</v>
      </c>
      <c r="K41" s="673">
        <v>1</v>
      </c>
      <c r="L41" s="673">
        <v>3</v>
      </c>
      <c r="M41" s="673">
        <v>1</v>
      </c>
      <c r="N41" s="673">
        <v>0</v>
      </c>
      <c r="O41" s="673">
        <v>1</v>
      </c>
      <c r="P41" s="673">
        <v>2</v>
      </c>
      <c r="Q41" s="673">
        <v>1</v>
      </c>
      <c r="R41" s="673">
        <v>0</v>
      </c>
      <c r="S41" s="673">
        <v>3</v>
      </c>
      <c r="T41" s="673">
        <v>1</v>
      </c>
      <c r="U41" s="673">
        <v>1</v>
      </c>
      <c r="V41" s="665">
        <v>1</v>
      </c>
      <c r="W41" s="665">
        <v>3</v>
      </c>
      <c r="X41" s="665">
        <v>3</v>
      </c>
      <c r="Y41" s="665">
        <v>1</v>
      </c>
      <c r="Z41" s="665">
        <v>2</v>
      </c>
      <c r="AA41" s="665">
        <v>0</v>
      </c>
      <c r="AB41" s="665">
        <v>0</v>
      </c>
      <c r="AC41" s="665">
        <v>1</v>
      </c>
      <c r="AD41" s="665">
        <v>3</v>
      </c>
      <c r="AE41" s="665">
        <v>1</v>
      </c>
      <c r="AF41" s="665">
        <v>4</v>
      </c>
      <c r="AG41" s="665">
        <v>1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0.12964788101424604</v>
      </c>
      <c r="F42" s="680">
        <f t="shared" si="25"/>
        <v>4.8233333333333333</v>
      </c>
      <c r="G42" s="680">
        <f t="shared" si="26"/>
        <v>3.1666666666666665</v>
      </c>
      <c r="H42" s="679">
        <f t="shared" si="27"/>
        <v>4.333333333333333</v>
      </c>
      <c r="I42" s="679">
        <f t="shared" si="28"/>
        <v>4.666666666666667</v>
      </c>
      <c r="J42" s="679">
        <f t="shared" si="29"/>
        <v>5.6</v>
      </c>
      <c r="K42" s="673">
        <v>1</v>
      </c>
      <c r="L42" s="673">
        <v>2</v>
      </c>
      <c r="M42" s="673">
        <v>2</v>
      </c>
      <c r="N42" s="673">
        <v>3</v>
      </c>
      <c r="O42" s="673">
        <v>6</v>
      </c>
      <c r="P42" s="673">
        <v>5</v>
      </c>
      <c r="Q42" s="673">
        <v>6</v>
      </c>
      <c r="R42" s="673">
        <v>5</v>
      </c>
      <c r="S42" s="673">
        <v>2</v>
      </c>
      <c r="T42" s="673">
        <v>5</v>
      </c>
      <c r="U42" s="673">
        <v>2</v>
      </c>
      <c r="V42" s="665">
        <v>6</v>
      </c>
      <c r="W42" s="665">
        <v>8</v>
      </c>
      <c r="X42" s="665">
        <v>6</v>
      </c>
      <c r="Y42" s="665">
        <v>4</v>
      </c>
      <c r="Z42" s="665">
        <v>3</v>
      </c>
      <c r="AA42" s="665">
        <v>2</v>
      </c>
      <c r="AB42" s="665">
        <v>5</v>
      </c>
      <c r="AC42" s="665">
        <v>5</v>
      </c>
      <c r="AD42" s="665">
        <v>5</v>
      </c>
      <c r="AE42" s="665">
        <v>5</v>
      </c>
      <c r="AF42" s="665">
        <v>5</v>
      </c>
      <c r="AG42" s="665">
        <v>8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4.5246841680852974E-2</v>
      </c>
      <c r="F43" s="680">
        <f t="shared" si="25"/>
        <v>1.6833333333333333</v>
      </c>
      <c r="G43" s="680">
        <f t="shared" si="26"/>
        <v>1</v>
      </c>
      <c r="H43" s="679">
        <f t="shared" si="27"/>
        <v>1.6666666666666667</v>
      </c>
      <c r="I43" s="679">
        <f t="shared" si="28"/>
        <v>1.5</v>
      </c>
      <c r="J43" s="679">
        <f t="shared" si="29"/>
        <v>2</v>
      </c>
      <c r="K43" s="673">
        <v>1</v>
      </c>
      <c r="L43" s="673">
        <v>1</v>
      </c>
      <c r="M43" s="673">
        <v>0</v>
      </c>
      <c r="N43" s="673">
        <v>1</v>
      </c>
      <c r="O43" s="673">
        <v>2</v>
      </c>
      <c r="P43" s="673">
        <v>1</v>
      </c>
      <c r="Q43" s="673">
        <v>1</v>
      </c>
      <c r="R43" s="673">
        <v>3</v>
      </c>
      <c r="S43" s="673">
        <v>1</v>
      </c>
      <c r="T43" s="673">
        <v>2</v>
      </c>
      <c r="U43" s="673">
        <v>2</v>
      </c>
      <c r="V43" s="665">
        <v>1</v>
      </c>
      <c r="W43" s="665">
        <v>4</v>
      </c>
      <c r="X43" s="665">
        <v>1</v>
      </c>
      <c r="Y43" s="665">
        <v>1</v>
      </c>
      <c r="Z43" s="665">
        <v>1</v>
      </c>
      <c r="AA43" s="665">
        <v>1</v>
      </c>
      <c r="AB43" s="665">
        <v>1</v>
      </c>
      <c r="AC43" s="665">
        <v>4</v>
      </c>
      <c r="AD43" s="665">
        <v>1</v>
      </c>
      <c r="AE43" s="665">
        <v>2</v>
      </c>
      <c r="AF43" s="665">
        <v>0</v>
      </c>
      <c r="AG43" s="665">
        <v>3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0.12158408744736135</v>
      </c>
      <c r="F44" s="680">
        <f t="shared" si="25"/>
        <v>4.5233333333333334</v>
      </c>
      <c r="G44" s="680">
        <f t="shared" si="26"/>
        <v>4.5</v>
      </c>
      <c r="H44" s="679">
        <f t="shared" si="27"/>
        <v>4.666666666666667</v>
      </c>
      <c r="I44" s="679">
        <f t="shared" si="28"/>
        <v>4.333333333333333</v>
      </c>
      <c r="J44" s="679">
        <f t="shared" si="29"/>
        <v>4.5999999999999996</v>
      </c>
      <c r="K44" s="673">
        <v>5</v>
      </c>
      <c r="L44" s="673">
        <v>6</v>
      </c>
      <c r="M44" s="673">
        <v>5</v>
      </c>
      <c r="N44" s="673">
        <v>4</v>
      </c>
      <c r="O44" s="673">
        <v>6</v>
      </c>
      <c r="P44" s="673">
        <v>1</v>
      </c>
      <c r="Q44" s="673">
        <v>5</v>
      </c>
      <c r="R44" s="673">
        <v>5</v>
      </c>
      <c r="S44" s="673">
        <v>5</v>
      </c>
      <c r="T44" s="673">
        <v>6</v>
      </c>
      <c r="U44" s="673">
        <v>3</v>
      </c>
      <c r="V44" s="665">
        <v>4</v>
      </c>
      <c r="W44" s="665">
        <v>3</v>
      </c>
      <c r="X44" s="665">
        <v>2</v>
      </c>
      <c r="Y44" s="665">
        <v>7</v>
      </c>
      <c r="Z44" s="665">
        <v>1</v>
      </c>
      <c r="AA44" s="665">
        <v>6</v>
      </c>
      <c r="AB44" s="665">
        <v>7</v>
      </c>
      <c r="AC44" s="665">
        <v>6</v>
      </c>
      <c r="AD44" s="665">
        <v>3</v>
      </c>
      <c r="AE44" s="665">
        <v>2</v>
      </c>
      <c r="AF44" s="665">
        <v>5</v>
      </c>
      <c r="AG44" s="665">
        <v>7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0.14550667502911926</v>
      </c>
      <c r="F45" s="680">
        <f t="shared" si="25"/>
        <v>5.413333333333334</v>
      </c>
      <c r="G45" s="680">
        <f t="shared" si="26"/>
        <v>5.833333333333333</v>
      </c>
      <c r="H45" s="679">
        <f t="shared" si="27"/>
        <v>6</v>
      </c>
      <c r="I45" s="679">
        <f t="shared" si="28"/>
        <v>5.166666666666667</v>
      </c>
      <c r="J45" s="679">
        <f t="shared" si="29"/>
        <v>5.2</v>
      </c>
      <c r="K45" s="673">
        <v>2</v>
      </c>
      <c r="L45" s="673">
        <v>6</v>
      </c>
      <c r="M45" s="673">
        <v>10</v>
      </c>
      <c r="N45" s="673">
        <v>5</v>
      </c>
      <c r="O45" s="673">
        <v>4</v>
      </c>
      <c r="P45" s="673">
        <v>8</v>
      </c>
      <c r="Q45" s="673">
        <v>7</v>
      </c>
      <c r="R45" s="673">
        <v>6</v>
      </c>
      <c r="S45" s="673">
        <v>3</v>
      </c>
      <c r="T45" s="673">
        <v>7</v>
      </c>
      <c r="U45" s="673">
        <v>8</v>
      </c>
      <c r="V45" s="665">
        <v>5</v>
      </c>
      <c r="W45" s="665">
        <v>2</v>
      </c>
      <c r="X45" s="665">
        <v>4</v>
      </c>
      <c r="Y45" s="665">
        <v>3</v>
      </c>
      <c r="Z45" s="665">
        <v>7</v>
      </c>
      <c r="AA45" s="665">
        <v>8</v>
      </c>
      <c r="AB45" s="665">
        <v>7</v>
      </c>
      <c r="AC45" s="665">
        <v>4</v>
      </c>
      <c r="AD45" s="665">
        <v>6</v>
      </c>
      <c r="AE45" s="665">
        <v>4</v>
      </c>
      <c r="AF45" s="665">
        <v>6</v>
      </c>
      <c r="AG45" s="665">
        <v>6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0.10008063793566885</v>
      </c>
      <c r="F46" s="680">
        <f t="shared" si="25"/>
        <v>3.7233333333333336</v>
      </c>
      <c r="G46" s="680">
        <f t="shared" si="26"/>
        <v>5.166666666666667</v>
      </c>
      <c r="H46" s="679">
        <f t="shared" si="27"/>
        <v>3.3333333333333335</v>
      </c>
      <c r="I46" s="679">
        <f t="shared" si="28"/>
        <v>3.6666666666666665</v>
      </c>
      <c r="J46" s="679">
        <f t="shared" si="29"/>
        <v>3.6</v>
      </c>
      <c r="K46" s="673">
        <v>7</v>
      </c>
      <c r="L46" s="673">
        <v>7</v>
      </c>
      <c r="M46" s="673">
        <v>5</v>
      </c>
      <c r="N46" s="673">
        <v>6</v>
      </c>
      <c r="O46" s="673">
        <v>3</v>
      </c>
      <c r="P46" s="673">
        <v>3</v>
      </c>
      <c r="Q46" s="673">
        <v>7</v>
      </c>
      <c r="R46" s="673">
        <v>1</v>
      </c>
      <c r="S46" s="673">
        <v>2</v>
      </c>
      <c r="T46" s="673">
        <v>3</v>
      </c>
      <c r="U46" s="673">
        <v>6</v>
      </c>
      <c r="V46" s="665">
        <v>1</v>
      </c>
      <c r="W46" s="665">
        <v>4</v>
      </c>
      <c r="X46" s="665">
        <v>4</v>
      </c>
      <c r="Y46" s="665">
        <v>2</v>
      </c>
      <c r="Z46" s="665">
        <v>5</v>
      </c>
      <c r="AA46" s="665">
        <v>1</v>
      </c>
      <c r="AB46" s="665">
        <v>6</v>
      </c>
      <c r="AC46" s="665">
        <v>5</v>
      </c>
      <c r="AD46" s="665">
        <v>1</v>
      </c>
      <c r="AE46" s="665">
        <v>4</v>
      </c>
      <c r="AF46" s="665">
        <v>2</v>
      </c>
      <c r="AG46" s="665">
        <v>6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0.19792133321386973</v>
      </c>
      <c r="F47" s="680">
        <f t="shared" si="25"/>
        <v>7.3633333333333333</v>
      </c>
      <c r="G47" s="680">
        <f t="shared" si="26"/>
        <v>4.333333333333333</v>
      </c>
      <c r="H47" s="679">
        <f t="shared" si="27"/>
        <v>7</v>
      </c>
      <c r="I47" s="679">
        <f t="shared" si="28"/>
        <v>8.8333333333333339</v>
      </c>
      <c r="J47" s="679">
        <f t="shared" si="29"/>
        <v>7.2</v>
      </c>
      <c r="K47" s="673">
        <v>4</v>
      </c>
      <c r="L47" s="673">
        <v>5</v>
      </c>
      <c r="M47" s="673">
        <v>3</v>
      </c>
      <c r="N47" s="673">
        <v>5</v>
      </c>
      <c r="O47" s="673">
        <v>5</v>
      </c>
      <c r="P47" s="673">
        <v>4</v>
      </c>
      <c r="Q47" s="673">
        <v>7</v>
      </c>
      <c r="R47" s="673">
        <v>9</v>
      </c>
      <c r="S47" s="673">
        <v>4</v>
      </c>
      <c r="T47" s="673">
        <v>8</v>
      </c>
      <c r="U47" s="673">
        <v>7</v>
      </c>
      <c r="V47" s="665">
        <v>7</v>
      </c>
      <c r="W47" s="665">
        <v>6</v>
      </c>
      <c r="X47" s="665">
        <v>7</v>
      </c>
      <c r="Y47" s="665">
        <v>13</v>
      </c>
      <c r="Z47" s="665">
        <v>7</v>
      </c>
      <c r="AA47" s="665">
        <v>9</v>
      </c>
      <c r="AB47" s="665">
        <v>11</v>
      </c>
      <c r="AC47" s="665">
        <v>8</v>
      </c>
      <c r="AD47" s="665">
        <v>5</v>
      </c>
      <c r="AE47" s="665">
        <v>8</v>
      </c>
      <c r="AF47" s="665">
        <v>8</v>
      </c>
      <c r="AG47" s="665">
        <v>7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0.1577815607920437</v>
      </c>
      <c r="F48" s="680">
        <f t="shared" si="25"/>
        <v>5.8699999999999992</v>
      </c>
      <c r="G48" s="680">
        <f t="shared" si="26"/>
        <v>3.8333333333333335</v>
      </c>
      <c r="H48" s="679">
        <f t="shared" si="27"/>
        <v>4.833333333333333</v>
      </c>
      <c r="I48" s="679">
        <f t="shared" si="28"/>
        <v>7.333333333333333</v>
      </c>
      <c r="J48" s="679">
        <f t="shared" si="29"/>
        <v>5.8</v>
      </c>
      <c r="K48" s="673">
        <v>5</v>
      </c>
      <c r="L48" s="673">
        <v>5</v>
      </c>
      <c r="M48" s="673">
        <v>3</v>
      </c>
      <c r="N48" s="673">
        <v>2</v>
      </c>
      <c r="O48" s="673">
        <v>5</v>
      </c>
      <c r="P48" s="673">
        <v>3</v>
      </c>
      <c r="Q48" s="673">
        <v>5</v>
      </c>
      <c r="R48" s="673">
        <v>4</v>
      </c>
      <c r="S48" s="673">
        <v>7</v>
      </c>
      <c r="T48" s="673">
        <v>2</v>
      </c>
      <c r="U48" s="673">
        <v>2</v>
      </c>
      <c r="V48" s="665">
        <v>9</v>
      </c>
      <c r="W48" s="665">
        <v>5</v>
      </c>
      <c r="X48" s="665">
        <v>7</v>
      </c>
      <c r="Y48" s="665">
        <v>11</v>
      </c>
      <c r="Z48" s="665">
        <v>6</v>
      </c>
      <c r="AA48" s="665">
        <v>8</v>
      </c>
      <c r="AB48" s="665">
        <v>7</v>
      </c>
      <c r="AC48" s="665">
        <v>6</v>
      </c>
      <c r="AD48" s="665">
        <v>7</v>
      </c>
      <c r="AE48" s="665">
        <v>4</v>
      </c>
      <c r="AF48" s="665">
        <v>6</v>
      </c>
      <c r="AG48" s="665">
        <v>6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0.10223098288683809</v>
      </c>
      <c r="F49" s="680">
        <f t="shared" si="25"/>
        <v>3.8033333333333328</v>
      </c>
      <c r="G49" s="680">
        <f t="shared" si="26"/>
        <v>2.6666666666666665</v>
      </c>
      <c r="H49" s="679">
        <f t="shared" si="27"/>
        <v>3.3333333333333335</v>
      </c>
      <c r="I49" s="679">
        <f t="shared" si="28"/>
        <v>5.833333333333333</v>
      </c>
      <c r="J49" s="679">
        <f t="shared" si="29"/>
        <v>2.8</v>
      </c>
      <c r="K49" s="673">
        <v>3</v>
      </c>
      <c r="L49" s="673">
        <v>1</v>
      </c>
      <c r="M49" s="673">
        <v>4</v>
      </c>
      <c r="N49" s="673">
        <v>1</v>
      </c>
      <c r="O49" s="673">
        <v>4</v>
      </c>
      <c r="P49" s="673">
        <v>3</v>
      </c>
      <c r="Q49" s="673">
        <v>2</v>
      </c>
      <c r="R49" s="673">
        <v>2</v>
      </c>
      <c r="S49" s="673">
        <v>5</v>
      </c>
      <c r="T49" s="673">
        <v>8</v>
      </c>
      <c r="U49" s="673">
        <v>1</v>
      </c>
      <c r="V49" s="665">
        <v>2</v>
      </c>
      <c r="W49" s="665">
        <v>4</v>
      </c>
      <c r="X49" s="665">
        <v>4</v>
      </c>
      <c r="Y49" s="665">
        <v>6</v>
      </c>
      <c r="Z49" s="665">
        <v>7</v>
      </c>
      <c r="AA49" s="665">
        <v>7</v>
      </c>
      <c r="AB49" s="665">
        <v>7</v>
      </c>
      <c r="AC49" s="665">
        <v>2</v>
      </c>
      <c r="AD49" s="665">
        <v>4</v>
      </c>
      <c r="AE49" s="665">
        <v>1</v>
      </c>
      <c r="AF49" s="665">
        <v>3</v>
      </c>
      <c r="AG49" s="665">
        <v>4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9.2359958916014853E-2</v>
      </c>
      <c r="F50" s="680">
        <f t="shared" si="25"/>
        <v>3.8966666666666669</v>
      </c>
      <c r="G50" s="680">
        <f t="shared" si="26"/>
        <v>3.5</v>
      </c>
      <c r="H50" s="679">
        <f t="shared" si="27"/>
        <v>3.8333333333333335</v>
      </c>
      <c r="I50" s="679">
        <f t="shared" si="28"/>
        <v>3.6666666666666665</v>
      </c>
      <c r="J50" s="679">
        <f t="shared" si="29"/>
        <v>4.2</v>
      </c>
      <c r="K50" s="673">
        <v>8</v>
      </c>
      <c r="L50" s="673">
        <v>2</v>
      </c>
      <c r="M50" s="673">
        <v>5</v>
      </c>
      <c r="N50" s="673">
        <v>2</v>
      </c>
      <c r="O50" s="673">
        <v>3</v>
      </c>
      <c r="P50" s="673">
        <v>1</v>
      </c>
      <c r="Q50" s="673">
        <v>6</v>
      </c>
      <c r="R50" s="673">
        <v>2</v>
      </c>
      <c r="S50" s="673">
        <v>1</v>
      </c>
      <c r="T50" s="673">
        <v>6</v>
      </c>
      <c r="U50" s="673">
        <v>4</v>
      </c>
      <c r="V50" s="665">
        <v>4</v>
      </c>
      <c r="W50" s="665">
        <v>2</v>
      </c>
      <c r="X50" s="665">
        <v>5</v>
      </c>
      <c r="Y50" s="665">
        <v>7</v>
      </c>
      <c r="Z50" s="665">
        <v>2</v>
      </c>
      <c r="AA50" s="665">
        <v>4</v>
      </c>
      <c r="AB50" s="665">
        <v>2</v>
      </c>
      <c r="AC50" s="665">
        <v>6</v>
      </c>
      <c r="AD50" s="665">
        <v>1</v>
      </c>
      <c r="AE50" s="665">
        <v>2</v>
      </c>
      <c r="AF50" s="665">
        <v>6</v>
      </c>
      <c r="AG50" s="665">
        <v>6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0.14450501698664772</v>
      </c>
      <c r="F51" s="680">
        <f t="shared" si="25"/>
        <v>6.0966666666666676</v>
      </c>
      <c r="G51" s="680">
        <f t="shared" si="26"/>
        <v>4.166666666666667</v>
      </c>
      <c r="H51" s="679">
        <f t="shared" si="27"/>
        <v>5</v>
      </c>
      <c r="I51" s="679">
        <f t="shared" si="28"/>
        <v>6</v>
      </c>
      <c r="J51" s="679">
        <f t="shared" si="29"/>
        <v>7.2</v>
      </c>
      <c r="K51" s="673">
        <v>5</v>
      </c>
      <c r="L51" s="673">
        <v>6</v>
      </c>
      <c r="M51" s="673">
        <v>3</v>
      </c>
      <c r="N51" s="673">
        <v>2</v>
      </c>
      <c r="O51" s="673">
        <v>6</v>
      </c>
      <c r="P51" s="673">
        <v>3</v>
      </c>
      <c r="Q51" s="673">
        <v>6</v>
      </c>
      <c r="R51" s="673">
        <v>4</v>
      </c>
      <c r="S51" s="673">
        <v>6</v>
      </c>
      <c r="T51" s="673">
        <v>4</v>
      </c>
      <c r="U51" s="673">
        <v>6</v>
      </c>
      <c r="V51" s="665">
        <v>4</v>
      </c>
      <c r="W51" s="665">
        <v>4</v>
      </c>
      <c r="X51" s="665">
        <v>4</v>
      </c>
      <c r="Y51" s="665">
        <v>6</v>
      </c>
      <c r="Z51" s="665">
        <v>7</v>
      </c>
      <c r="AA51" s="665">
        <v>7</v>
      </c>
      <c r="AB51" s="665">
        <v>8</v>
      </c>
      <c r="AC51" s="665">
        <v>4</v>
      </c>
      <c r="AD51" s="665">
        <v>8</v>
      </c>
      <c r="AE51" s="665">
        <v>8</v>
      </c>
      <c r="AF51" s="665">
        <v>8</v>
      </c>
      <c r="AG51" s="665">
        <v>8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0.11930157225250848</v>
      </c>
      <c r="F52" s="680">
        <f t="shared" si="25"/>
        <v>5.0333333333333332</v>
      </c>
      <c r="G52" s="680">
        <f t="shared" si="26"/>
        <v>4.166666666666667</v>
      </c>
      <c r="H52" s="679">
        <f t="shared" si="27"/>
        <v>4.333333333333333</v>
      </c>
      <c r="I52" s="679">
        <f t="shared" si="28"/>
        <v>4.5</v>
      </c>
      <c r="J52" s="679">
        <f t="shared" si="29"/>
        <v>6</v>
      </c>
      <c r="K52" s="673">
        <v>1</v>
      </c>
      <c r="L52" s="673">
        <v>5</v>
      </c>
      <c r="M52" s="673">
        <v>6</v>
      </c>
      <c r="N52" s="673">
        <v>6</v>
      </c>
      <c r="O52" s="673">
        <v>4</v>
      </c>
      <c r="P52" s="673">
        <v>3</v>
      </c>
      <c r="Q52" s="673">
        <v>2</v>
      </c>
      <c r="R52" s="673">
        <v>6</v>
      </c>
      <c r="S52" s="673">
        <v>3</v>
      </c>
      <c r="T52" s="673">
        <v>6</v>
      </c>
      <c r="U52" s="673">
        <v>5</v>
      </c>
      <c r="V52" s="665">
        <v>4</v>
      </c>
      <c r="W52" s="665">
        <v>5</v>
      </c>
      <c r="X52" s="665">
        <v>2</v>
      </c>
      <c r="Y52" s="665">
        <v>6</v>
      </c>
      <c r="Z52" s="665">
        <v>3</v>
      </c>
      <c r="AA52" s="665">
        <v>5</v>
      </c>
      <c r="AB52" s="665">
        <v>6</v>
      </c>
      <c r="AC52" s="665">
        <v>6</v>
      </c>
      <c r="AD52" s="665">
        <v>4</v>
      </c>
      <c r="AE52" s="665">
        <v>5</v>
      </c>
      <c r="AF52" s="665">
        <v>8</v>
      </c>
      <c r="AG52" s="665">
        <v>7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8.7935529746385382E-2</v>
      </c>
      <c r="F53" s="680">
        <f t="shared" si="25"/>
        <v>3.71</v>
      </c>
      <c r="G53" s="680">
        <f t="shared" si="26"/>
        <v>3</v>
      </c>
      <c r="H53" s="679">
        <f t="shared" si="27"/>
        <v>2.5</v>
      </c>
      <c r="I53" s="679">
        <f t="shared" si="28"/>
        <v>5.166666666666667</v>
      </c>
      <c r="J53" s="679">
        <f t="shared" si="29"/>
        <v>3.4</v>
      </c>
      <c r="K53" s="673">
        <v>3</v>
      </c>
      <c r="L53" s="673">
        <v>2</v>
      </c>
      <c r="M53" s="673">
        <v>4</v>
      </c>
      <c r="N53" s="673">
        <v>6</v>
      </c>
      <c r="O53" s="673">
        <v>2</v>
      </c>
      <c r="P53" s="673">
        <v>1</v>
      </c>
      <c r="Q53" s="673">
        <v>5</v>
      </c>
      <c r="R53" s="673">
        <v>2</v>
      </c>
      <c r="S53" s="673">
        <v>2</v>
      </c>
      <c r="T53" s="673">
        <v>2</v>
      </c>
      <c r="U53" s="673">
        <v>2</v>
      </c>
      <c r="V53" s="665">
        <v>2</v>
      </c>
      <c r="W53" s="665">
        <v>1</v>
      </c>
      <c r="X53" s="665">
        <v>5</v>
      </c>
      <c r="Y53" s="665">
        <v>5</v>
      </c>
      <c r="Z53" s="665">
        <v>8</v>
      </c>
      <c r="AA53" s="665">
        <v>5</v>
      </c>
      <c r="AB53" s="665">
        <v>7</v>
      </c>
      <c r="AC53" s="665">
        <v>3</v>
      </c>
      <c r="AD53" s="665">
        <v>5</v>
      </c>
      <c r="AE53" s="665">
        <v>2</v>
      </c>
      <c r="AF53" s="665">
        <v>3</v>
      </c>
      <c r="AG53" s="665">
        <v>4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0.1159832503752864</v>
      </c>
      <c r="F54" s="680">
        <f t="shared" si="25"/>
        <v>4.8933333333333335</v>
      </c>
      <c r="G54" s="680">
        <f t="shared" si="26"/>
        <v>2.6666666666666665</v>
      </c>
      <c r="H54" s="679">
        <f t="shared" si="27"/>
        <v>4.833333333333333</v>
      </c>
      <c r="I54" s="679">
        <f t="shared" si="28"/>
        <v>5</v>
      </c>
      <c r="J54" s="679">
        <f t="shared" si="29"/>
        <v>5.4</v>
      </c>
      <c r="K54" s="673">
        <v>3</v>
      </c>
      <c r="L54" s="673">
        <v>2</v>
      </c>
      <c r="M54" s="673">
        <v>4</v>
      </c>
      <c r="N54" s="673">
        <v>4</v>
      </c>
      <c r="O54" s="673">
        <v>2</v>
      </c>
      <c r="P54" s="673">
        <v>1</v>
      </c>
      <c r="Q54" s="673">
        <v>6</v>
      </c>
      <c r="R54" s="673">
        <v>5</v>
      </c>
      <c r="S54" s="673">
        <v>2</v>
      </c>
      <c r="T54" s="673">
        <v>7</v>
      </c>
      <c r="U54" s="673">
        <v>7</v>
      </c>
      <c r="V54" s="665">
        <v>2</v>
      </c>
      <c r="W54" s="665">
        <v>2</v>
      </c>
      <c r="X54" s="665">
        <v>3</v>
      </c>
      <c r="Y54" s="665">
        <v>7</v>
      </c>
      <c r="Z54" s="665">
        <v>5</v>
      </c>
      <c r="AA54" s="665">
        <v>6</v>
      </c>
      <c r="AB54" s="665">
        <v>7</v>
      </c>
      <c r="AC54" s="665">
        <v>8</v>
      </c>
      <c r="AD54" s="665">
        <v>3</v>
      </c>
      <c r="AE54" s="665">
        <v>6</v>
      </c>
      <c r="AF54" s="665">
        <v>7</v>
      </c>
      <c r="AG54" s="665">
        <v>3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0.11756340365015405</v>
      </c>
      <c r="F55" s="680">
        <f t="shared" si="25"/>
        <v>4.96</v>
      </c>
      <c r="G55" s="680">
        <f t="shared" si="26"/>
        <v>3.1666666666666665</v>
      </c>
      <c r="H55" s="679">
        <f t="shared" si="27"/>
        <v>6.166666666666667</v>
      </c>
      <c r="I55" s="679">
        <f t="shared" si="28"/>
        <v>4.166666666666667</v>
      </c>
      <c r="J55" s="679">
        <f t="shared" si="29"/>
        <v>5.4</v>
      </c>
      <c r="K55" s="673">
        <v>4</v>
      </c>
      <c r="L55" s="673">
        <v>2</v>
      </c>
      <c r="M55" s="673">
        <v>3</v>
      </c>
      <c r="N55" s="673">
        <v>5</v>
      </c>
      <c r="O55" s="673">
        <v>3</v>
      </c>
      <c r="P55" s="673">
        <v>2</v>
      </c>
      <c r="Q55" s="673">
        <v>5</v>
      </c>
      <c r="R55" s="673">
        <v>6</v>
      </c>
      <c r="S55" s="673">
        <v>4</v>
      </c>
      <c r="T55" s="673">
        <v>6</v>
      </c>
      <c r="U55" s="673">
        <v>11</v>
      </c>
      <c r="V55" s="665">
        <v>5</v>
      </c>
      <c r="W55" s="665">
        <v>3</v>
      </c>
      <c r="X55" s="665">
        <v>5</v>
      </c>
      <c r="Y55" s="665">
        <v>3</v>
      </c>
      <c r="Z55" s="665">
        <v>5</v>
      </c>
      <c r="AA55" s="665">
        <v>5</v>
      </c>
      <c r="AB55" s="665">
        <v>4</v>
      </c>
      <c r="AC55" s="665">
        <v>6</v>
      </c>
      <c r="AD55" s="665">
        <v>3</v>
      </c>
      <c r="AE55" s="665">
        <v>5</v>
      </c>
      <c r="AF55" s="665">
        <v>6</v>
      </c>
      <c r="AG55" s="665">
        <v>7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0.16757525479971555</v>
      </c>
      <c r="F56" s="680">
        <f t="shared" si="25"/>
        <v>7.07</v>
      </c>
      <c r="G56" s="680">
        <f t="shared" si="26"/>
        <v>3.3333333333333335</v>
      </c>
      <c r="H56" s="679">
        <f t="shared" si="27"/>
        <v>6.833333333333333</v>
      </c>
      <c r="I56" s="679">
        <f t="shared" si="28"/>
        <v>8.8333333333333339</v>
      </c>
      <c r="J56" s="679">
        <f t="shared" si="29"/>
        <v>6.8</v>
      </c>
      <c r="K56" s="673">
        <v>5</v>
      </c>
      <c r="L56" s="673">
        <v>1</v>
      </c>
      <c r="M56" s="673">
        <v>4</v>
      </c>
      <c r="N56" s="673">
        <v>3</v>
      </c>
      <c r="O56" s="673">
        <v>2</v>
      </c>
      <c r="P56" s="673">
        <v>5</v>
      </c>
      <c r="Q56" s="673">
        <v>5</v>
      </c>
      <c r="R56" s="673">
        <v>5</v>
      </c>
      <c r="S56" s="673">
        <v>8</v>
      </c>
      <c r="T56" s="673">
        <v>13</v>
      </c>
      <c r="U56" s="673">
        <v>7</v>
      </c>
      <c r="V56" s="665">
        <v>3</v>
      </c>
      <c r="W56" s="665">
        <v>7</v>
      </c>
      <c r="X56" s="665">
        <v>6</v>
      </c>
      <c r="Y56" s="665">
        <v>6</v>
      </c>
      <c r="Z56" s="665">
        <v>7</v>
      </c>
      <c r="AA56" s="665">
        <v>14</v>
      </c>
      <c r="AB56" s="665">
        <v>13</v>
      </c>
      <c r="AC56" s="665">
        <v>8</v>
      </c>
      <c r="AD56" s="665">
        <v>4</v>
      </c>
      <c r="AE56" s="665">
        <v>6</v>
      </c>
      <c r="AF56" s="665">
        <v>11</v>
      </c>
      <c r="AG56" s="665">
        <v>5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0.15477601327328749</v>
      </c>
      <c r="F57" s="680">
        <f t="shared" si="25"/>
        <v>6.53</v>
      </c>
      <c r="G57" s="680">
        <f t="shared" si="26"/>
        <v>4.333333333333333</v>
      </c>
      <c r="H57" s="679">
        <f t="shared" si="27"/>
        <v>6.333333333333333</v>
      </c>
      <c r="I57" s="679">
        <f t="shared" si="28"/>
        <v>6.5</v>
      </c>
      <c r="J57" s="679">
        <f t="shared" si="29"/>
        <v>7.2</v>
      </c>
      <c r="K57" s="673">
        <v>5</v>
      </c>
      <c r="L57" s="673">
        <v>2</v>
      </c>
      <c r="M57" s="673">
        <v>9</v>
      </c>
      <c r="N57" s="673">
        <v>5</v>
      </c>
      <c r="O57" s="673">
        <v>4</v>
      </c>
      <c r="P57" s="673">
        <v>1</v>
      </c>
      <c r="Q57" s="673">
        <v>3</v>
      </c>
      <c r="R57" s="673">
        <v>7</v>
      </c>
      <c r="S57" s="673">
        <v>6</v>
      </c>
      <c r="T57" s="673">
        <v>7</v>
      </c>
      <c r="U57" s="673">
        <v>4</v>
      </c>
      <c r="V57" s="665">
        <v>11</v>
      </c>
      <c r="W57" s="665">
        <v>6</v>
      </c>
      <c r="X57" s="665">
        <v>5</v>
      </c>
      <c r="Y57" s="665">
        <v>7</v>
      </c>
      <c r="Z57" s="665">
        <v>4</v>
      </c>
      <c r="AA57" s="665">
        <v>7</v>
      </c>
      <c r="AB57" s="665">
        <v>10</v>
      </c>
      <c r="AC57" s="665">
        <v>4</v>
      </c>
      <c r="AD57" s="665">
        <v>5</v>
      </c>
      <c r="AE57" s="665">
        <v>9</v>
      </c>
      <c r="AF57" s="665">
        <v>9</v>
      </c>
      <c r="AG57" s="665">
        <v>9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0.15053555920100356</v>
      </c>
      <c r="F58" s="680">
        <f t="shared" si="25"/>
        <v>5.2</v>
      </c>
      <c r="G58" s="680">
        <f t="shared" si="26"/>
        <v>4.166666666666667</v>
      </c>
      <c r="H58" s="679">
        <f t="shared" si="27"/>
        <v>6.666666666666667</v>
      </c>
      <c r="I58" s="679">
        <f t="shared" si="28"/>
        <v>4.833333333333333</v>
      </c>
      <c r="J58" s="679">
        <f t="shared" si="29"/>
        <v>5</v>
      </c>
      <c r="K58" s="673">
        <v>2</v>
      </c>
      <c r="L58" s="673">
        <v>3</v>
      </c>
      <c r="M58" s="673">
        <v>4</v>
      </c>
      <c r="N58" s="673">
        <v>8</v>
      </c>
      <c r="O58" s="673">
        <v>6</v>
      </c>
      <c r="P58" s="673">
        <v>2</v>
      </c>
      <c r="Q58" s="673">
        <v>1</v>
      </c>
      <c r="R58" s="673">
        <v>4</v>
      </c>
      <c r="S58" s="673">
        <v>7</v>
      </c>
      <c r="T58" s="673">
        <v>11</v>
      </c>
      <c r="U58" s="673">
        <v>11</v>
      </c>
      <c r="V58" s="665">
        <v>6</v>
      </c>
      <c r="W58" s="665">
        <v>8</v>
      </c>
      <c r="X58" s="665">
        <v>7</v>
      </c>
      <c r="Y58" s="665">
        <v>2</v>
      </c>
      <c r="Z58" s="665">
        <v>2</v>
      </c>
      <c r="AA58" s="665">
        <v>4</v>
      </c>
      <c r="AB58" s="665">
        <v>6</v>
      </c>
      <c r="AC58" s="665">
        <v>4</v>
      </c>
      <c r="AD58" s="665">
        <v>5</v>
      </c>
      <c r="AE58" s="665">
        <v>6</v>
      </c>
      <c r="AF58" s="665">
        <v>6</v>
      </c>
      <c r="AG58" s="665">
        <v>4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0.10875229180739168</v>
      </c>
      <c r="F59" s="680">
        <f t="shared" si="25"/>
        <v>3.7566666666666668</v>
      </c>
      <c r="G59" s="680">
        <f t="shared" si="26"/>
        <v>3.8333333333333335</v>
      </c>
      <c r="H59" s="679">
        <f t="shared" si="27"/>
        <v>4.666666666666667</v>
      </c>
      <c r="I59" s="679">
        <f t="shared" si="28"/>
        <v>4.666666666666667</v>
      </c>
      <c r="J59" s="679">
        <f t="shared" si="29"/>
        <v>2.6</v>
      </c>
      <c r="K59" s="673">
        <v>5</v>
      </c>
      <c r="L59" s="673">
        <v>2</v>
      </c>
      <c r="M59" s="673">
        <v>3</v>
      </c>
      <c r="N59" s="673">
        <v>4</v>
      </c>
      <c r="O59" s="673">
        <v>4</v>
      </c>
      <c r="P59" s="673">
        <v>5</v>
      </c>
      <c r="Q59" s="673">
        <v>5</v>
      </c>
      <c r="R59" s="673">
        <v>2</v>
      </c>
      <c r="S59" s="673">
        <v>7</v>
      </c>
      <c r="T59" s="673">
        <v>7</v>
      </c>
      <c r="U59" s="673">
        <v>2</v>
      </c>
      <c r="V59" s="665">
        <v>5</v>
      </c>
      <c r="W59" s="665">
        <v>5</v>
      </c>
      <c r="X59" s="665">
        <v>7</v>
      </c>
      <c r="Y59" s="665">
        <v>4</v>
      </c>
      <c r="Z59" s="665">
        <v>5</v>
      </c>
      <c r="AA59" s="665">
        <v>3</v>
      </c>
      <c r="AB59" s="665">
        <v>4</v>
      </c>
      <c r="AC59" s="665">
        <v>3</v>
      </c>
      <c r="AD59" s="665">
        <v>1</v>
      </c>
      <c r="AE59" s="665">
        <v>4</v>
      </c>
      <c r="AF59" s="665">
        <v>1</v>
      </c>
      <c r="AG59" s="665">
        <v>4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0.15420245102769467</v>
      </c>
      <c r="F60" s="680">
        <f t="shared" si="25"/>
        <v>5.3266666666666671</v>
      </c>
      <c r="G60" s="680">
        <f t="shared" si="26"/>
        <v>3.3333333333333335</v>
      </c>
      <c r="H60" s="679">
        <f t="shared" si="27"/>
        <v>4.666666666666667</v>
      </c>
      <c r="I60" s="679">
        <f t="shared" si="28"/>
        <v>5</v>
      </c>
      <c r="J60" s="679">
        <f t="shared" si="29"/>
        <v>6.4</v>
      </c>
      <c r="K60" s="673">
        <v>2</v>
      </c>
      <c r="L60" s="673">
        <v>1</v>
      </c>
      <c r="M60" s="673">
        <v>3</v>
      </c>
      <c r="N60" s="673">
        <v>7</v>
      </c>
      <c r="O60" s="673">
        <v>2</v>
      </c>
      <c r="P60" s="673">
        <v>5</v>
      </c>
      <c r="Q60" s="673">
        <v>4</v>
      </c>
      <c r="R60" s="673">
        <v>9</v>
      </c>
      <c r="S60" s="673">
        <v>1</v>
      </c>
      <c r="T60" s="673">
        <v>3</v>
      </c>
      <c r="U60" s="673">
        <v>6</v>
      </c>
      <c r="V60" s="665">
        <v>5</v>
      </c>
      <c r="W60" s="665">
        <v>5</v>
      </c>
      <c r="X60" s="665">
        <v>6</v>
      </c>
      <c r="Y60" s="665">
        <v>6</v>
      </c>
      <c r="Z60" s="665">
        <v>3</v>
      </c>
      <c r="AA60" s="665">
        <v>5</v>
      </c>
      <c r="AB60" s="665">
        <v>5</v>
      </c>
      <c r="AC60" s="665">
        <v>3</v>
      </c>
      <c r="AD60" s="665">
        <v>8</v>
      </c>
      <c r="AE60" s="665">
        <v>7</v>
      </c>
      <c r="AF60" s="665">
        <v>6</v>
      </c>
      <c r="AG60" s="665">
        <v>8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0.14976358197433176</v>
      </c>
      <c r="F61" s="680">
        <f t="shared" si="25"/>
        <v>5.1733333333333338</v>
      </c>
      <c r="G61" s="680">
        <f t="shared" si="26"/>
        <v>4</v>
      </c>
      <c r="H61" s="679">
        <f t="shared" si="27"/>
        <v>4.666666666666667</v>
      </c>
      <c r="I61" s="679">
        <f t="shared" si="28"/>
        <v>6.666666666666667</v>
      </c>
      <c r="J61" s="679">
        <f t="shared" si="29"/>
        <v>4.5999999999999996</v>
      </c>
      <c r="K61" s="673">
        <v>2</v>
      </c>
      <c r="L61" s="673">
        <v>3</v>
      </c>
      <c r="M61" s="673">
        <v>4</v>
      </c>
      <c r="N61" s="673">
        <v>7</v>
      </c>
      <c r="O61" s="673">
        <v>6</v>
      </c>
      <c r="P61" s="673">
        <v>2</v>
      </c>
      <c r="Q61" s="673">
        <v>6</v>
      </c>
      <c r="R61" s="673">
        <v>4</v>
      </c>
      <c r="S61" s="673">
        <v>4</v>
      </c>
      <c r="T61" s="673">
        <v>7</v>
      </c>
      <c r="U61" s="673">
        <v>4</v>
      </c>
      <c r="V61" s="665">
        <v>3</v>
      </c>
      <c r="W61" s="665">
        <v>11</v>
      </c>
      <c r="X61" s="665">
        <v>10</v>
      </c>
      <c r="Y61" s="665">
        <v>6</v>
      </c>
      <c r="Z61" s="665">
        <v>4</v>
      </c>
      <c r="AA61" s="665">
        <v>3</v>
      </c>
      <c r="AB61" s="665">
        <v>6</v>
      </c>
      <c r="AC61" s="665">
        <v>6</v>
      </c>
      <c r="AD61" s="665">
        <v>4</v>
      </c>
      <c r="AE61" s="665">
        <v>6</v>
      </c>
      <c r="AF61" s="665">
        <v>2</v>
      </c>
      <c r="AG61" s="665">
        <v>5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0.12486731641416578</v>
      </c>
      <c r="F62" s="680">
        <f t="shared" si="25"/>
        <v>4.3133333333333335</v>
      </c>
      <c r="G62" s="680">
        <f t="shared" si="26"/>
        <v>4.833333333333333</v>
      </c>
      <c r="H62" s="679">
        <f t="shared" si="27"/>
        <v>6.5</v>
      </c>
      <c r="I62" s="679">
        <f t="shared" si="28"/>
        <v>4.166666666666667</v>
      </c>
      <c r="J62" s="679">
        <f t="shared" si="29"/>
        <v>3.2</v>
      </c>
      <c r="K62" s="673">
        <v>6</v>
      </c>
      <c r="L62" s="673">
        <v>5</v>
      </c>
      <c r="M62" s="673">
        <v>4</v>
      </c>
      <c r="N62" s="673">
        <v>5</v>
      </c>
      <c r="O62" s="673">
        <v>3</v>
      </c>
      <c r="P62" s="673">
        <v>6</v>
      </c>
      <c r="Q62" s="673">
        <v>6</v>
      </c>
      <c r="R62" s="673">
        <v>5</v>
      </c>
      <c r="S62" s="673">
        <v>3</v>
      </c>
      <c r="T62" s="673">
        <v>12</v>
      </c>
      <c r="U62" s="673">
        <v>7</v>
      </c>
      <c r="V62" s="665">
        <v>6</v>
      </c>
      <c r="W62" s="665">
        <v>3</v>
      </c>
      <c r="X62" s="665">
        <v>5</v>
      </c>
      <c r="Y62" s="665">
        <v>5</v>
      </c>
      <c r="Z62" s="665">
        <v>4</v>
      </c>
      <c r="AA62" s="665">
        <v>2</v>
      </c>
      <c r="AB62" s="665">
        <v>6</v>
      </c>
      <c r="AC62" s="665">
        <v>3</v>
      </c>
      <c r="AD62" s="665">
        <v>3</v>
      </c>
      <c r="AE62" s="665">
        <v>2</v>
      </c>
      <c r="AF62" s="665">
        <v>3</v>
      </c>
      <c r="AG62" s="665">
        <v>5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7.0056933320467044E-2</v>
      </c>
      <c r="F63" s="680">
        <f t="shared" si="25"/>
        <v>2.42</v>
      </c>
      <c r="G63" s="680">
        <f t="shared" si="26"/>
        <v>3</v>
      </c>
      <c r="H63" s="679">
        <f t="shared" si="27"/>
        <v>2.5</v>
      </c>
      <c r="I63" s="679">
        <f t="shared" si="28"/>
        <v>1.6666666666666667</v>
      </c>
      <c r="J63" s="679">
        <f t="shared" si="29"/>
        <v>2.8</v>
      </c>
      <c r="K63" s="673">
        <v>4</v>
      </c>
      <c r="L63" s="673">
        <v>1</v>
      </c>
      <c r="M63" s="673">
        <v>5</v>
      </c>
      <c r="N63" s="673">
        <v>3</v>
      </c>
      <c r="O63" s="673">
        <v>3</v>
      </c>
      <c r="P63" s="673">
        <v>2</v>
      </c>
      <c r="Q63" s="673">
        <v>3</v>
      </c>
      <c r="R63" s="673">
        <v>2</v>
      </c>
      <c r="S63" s="673">
        <v>2</v>
      </c>
      <c r="T63" s="673">
        <v>5</v>
      </c>
      <c r="U63" s="673">
        <v>2</v>
      </c>
      <c r="V63" s="665">
        <v>1</v>
      </c>
      <c r="W63" s="665">
        <v>2</v>
      </c>
      <c r="X63" s="665">
        <v>2</v>
      </c>
      <c r="Y63" s="665">
        <v>0</v>
      </c>
      <c r="Z63" s="665">
        <v>3</v>
      </c>
      <c r="AA63" s="665">
        <v>1</v>
      </c>
      <c r="AB63" s="665">
        <v>2</v>
      </c>
      <c r="AC63" s="665">
        <v>5</v>
      </c>
      <c r="AD63" s="665">
        <v>3</v>
      </c>
      <c r="AE63" s="665">
        <v>3</v>
      </c>
      <c r="AF63" s="665">
        <v>1</v>
      </c>
      <c r="AG63" s="665">
        <v>2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5.596834893370646E-2</v>
      </c>
      <c r="F64" s="680">
        <f t="shared" si="25"/>
        <v>1.9333333333333336</v>
      </c>
      <c r="G64" s="680">
        <f t="shared" si="26"/>
        <v>2.3333333333333335</v>
      </c>
      <c r="H64" s="679">
        <f t="shared" si="27"/>
        <v>3.5</v>
      </c>
      <c r="I64" s="679">
        <f t="shared" si="28"/>
        <v>2</v>
      </c>
      <c r="J64" s="679">
        <f t="shared" si="29"/>
        <v>1</v>
      </c>
      <c r="K64" s="673">
        <v>1</v>
      </c>
      <c r="L64" s="673">
        <v>2</v>
      </c>
      <c r="M64" s="673">
        <v>5</v>
      </c>
      <c r="N64" s="673">
        <v>1</v>
      </c>
      <c r="O64" s="673">
        <v>4</v>
      </c>
      <c r="P64" s="673">
        <v>1</v>
      </c>
      <c r="Q64" s="673">
        <v>3</v>
      </c>
      <c r="R64" s="673">
        <v>2</v>
      </c>
      <c r="S64" s="673">
        <v>5</v>
      </c>
      <c r="T64" s="673">
        <v>3</v>
      </c>
      <c r="U64" s="673">
        <v>4</v>
      </c>
      <c r="V64" s="665">
        <v>4</v>
      </c>
      <c r="W64" s="665">
        <v>1</v>
      </c>
      <c r="X64" s="665">
        <v>1</v>
      </c>
      <c r="Y64" s="665">
        <v>4</v>
      </c>
      <c r="Z64" s="665">
        <v>1</v>
      </c>
      <c r="AA64" s="665">
        <v>2</v>
      </c>
      <c r="AB64" s="665">
        <v>3</v>
      </c>
      <c r="AC64" s="665">
        <v>1</v>
      </c>
      <c r="AD64" s="665">
        <v>0</v>
      </c>
      <c r="AE64" s="665">
        <v>1</v>
      </c>
      <c r="AF64" s="665">
        <v>1</v>
      </c>
      <c r="AG64" s="665">
        <v>2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8.5013992087233425E-2</v>
      </c>
      <c r="F65" s="680">
        <f t="shared" si="25"/>
        <v>2.936666666666667</v>
      </c>
      <c r="G65" s="680">
        <f t="shared" si="26"/>
        <v>3.1666666666666665</v>
      </c>
      <c r="H65" s="679">
        <f t="shared" si="27"/>
        <v>3</v>
      </c>
      <c r="I65" s="679">
        <f t="shared" si="28"/>
        <v>4.333333333333333</v>
      </c>
      <c r="J65" s="679">
        <f t="shared" si="29"/>
        <v>1.8</v>
      </c>
      <c r="K65" s="673">
        <v>4</v>
      </c>
      <c r="L65" s="673">
        <v>1</v>
      </c>
      <c r="M65" s="673">
        <v>3</v>
      </c>
      <c r="N65" s="673">
        <v>6</v>
      </c>
      <c r="O65" s="673">
        <v>1</v>
      </c>
      <c r="P65" s="673">
        <v>4</v>
      </c>
      <c r="Q65" s="673">
        <v>3</v>
      </c>
      <c r="R65" s="673">
        <v>3</v>
      </c>
      <c r="S65" s="673">
        <v>3</v>
      </c>
      <c r="T65" s="673">
        <v>2</v>
      </c>
      <c r="U65" s="673">
        <v>3</v>
      </c>
      <c r="V65" s="665">
        <v>4</v>
      </c>
      <c r="W65" s="665">
        <v>4</v>
      </c>
      <c r="X65" s="665">
        <v>7</v>
      </c>
      <c r="Y65" s="665">
        <v>2</v>
      </c>
      <c r="Z65" s="665">
        <v>3</v>
      </c>
      <c r="AA65" s="665">
        <v>4</v>
      </c>
      <c r="AB65" s="665">
        <v>6</v>
      </c>
      <c r="AC65" s="665">
        <v>2</v>
      </c>
      <c r="AD65" s="665">
        <v>1</v>
      </c>
      <c r="AE65" s="665">
        <v>1</v>
      </c>
      <c r="AF65" s="665">
        <v>3</v>
      </c>
      <c r="AG65" s="665">
        <v>2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0.10083952523400559</v>
      </c>
      <c r="F66" s="680">
        <f t="shared" si="25"/>
        <v>3.4833333333333334</v>
      </c>
      <c r="G66" s="680">
        <f t="shared" si="26"/>
        <v>4.166666666666667</v>
      </c>
      <c r="H66" s="679">
        <f t="shared" si="27"/>
        <v>4.333333333333333</v>
      </c>
      <c r="I66" s="679">
        <f t="shared" si="28"/>
        <v>3.3333333333333335</v>
      </c>
      <c r="J66" s="679">
        <f t="shared" si="29"/>
        <v>3</v>
      </c>
      <c r="K66" s="673">
        <v>2</v>
      </c>
      <c r="L66" s="673">
        <v>3</v>
      </c>
      <c r="M66" s="673">
        <v>6</v>
      </c>
      <c r="N66" s="673">
        <v>4</v>
      </c>
      <c r="O66" s="673">
        <v>6</v>
      </c>
      <c r="P66" s="673">
        <v>4</v>
      </c>
      <c r="Q66" s="673">
        <v>2</v>
      </c>
      <c r="R66" s="673">
        <v>6</v>
      </c>
      <c r="S66" s="673">
        <v>3</v>
      </c>
      <c r="T66" s="673">
        <v>5</v>
      </c>
      <c r="U66" s="673">
        <v>9</v>
      </c>
      <c r="V66" s="665">
        <v>1</v>
      </c>
      <c r="W66" s="665">
        <v>4</v>
      </c>
      <c r="X66" s="665">
        <v>5</v>
      </c>
      <c r="Y66" s="665">
        <v>3</v>
      </c>
      <c r="Z66" s="665">
        <v>3</v>
      </c>
      <c r="AA66" s="665">
        <v>2</v>
      </c>
      <c r="AB66" s="665">
        <v>3</v>
      </c>
      <c r="AC66" s="665">
        <v>4</v>
      </c>
      <c r="AD66" s="665">
        <v>3</v>
      </c>
      <c r="AE66" s="665">
        <v>2</v>
      </c>
      <c r="AF66" s="665">
        <v>1</v>
      </c>
      <c r="AG66" s="665">
        <v>5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0.15937164339419976</v>
      </c>
      <c r="F67" s="680">
        <f t="shared" si="25"/>
        <v>3.9566666666666666</v>
      </c>
      <c r="G67" s="680">
        <f t="shared" si="26"/>
        <v>4.166666666666667</v>
      </c>
      <c r="H67" s="679">
        <f t="shared" si="27"/>
        <v>4.5</v>
      </c>
      <c r="I67" s="679">
        <f t="shared" si="28"/>
        <v>2.6666666666666665</v>
      </c>
      <c r="J67" s="679">
        <f t="shared" si="29"/>
        <v>4.5999999999999996</v>
      </c>
      <c r="K67" s="673">
        <v>4</v>
      </c>
      <c r="L67" s="673">
        <v>7</v>
      </c>
      <c r="M67" s="673">
        <v>3</v>
      </c>
      <c r="N67" s="673">
        <v>4</v>
      </c>
      <c r="O67" s="673">
        <v>1</v>
      </c>
      <c r="P67" s="673">
        <v>6</v>
      </c>
      <c r="Q67" s="673">
        <v>4</v>
      </c>
      <c r="R67" s="673">
        <v>3</v>
      </c>
      <c r="S67" s="673">
        <v>5</v>
      </c>
      <c r="T67" s="673">
        <v>5</v>
      </c>
      <c r="U67" s="673">
        <v>5</v>
      </c>
      <c r="V67" s="665">
        <v>5</v>
      </c>
      <c r="W67" s="665">
        <v>2</v>
      </c>
      <c r="X67" s="665">
        <v>6</v>
      </c>
      <c r="Y67" s="665">
        <v>1</v>
      </c>
      <c r="Z67" s="665">
        <v>1</v>
      </c>
      <c r="AA67" s="665">
        <v>4</v>
      </c>
      <c r="AB67" s="665">
        <v>2</v>
      </c>
      <c r="AC67" s="665">
        <v>5</v>
      </c>
      <c r="AD67" s="665">
        <v>5</v>
      </c>
      <c r="AE67" s="665">
        <v>6</v>
      </c>
      <c r="AF67" s="665">
        <v>3</v>
      </c>
      <c r="AG67" s="665">
        <v>4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0.17816863587540277</v>
      </c>
      <c r="F68" s="680">
        <f t="shared" si="25"/>
        <v>4.4233333333333329</v>
      </c>
      <c r="G68" s="680">
        <f t="shared" si="26"/>
        <v>4.166666666666667</v>
      </c>
      <c r="H68" s="679">
        <f t="shared" si="27"/>
        <v>4.333333333333333</v>
      </c>
      <c r="I68" s="679">
        <f t="shared" si="28"/>
        <v>4.333333333333333</v>
      </c>
      <c r="J68" s="679">
        <f t="shared" si="29"/>
        <v>4.5999999999999996</v>
      </c>
      <c r="K68" s="673">
        <v>4</v>
      </c>
      <c r="L68" s="673">
        <v>3</v>
      </c>
      <c r="M68" s="673">
        <v>4</v>
      </c>
      <c r="N68" s="673">
        <v>4</v>
      </c>
      <c r="O68" s="673">
        <v>4</v>
      </c>
      <c r="P68" s="673">
        <v>6</v>
      </c>
      <c r="Q68" s="673">
        <v>4</v>
      </c>
      <c r="R68" s="673">
        <v>5</v>
      </c>
      <c r="S68" s="673">
        <v>2</v>
      </c>
      <c r="T68" s="673">
        <v>6</v>
      </c>
      <c r="U68" s="673">
        <v>6</v>
      </c>
      <c r="V68" s="665">
        <v>3</v>
      </c>
      <c r="W68" s="665">
        <v>1</v>
      </c>
      <c r="X68" s="665">
        <v>5</v>
      </c>
      <c r="Y68" s="665">
        <v>5</v>
      </c>
      <c r="Z68" s="665">
        <v>2</v>
      </c>
      <c r="AA68" s="665">
        <v>5</v>
      </c>
      <c r="AB68" s="665">
        <v>8</v>
      </c>
      <c r="AC68" s="665">
        <v>5</v>
      </c>
      <c r="AD68" s="665">
        <v>6</v>
      </c>
      <c r="AE68" s="665">
        <v>4</v>
      </c>
      <c r="AF68" s="665">
        <v>4</v>
      </c>
      <c r="AG68" s="665">
        <v>4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0.19897959183673466</v>
      </c>
      <c r="F69" s="680">
        <f t="shared" si="25"/>
        <v>4.9399999999999995</v>
      </c>
      <c r="G69" s="680">
        <f t="shared" si="26"/>
        <v>4.5</v>
      </c>
      <c r="H69" s="679">
        <f t="shared" si="27"/>
        <v>7</v>
      </c>
      <c r="I69" s="679">
        <f t="shared" si="28"/>
        <v>2.8333333333333335</v>
      </c>
      <c r="J69" s="679">
        <f t="shared" si="29"/>
        <v>5.6</v>
      </c>
      <c r="K69" s="673">
        <v>4</v>
      </c>
      <c r="L69" s="673">
        <v>5</v>
      </c>
      <c r="M69" s="673">
        <v>4</v>
      </c>
      <c r="N69" s="673">
        <v>5</v>
      </c>
      <c r="O69" s="673">
        <v>2</v>
      </c>
      <c r="P69" s="673">
        <v>7</v>
      </c>
      <c r="Q69" s="673">
        <v>7</v>
      </c>
      <c r="R69" s="673">
        <v>5</v>
      </c>
      <c r="S69" s="673">
        <v>6</v>
      </c>
      <c r="T69" s="673">
        <v>7</v>
      </c>
      <c r="U69" s="673">
        <v>10</v>
      </c>
      <c r="V69" s="665">
        <v>7</v>
      </c>
      <c r="W69" s="665">
        <v>2</v>
      </c>
      <c r="X69" s="665">
        <v>5</v>
      </c>
      <c r="Y69" s="665">
        <v>3</v>
      </c>
      <c r="Z69" s="665">
        <v>0</v>
      </c>
      <c r="AA69" s="665">
        <v>4</v>
      </c>
      <c r="AB69" s="665">
        <v>3</v>
      </c>
      <c r="AC69" s="665">
        <v>5</v>
      </c>
      <c r="AD69" s="665">
        <v>5</v>
      </c>
      <c r="AE69" s="665">
        <v>7</v>
      </c>
      <c r="AF69" s="665">
        <v>7</v>
      </c>
      <c r="AG69" s="665">
        <v>4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0.18273361976369495</v>
      </c>
      <c r="F70" s="680">
        <f t="shared" si="25"/>
        <v>4.5366666666666671</v>
      </c>
      <c r="G70" s="680">
        <f t="shared" si="26"/>
        <v>3.8333333333333335</v>
      </c>
      <c r="H70" s="679">
        <f t="shared" si="27"/>
        <v>4.166666666666667</v>
      </c>
      <c r="I70" s="679">
        <f t="shared" si="28"/>
        <v>4.666666666666667</v>
      </c>
      <c r="J70" s="679">
        <f t="shared" si="29"/>
        <v>4.8</v>
      </c>
      <c r="K70" s="673">
        <v>4</v>
      </c>
      <c r="L70" s="673">
        <v>2</v>
      </c>
      <c r="M70" s="673">
        <v>4</v>
      </c>
      <c r="N70" s="673">
        <v>3</v>
      </c>
      <c r="O70" s="673">
        <v>5</v>
      </c>
      <c r="P70" s="673">
        <v>5</v>
      </c>
      <c r="Q70" s="673">
        <v>3</v>
      </c>
      <c r="R70" s="673">
        <v>7</v>
      </c>
      <c r="S70" s="673">
        <v>1</v>
      </c>
      <c r="T70" s="673">
        <v>4</v>
      </c>
      <c r="U70" s="673">
        <v>5</v>
      </c>
      <c r="V70" s="665">
        <v>5</v>
      </c>
      <c r="W70" s="665">
        <v>3</v>
      </c>
      <c r="X70" s="665">
        <v>6</v>
      </c>
      <c r="Y70" s="665">
        <v>5</v>
      </c>
      <c r="Z70" s="665">
        <v>7</v>
      </c>
      <c r="AA70" s="665">
        <v>3</v>
      </c>
      <c r="AB70" s="665">
        <v>4</v>
      </c>
      <c r="AC70" s="665">
        <v>5</v>
      </c>
      <c r="AD70" s="665">
        <v>5</v>
      </c>
      <c r="AE70" s="665">
        <v>5</v>
      </c>
      <c r="AF70" s="665">
        <v>6</v>
      </c>
      <c r="AG70" s="665">
        <v>3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0.14715359828141783</v>
      </c>
      <c r="F71" s="680">
        <f t="shared" si="25"/>
        <v>3.6533333333333333</v>
      </c>
      <c r="G71" s="680">
        <f t="shared" si="26"/>
        <v>4.5</v>
      </c>
      <c r="H71" s="679">
        <f t="shared" si="27"/>
        <v>4.666666666666667</v>
      </c>
      <c r="I71" s="679">
        <f t="shared" si="28"/>
        <v>3.8333333333333335</v>
      </c>
      <c r="J71" s="679">
        <f t="shared" si="29"/>
        <v>2.8</v>
      </c>
      <c r="K71" s="673">
        <v>3</v>
      </c>
      <c r="L71" s="673">
        <v>6</v>
      </c>
      <c r="M71" s="673">
        <v>4</v>
      </c>
      <c r="N71" s="673">
        <v>2</v>
      </c>
      <c r="O71" s="673">
        <v>5</v>
      </c>
      <c r="P71" s="673">
        <v>7</v>
      </c>
      <c r="Q71" s="673">
        <v>5</v>
      </c>
      <c r="R71" s="673">
        <v>5</v>
      </c>
      <c r="S71" s="673">
        <v>5</v>
      </c>
      <c r="T71" s="673">
        <v>3</v>
      </c>
      <c r="U71" s="673">
        <v>5</v>
      </c>
      <c r="V71" s="665">
        <v>5</v>
      </c>
      <c r="W71" s="665">
        <v>6</v>
      </c>
      <c r="X71" s="665">
        <v>4</v>
      </c>
      <c r="Y71" s="665">
        <v>4</v>
      </c>
      <c r="Z71" s="665">
        <v>3</v>
      </c>
      <c r="AA71" s="665">
        <v>4</v>
      </c>
      <c r="AB71" s="665">
        <v>2</v>
      </c>
      <c r="AC71" s="665">
        <v>4</v>
      </c>
      <c r="AD71" s="665">
        <v>3</v>
      </c>
      <c r="AE71" s="665">
        <v>1</v>
      </c>
      <c r="AF71" s="665">
        <v>3</v>
      </c>
      <c r="AG71" s="665">
        <v>3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0.13359291084854993</v>
      </c>
      <c r="F72" s="680">
        <f t="shared" si="25"/>
        <v>3.3166666666666669</v>
      </c>
      <c r="G72" s="680">
        <f t="shared" si="26"/>
        <v>3.1666666666666665</v>
      </c>
      <c r="H72" s="679">
        <f t="shared" si="27"/>
        <v>4.5</v>
      </c>
      <c r="I72" s="679">
        <f t="shared" si="28"/>
        <v>3</v>
      </c>
      <c r="J72" s="679">
        <f t="shared" si="29"/>
        <v>3</v>
      </c>
      <c r="K72" s="673">
        <v>5</v>
      </c>
      <c r="L72" s="673">
        <v>4</v>
      </c>
      <c r="M72" s="673">
        <v>3</v>
      </c>
      <c r="N72" s="673">
        <v>1</v>
      </c>
      <c r="O72" s="673">
        <v>2</v>
      </c>
      <c r="P72" s="673">
        <v>4</v>
      </c>
      <c r="Q72" s="673">
        <v>6</v>
      </c>
      <c r="R72" s="673">
        <v>5</v>
      </c>
      <c r="S72" s="673">
        <v>7</v>
      </c>
      <c r="T72" s="673">
        <v>5</v>
      </c>
      <c r="U72" s="673">
        <v>3</v>
      </c>
      <c r="V72" s="665">
        <v>1</v>
      </c>
      <c r="W72" s="665">
        <v>5</v>
      </c>
      <c r="X72" s="665">
        <v>5</v>
      </c>
      <c r="Y72" s="665">
        <v>4</v>
      </c>
      <c r="Z72" s="665">
        <v>1</v>
      </c>
      <c r="AA72" s="665">
        <v>2</v>
      </c>
      <c r="AB72" s="665">
        <v>1</v>
      </c>
      <c r="AC72" s="665">
        <v>5</v>
      </c>
      <c r="AD72" s="665">
        <v>3</v>
      </c>
      <c r="AE72" s="665">
        <v>1</v>
      </c>
      <c r="AF72" s="665">
        <v>3</v>
      </c>
      <c r="AG72" s="665">
        <v>3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7.8897199002786342E-2</v>
      </c>
      <c r="F73" s="680">
        <f t="shared" si="25"/>
        <v>1.7933333333333334</v>
      </c>
      <c r="G73" s="680">
        <f t="shared" si="26"/>
        <v>2.5</v>
      </c>
      <c r="H73" s="679">
        <f t="shared" si="27"/>
        <v>1.1666666666666667</v>
      </c>
      <c r="I73" s="679">
        <f t="shared" si="28"/>
        <v>2.5</v>
      </c>
      <c r="J73" s="679">
        <f t="shared" si="29"/>
        <v>1.4</v>
      </c>
      <c r="K73" s="673">
        <v>5</v>
      </c>
      <c r="L73" s="673">
        <v>1</v>
      </c>
      <c r="M73" s="673">
        <v>4</v>
      </c>
      <c r="N73" s="673">
        <v>1</v>
      </c>
      <c r="O73" s="673">
        <v>2</v>
      </c>
      <c r="P73" s="673">
        <v>2</v>
      </c>
      <c r="Q73" s="673">
        <v>1</v>
      </c>
      <c r="R73" s="673">
        <v>0</v>
      </c>
      <c r="S73" s="673">
        <v>0</v>
      </c>
      <c r="T73" s="673">
        <v>4</v>
      </c>
      <c r="U73" s="673">
        <v>1</v>
      </c>
      <c r="V73" s="665">
        <v>1</v>
      </c>
      <c r="W73" s="665">
        <v>1</v>
      </c>
      <c r="X73" s="665">
        <v>2</v>
      </c>
      <c r="Y73" s="665">
        <v>4</v>
      </c>
      <c r="Z73" s="665">
        <v>2</v>
      </c>
      <c r="AA73" s="665">
        <v>3</v>
      </c>
      <c r="AB73" s="665">
        <v>3</v>
      </c>
      <c r="AC73" s="665">
        <v>1</v>
      </c>
      <c r="AD73" s="665">
        <v>2</v>
      </c>
      <c r="AE73" s="665">
        <v>2</v>
      </c>
      <c r="AF73" s="665">
        <v>0</v>
      </c>
      <c r="AG73" s="665">
        <v>2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0.17011291978295942</v>
      </c>
      <c r="F74" s="680">
        <f t="shared" si="25"/>
        <v>3.8666666666666671</v>
      </c>
      <c r="G74" s="680">
        <f t="shared" si="26"/>
        <v>3.6666666666666665</v>
      </c>
      <c r="H74" s="679">
        <f t="shared" si="27"/>
        <v>5.5</v>
      </c>
      <c r="I74" s="679">
        <f t="shared" si="28"/>
        <v>4</v>
      </c>
      <c r="J74" s="679">
        <f t="shared" si="29"/>
        <v>3</v>
      </c>
      <c r="K74" s="673">
        <v>6</v>
      </c>
      <c r="L74" s="673">
        <v>2</v>
      </c>
      <c r="M74" s="673">
        <v>5</v>
      </c>
      <c r="N74" s="673">
        <v>3</v>
      </c>
      <c r="O74" s="673">
        <v>1</v>
      </c>
      <c r="P74" s="673">
        <v>5</v>
      </c>
      <c r="Q74" s="673">
        <v>3</v>
      </c>
      <c r="R74" s="673">
        <v>9</v>
      </c>
      <c r="S74" s="673">
        <v>2</v>
      </c>
      <c r="T74" s="673">
        <v>7</v>
      </c>
      <c r="U74" s="673">
        <v>5</v>
      </c>
      <c r="V74" s="665">
        <v>7</v>
      </c>
      <c r="W74" s="665">
        <v>4</v>
      </c>
      <c r="X74" s="665">
        <v>4</v>
      </c>
      <c r="Y74" s="665">
        <v>1</v>
      </c>
      <c r="Z74" s="665">
        <v>3</v>
      </c>
      <c r="AA74" s="665">
        <v>2</v>
      </c>
      <c r="AB74" s="665">
        <v>10</v>
      </c>
      <c r="AC74" s="665">
        <v>1</v>
      </c>
      <c r="AD74" s="665">
        <v>2</v>
      </c>
      <c r="AE74" s="665">
        <v>3</v>
      </c>
      <c r="AF74" s="665">
        <v>3</v>
      </c>
      <c r="AG74" s="665">
        <v>6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0.13330400351957769</v>
      </c>
      <c r="F75" s="680">
        <f t="shared" si="25"/>
        <v>3.0300000000000002</v>
      </c>
      <c r="G75" s="680">
        <f t="shared" si="26"/>
        <v>2</v>
      </c>
      <c r="H75" s="679">
        <f t="shared" si="27"/>
        <v>4</v>
      </c>
      <c r="I75" s="679">
        <f t="shared" si="28"/>
        <v>2.5</v>
      </c>
      <c r="J75" s="679">
        <f t="shared" si="29"/>
        <v>3.2</v>
      </c>
      <c r="K75" s="673">
        <v>2</v>
      </c>
      <c r="L75" s="673">
        <v>1</v>
      </c>
      <c r="M75" s="673">
        <v>2</v>
      </c>
      <c r="N75" s="673">
        <v>2</v>
      </c>
      <c r="O75" s="673">
        <v>1</v>
      </c>
      <c r="P75" s="673">
        <v>4</v>
      </c>
      <c r="Q75" s="673">
        <v>4</v>
      </c>
      <c r="R75" s="673">
        <v>2</v>
      </c>
      <c r="S75" s="673">
        <v>4</v>
      </c>
      <c r="T75" s="673">
        <v>8</v>
      </c>
      <c r="U75" s="673">
        <v>5</v>
      </c>
      <c r="V75" s="665">
        <v>1</v>
      </c>
      <c r="W75" s="665">
        <v>4</v>
      </c>
      <c r="X75" s="665">
        <v>1</v>
      </c>
      <c r="Y75" s="665">
        <v>3</v>
      </c>
      <c r="Z75" s="665">
        <v>3</v>
      </c>
      <c r="AA75" s="665">
        <v>1</v>
      </c>
      <c r="AB75" s="665">
        <v>3</v>
      </c>
      <c r="AC75" s="665">
        <v>5</v>
      </c>
      <c r="AD75" s="665">
        <v>2</v>
      </c>
      <c r="AE75" s="665">
        <v>3</v>
      </c>
      <c r="AF75" s="665">
        <v>4</v>
      </c>
      <c r="AG75" s="665">
        <v>2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0.10309429535122452</v>
      </c>
      <c r="F76" s="680">
        <f t="shared" si="25"/>
        <v>2.3433333333333333</v>
      </c>
      <c r="G76" s="680">
        <f t="shared" si="26"/>
        <v>3.1666666666666665</v>
      </c>
      <c r="H76" s="679">
        <f t="shared" si="27"/>
        <v>2.3333333333333335</v>
      </c>
      <c r="I76" s="679">
        <f t="shared" si="28"/>
        <v>2</v>
      </c>
      <c r="J76" s="679">
        <f t="shared" si="29"/>
        <v>2.4</v>
      </c>
      <c r="K76" s="673">
        <v>4</v>
      </c>
      <c r="L76" s="673">
        <v>4</v>
      </c>
      <c r="M76" s="673">
        <v>2</v>
      </c>
      <c r="N76" s="673">
        <v>0</v>
      </c>
      <c r="O76" s="673">
        <v>5</v>
      </c>
      <c r="P76" s="673">
        <v>4</v>
      </c>
      <c r="Q76" s="673">
        <v>1</v>
      </c>
      <c r="R76" s="673">
        <v>1</v>
      </c>
      <c r="S76" s="673">
        <v>1</v>
      </c>
      <c r="T76" s="673">
        <v>5</v>
      </c>
      <c r="U76" s="673">
        <v>3</v>
      </c>
      <c r="V76" s="665">
        <v>3</v>
      </c>
      <c r="W76" s="665">
        <v>1</v>
      </c>
      <c r="X76" s="665">
        <v>3</v>
      </c>
      <c r="Y76" s="665">
        <v>1</v>
      </c>
      <c r="Z76" s="665">
        <v>2</v>
      </c>
      <c r="AA76" s="665">
        <v>2</v>
      </c>
      <c r="AB76" s="665">
        <v>3</v>
      </c>
      <c r="AC76" s="665">
        <v>2</v>
      </c>
      <c r="AD76" s="665">
        <v>2</v>
      </c>
      <c r="AE76" s="665">
        <v>3</v>
      </c>
      <c r="AF76" s="665">
        <v>1</v>
      </c>
      <c r="AG76" s="665">
        <v>4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0.29065845431881515</v>
      </c>
      <c r="F77" s="680">
        <f t="shared" si="25"/>
        <v>6.6066666666666674</v>
      </c>
      <c r="G77" s="680">
        <f t="shared" si="26"/>
        <v>7.166666666666667</v>
      </c>
      <c r="H77" s="679">
        <f t="shared" si="27"/>
        <v>7.5</v>
      </c>
      <c r="I77" s="679">
        <f t="shared" si="28"/>
        <v>5.833333333333333</v>
      </c>
      <c r="J77" s="679">
        <f t="shared" si="29"/>
        <v>6.6</v>
      </c>
      <c r="K77" s="673">
        <v>12</v>
      </c>
      <c r="L77" s="673">
        <v>9</v>
      </c>
      <c r="M77" s="673">
        <v>7</v>
      </c>
      <c r="N77" s="673">
        <v>4</v>
      </c>
      <c r="O77" s="673">
        <v>6</v>
      </c>
      <c r="P77" s="673">
        <v>5</v>
      </c>
      <c r="Q77" s="673">
        <v>7</v>
      </c>
      <c r="R77" s="673">
        <v>10</v>
      </c>
      <c r="S77" s="673">
        <v>2</v>
      </c>
      <c r="T77" s="673">
        <v>8</v>
      </c>
      <c r="U77" s="673">
        <v>8</v>
      </c>
      <c r="V77" s="665">
        <v>10</v>
      </c>
      <c r="W77" s="665">
        <v>8</v>
      </c>
      <c r="X77" s="665">
        <v>6</v>
      </c>
      <c r="Y77" s="665">
        <v>7</v>
      </c>
      <c r="Z77" s="665">
        <v>4</v>
      </c>
      <c r="AA77" s="665">
        <v>3</v>
      </c>
      <c r="AB77" s="665">
        <v>7</v>
      </c>
      <c r="AC77" s="665">
        <v>7</v>
      </c>
      <c r="AD77" s="665">
        <v>5</v>
      </c>
      <c r="AE77" s="665">
        <v>13</v>
      </c>
      <c r="AF77" s="665">
        <v>4</v>
      </c>
      <c r="AG77" s="665">
        <v>4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0.14048980788971993</v>
      </c>
      <c r="F78" s="680">
        <f t="shared" si="25"/>
        <v>3.1933333333333334</v>
      </c>
      <c r="G78" s="680">
        <f t="shared" si="26"/>
        <v>3.3333333333333335</v>
      </c>
      <c r="H78" s="679">
        <f t="shared" si="27"/>
        <v>5</v>
      </c>
      <c r="I78" s="679">
        <f t="shared" si="28"/>
        <v>3</v>
      </c>
      <c r="J78" s="679">
        <f t="shared" si="29"/>
        <v>2.4</v>
      </c>
      <c r="K78" s="673">
        <v>4</v>
      </c>
      <c r="L78" s="673">
        <v>4</v>
      </c>
      <c r="M78" s="673">
        <v>2</v>
      </c>
      <c r="N78" s="673">
        <v>2</v>
      </c>
      <c r="O78" s="673">
        <v>3</v>
      </c>
      <c r="P78" s="673">
        <v>5</v>
      </c>
      <c r="Q78" s="673">
        <v>2</v>
      </c>
      <c r="R78" s="673">
        <v>5</v>
      </c>
      <c r="S78" s="673">
        <v>5</v>
      </c>
      <c r="T78" s="673">
        <v>5</v>
      </c>
      <c r="U78" s="673">
        <v>7</v>
      </c>
      <c r="V78" s="665">
        <v>6</v>
      </c>
      <c r="W78" s="665">
        <v>4</v>
      </c>
      <c r="X78" s="665">
        <v>4</v>
      </c>
      <c r="Y78" s="665">
        <v>1</v>
      </c>
      <c r="Z78" s="665">
        <v>3</v>
      </c>
      <c r="AA78" s="665">
        <v>2</v>
      </c>
      <c r="AB78" s="665">
        <v>4</v>
      </c>
      <c r="AC78" s="665">
        <v>1</v>
      </c>
      <c r="AD78" s="665">
        <v>3</v>
      </c>
      <c r="AE78" s="665">
        <v>2</v>
      </c>
      <c r="AF78" s="665">
        <v>3</v>
      </c>
      <c r="AG78" s="665">
        <v>3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8.3443320134917162E-2</v>
      </c>
      <c r="F79" s="680">
        <f t="shared" si="25"/>
        <v>1.8966666666666667</v>
      </c>
      <c r="G79" s="680">
        <f t="shared" si="26"/>
        <v>2</v>
      </c>
      <c r="H79" s="679">
        <f t="shared" si="27"/>
        <v>3.8333333333333335</v>
      </c>
      <c r="I79" s="679">
        <f t="shared" si="28"/>
        <v>1.5</v>
      </c>
      <c r="J79" s="679">
        <f t="shared" si="29"/>
        <v>1.2</v>
      </c>
      <c r="K79" s="673">
        <v>4</v>
      </c>
      <c r="L79" s="673">
        <v>5</v>
      </c>
      <c r="M79" s="673">
        <v>1</v>
      </c>
      <c r="N79" s="673">
        <v>2</v>
      </c>
      <c r="O79" s="673">
        <v>0</v>
      </c>
      <c r="P79" s="673">
        <v>0</v>
      </c>
      <c r="Q79" s="673">
        <v>4</v>
      </c>
      <c r="R79" s="673">
        <v>3</v>
      </c>
      <c r="S79" s="673">
        <v>1</v>
      </c>
      <c r="T79" s="673">
        <v>8</v>
      </c>
      <c r="U79" s="673">
        <v>3</v>
      </c>
      <c r="V79" s="665">
        <v>4</v>
      </c>
      <c r="W79" s="665">
        <v>2</v>
      </c>
      <c r="X79" s="665">
        <v>0</v>
      </c>
      <c r="Y79" s="665">
        <v>5</v>
      </c>
      <c r="Z79" s="665">
        <v>0</v>
      </c>
      <c r="AA79" s="665">
        <v>2</v>
      </c>
      <c r="AB79" s="665">
        <v>0</v>
      </c>
      <c r="AC79" s="665">
        <v>2</v>
      </c>
      <c r="AD79" s="665">
        <v>0</v>
      </c>
      <c r="AE79" s="665">
        <v>2</v>
      </c>
      <c r="AF79" s="665">
        <v>2</v>
      </c>
      <c r="AG79" s="665">
        <v>0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9.0712742980561575E-2</v>
      </c>
      <c r="F80" s="680">
        <f t="shared" si="25"/>
        <v>1.8200000000000003</v>
      </c>
      <c r="G80" s="680">
        <f t="shared" si="26"/>
        <v>0.83333333333333337</v>
      </c>
      <c r="H80" s="679">
        <f t="shared" si="27"/>
        <v>2.3333333333333335</v>
      </c>
      <c r="I80" s="679">
        <f t="shared" si="28"/>
        <v>1.8333333333333333</v>
      </c>
      <c r="J80" s="679">
        <f t="shared" si="29"/>
        <v>1.8</v>
      </c>
      <c r="K80" s="673">
        <v>2</v>
      </c>
      <c r="L80" s="673">
        <v>1</v>
      </c>
      <c r="M80" s="673">
        <v>1</v>
      </c>
      <c r="N80" s="673">
        <v>0</v>
      </c>
      <c r="O80" s="673">
        <v>1</v>
      </c>
      <c r="P80" s="673">
        <v>0</v>
      </c>
      <c r="Q80" s="673">
        <v>2</v>
      </c>
      <c r="R80" s="673">
        <v>1</v>
      </c>
      <c r="S80" s="673">
        <v>1</v>
      </c>
      <c r="T80" s="673">
        <v>5</v>
      </c>
      <c r="U80" s="673">
        <v>3</v>
      </c>
      <c r="V80" s="665">
        <v>2</v>
      </c>
      <c r="W80" s="665">
        <v>2</v>
      </c>
      <c r="X80" s="665">
        <v>1</v>
      </c>
      <c r="Y80" s="665">
        <v>2</v>
      </c>
      <c r="Z80" s="665">
        <v>4</v>
      </c>
      <c r="AA80" s="665">
        <v>1</v>
      </c>
      <c r="AB80" s="665">
        <v>1</v>
      </c>
      <c r="AC80" s="665">
        <v>1</v>
      </c>
      <c r="AD80" s="665">
        <v>1</v>
      </c>
      <c r="AE80" s="665">
        <v>3</v>
      </c>
      <c r="AF80" s="665">
        <v>1</v>
      </c>
      <c r="AG80" s="665">
        <v>3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0.15716896494434293</v>
      </c>
      <c r="F81" s="680">
        <f t="shared" si="25"/>
        <v>3.1533333333333333</v>
      </c>
      <c r="G81" s="680">
        <f t="shared" si="26"/>
        <v>2</v>
      </c>
      <c r="H81" s="679">
        <f t="shared" si="27"/>
        <v>4.166666666666667</v>
      </c>
      <c r="I81" s="679">
        <f t="shared" si="28"/>
        <v>2</v>
      </c>
      <c r="J81" s="679">
        <f t="shared" si="29"/>
        <v>3.8</v>
      </c>
      <c r="K81" s="673">
        <v>2</v>
      </c>
      <c r="L81" s="673">
        <v>1</v>
      </c>
      <c r="M81" s="673">
        <v>1</v>
      </c>
      <c r="N81" s="673">
        <v>1</v>
      </c>
      <c r="O81" s="673">
        <v>4</v>
      </c>
      <c r="P81" s="673">
        <v>3</v>
      </c>
      <c r="Q81" s="673">
        <v>2</v>
      </c>
      <c r="R81" s="673">
        <v>3</v>
      </c>
      <c r="S81" s="673">
        <v>5</v>
      </c>
      <c r="T81" s="673">
        <v>4</v>
      </c>
      <c r="U81" s="673">
        <v>6</v>
      </c>
      <c r="V81" s="665">
        <v>5</v>
      </c>
      <c r="W81" s="665">
        <v>2</v>
      </c>
      <c r="X81" s="665">
        <v>2</v>
      </c>
      <c r="Y81" s="665">
        <v>3</v>
      </c>
      <c r="Z81" s="665">
        <v>3</v>
      </c>
      <c r="AA81" s="665">
        <v>1</v>
      </c>
      <c r="AB81" s="665">
        <v>1</v>
      </c>
      <c r="AC81" s="665">
        <v>1</v>
      </c>
      <c r="AD81" s="665">
        <v>4</v>
      </c>
      <c r="AE81" s="665">
        <v>4</v>
      </c>
      <c r="AF81" s="665">
        <v>4</v>
      </c>
      <c r="AG81" s="665">
        <v>6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0.20518358531317499</v>
      </c>
      <c r="F82" s="680">
        <f t="shared" si="25"/>
        <v>4.1166666666666671</v>
      </c>
      <c r="G82" s="680">
        <f t="shared" si="26"/>
        <v>3.6666666666666665</v>
      </c>
      <c r="H82" s="679">
        <f t="shared" si="27"/>
        <v>5</v>
      </c>
      <c r="I82" s="679">
        <f t="shared" si="28"/>
        <v>3.8333333333333335</v>
      </c>
      <c r="J82" s="679">
        <f t="shared" si="29"/>
        <v>4</v>
      </c>
      <c r="K82" s="673">
        <v>6</v>
      </c>
      <c r="L82" s="673">
        <v>4</v>
      </c>
      <c r="M82" s="673">
        <v>2</v>
      </c>
      <c r="N82" s="673">
        <v>1</v>
      </c>
      <c r="O82" s="673">
        <v>4</v>
      </c>
      <c r="P82" s="673">
        <v>5</v>
      </c>
      <c r="Q82" s="673">
        <v>6</v>
      </c>
      <c r="R82" s="673">
        <v>6</v>
      </c>
      <c r="S82" s="673">
        <v>4</v>
      </c>
      <c r="T82" s="673">
        <v>5</v>
      </c>
      <c r="U82" s="673">
        <v>5</v>
      </c>
      <c r="V82" s="665">
        <v>4</v>
      </c>
      <c r="W82" s="665">
        <v>3</v>
      </c>
      <c r="X82" s="665">
        <v>5</v>
      </c>
      <c r="Y82" s="665">
        <v>4</v>
      </c>
      <c r="Z82" s="665">
        <v>4</v>
      </c>
      <c r="AA82" s="665">
        <v>4</v>
      </c>
      <c r="AB82" s="665">
        <v>3</v>
      </c>
      <c r="AC82" s="665">
        <v>3</v>
      </c>
      <c r="AD82" s="665">
        <v>2</v>
      </c>
      <c r="AE82" s="665">
        <v>6</v>
      </c>
      <c r="AF82" s="665">
        <v>5</v>
      </c>
      <c r="AG82" s="665">
        <v>4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0.10084731683003822</v>
      </c>
      <c r="F83" s="680">
        <f t="shared" si="25"/>
        <v>2.0233333333333334</v>
      </c>
      <c r="G83" s="680">
        <f t="shared" si="26"/>
        <v>1.1666666666666667</v>
      </c>
      <c r="H83" s="679">
        <f t="shared" si="27"/>
        <v>2.3333333333333335</v>
      </c>
      <c r="I83" s="679">
        <f t="shared" si="28"/>
        <v>1.3333333333333333</v>
      </c>
      <c r="J83" s="679">
        <f t="shared" si="29"/>
        <v>2.6</v>
      </c>
      <c r="K83" s="673">
        <v>3</v>
      </c>
      <c r="L83" s="673">
        <v>0</v>
      </c>
      <c r="M83" s="673">
        <v>1</v>
      </c>
      <c r="N83" s="673">
        <v>1</v>
      </c>
      <c r="O83" s="673">
        <v>2</v>
      </c>
      <c r="P83" s="673">
        <v>0</v>
      </c>
      <c r="Q83" s="673">
        <v>1</v>
      </c>
      <c r="R83" s="673">
        <v>2</v>
      </c>
      <c r="S83" s="673">
        <v>1</v>
      </c>
      <c r="T83" s="673">
        <v>1</v>
      </c>
      <c r="U83" s="673">
        <v>7</v>
      </c>
      <c r="V83" s="665">
        <v>2</v>
      </c>
      <c r="W83" s="665">
        <v>2</v>
      </c>
      <c r="X83" s="665">
        <v>2</v>
      </c>
      <c r="Y83" s="665">
        <v>1</v>
      </c>
      <c r="Z83" s="665">
        <v>1</v>
      </c>
      <c r="AA83" s="665">
        <v>1</v>
      </c>
      <c r="AB83" s="665">
        <v>1</v>
      </c>
      <c r="AC83" s="665">
        <v>0</v>
      </c>
      <c r="AD83" s="665">
        <v>1</v>
      </c>
      <c r="AE83" s="665">
        <v>4</v>
      </c>
      <c r="AF83" s="665">
        <v>3</v>
      </c>
      <c r="AG83" s="665">
        <v>5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0.1686326632330952</v>
      </c>
      <c r="F84" s="680">
        <f t="shared" si="25"/>
        <v>3.3833333333333333</v>
      </c>
      <c r="G84" s="680">
        <f t="shared" si="26"/>
        <v>2.5</v>
      </c>
      <c r="H84" s="679">
        <f t="shared" si="27"/>
        <v>3.6666666666666665</v>
      </c>
      <c r="I84" s="679">
        <f t="shared" si="28"/>
        <v>2.6666666666666665</v>
      </c>
      <c r="J84" s="679">
        <f t="shared" si="29"/>
        <v>4</v>
      </c>
      <c r="K84" s="673">
        <v>4</v>
      </c>
      <c r="L84" s="673">
        <v>1</v>
      </c>
      <c r="M84" s="673">
        <v>5</v>
      </c>
      <c r="N84" s="673">
        <v>1</v>
      </c>
      <c r="O84" s="673">
        <v>3</v>
      </c>
      <c r="P84" s="673">
        <v>1</v>
      </c>
      <c r="Q84" s="673">
        <v>4</v>
      </c>
      <c r="R84" s="673">
        <v>3</v>
      </c>
      <c r="S84" s="673">
        <v>3</v>
      </c>
      <c r="T84" s="673">
        <v>2</v>
      </c>
      <c r="U84" s="673">
        <v>5</v>
      </c>
      <c r="V84" s="665">
        <v>5</v>
      </c>
      <c r="W84" s="665">
        <v>4</v>
      </c>
      <c r="X84" s="665">
        <v>2</v>
      </c>
      <c r="Y84" s="665">
        <v>3</v>
      </c>
      <c r="Z84" s="665">
        <v>2</v>
      </c>
      <c r="AA84" s="665">
        <v>4</v>
      </c>
      <c r="AB84" s="665">
        <v>1</v>
      </c>
      <c r="AC84" s="665">
        <v>2</v>
      </c>
      <c r="AD84" s="665">
        <v>3</v>
      </c>
      <c r="AE84" s="665">
        <v>3</v>
      </c>
      <c r="AF84" s="665">
        <v>6</v>
      </c>
      <c r="AG84" s="665">
        <v>6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0.13523841169629511</v>
      </c>
      <c r="F85" s="680">
        <f t="shared" si="25"/>
        <v>2.7133333333333338</v>
      </c>
      <c r="G85" s="680">
        <f t="shared" si="26"/>
        <v>3</v>
      </c>
      <c r="H85" s="679">
        <f t="shared" si="27"/>
        <v>3.1666666666666665</v>
      </c>
      <c r="I85" s="679">
        <f t="shared" si="28"/>
        <v>1.6666666666666667</v>
      </c>
      <c r="J85" s="679">
        <f t="shared" si="29"/>
        <v>3.2</v>
      </c>
      <c r="K85" s="673">
        <v>5</v>
      </c>
      <c r="L85" s="673">
        <v>3</v>
      </c>
      <c r="M85" s="673">
        <v>3</v>
      </c>
      <c r="N85" s="673">
        <v>4</v>
      </c>
      <c r="O85" s="673">
        <v>1</v>
      </c>
      <c r="P85" s="673">
        <v>2</v>
      </c>
      <c r="Q85" s="673">
        <v>2</v>
      </c>
      <c r="R85" s="673">
        <v>3</v>
      </c>
      <c r="S85" s="673">
        <v>2</v>
      </c>
      <c r="T85" s="673">
        <v>3</v>
      </c>
      <c r="U85" s="673">
        <v>5</v>
      </c>
      <c r="V85" s="665">
        <v>4</v>
      </c>
      <c r="W85" s="665">
        <v>1</v>
      </c>
      <c r="X85" s="665">
        <v>1</v>
      </c>
      <c r="Y85" s="665">
        <v>1</v>
      </c>
      <c r="Z85" s="665">
        <v>2</v>
      </c>
      <c r="AA85" s="665">
        <v>2</v>
      </c>
      <c r="AB85" s="665">
        <v>3</v>
      </c>
      <c r="AC85" s="665">
        <v>1</v>
      </c>
      <c r="AD85" s="665">
        <v>4</v>
      </c>
      <c r="AE85" s="665">
        <v>6</v>
      </c>
      <c r="AF85" s="665">
        <v>2</v>
      </c>
      <c r="AG85" s="665">
        <v>3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0.14221631500249213</v>
      </c>
      <c r="F86" s="680">
        <f t="shared" si="25"/>
        <v>2.8533333333333335</v>
      </c>
      <c r="G86" s="680">
        <f t="shared" si="26"/>
        <v>1.8333333333333333</v>
      </c>
      <c r="H86" s="679">
        <f t="shared" si="27"/>
        <v>3.5</v>
      </c>
      <c r="I86" s="679">
        <f t="shared" si="28"/>
        <v>2.8333333333333335</v>
      </c>
      <c r="J86" s="679">
        <f t="shared" si="29"/>
        <v>2.8</v>
      </c>
      <c r="K86" s="673">
        <v>4</v>
      </c>
      <c r="L86" s="673">
        <v>2</v>
      </c>
      <c r="M86" s="673">
        <v>1</v>
      </c>
      <c r="N86" s="673">
        <v>0</v>
      </c>
      <c r="O86" s="673">
        <v>2</v>
      </c>
      <c r="P86" s="673">
        <v>2</v>
      </c>
      <c r="Q86" s="673">
        <v>5</v>
      </c>
      <c r="R86" s="673">
        <v>2</v>
      </c>
      <c r="S86" s="673">
        <v>2</v>
      </c>
      <c r="T86" s="673">
        <v>7</v>
      </c>
      <c r="U86" s="673">
        <v>3</v>
      </c>
      <c r="V86" s="665">
        <v>2</v>
      </c>
      <c r="W86" s="665">
        <v>5</v>
      </c>
      <c r="X86" s="665">
        <v>2</v>
      </c>
      <c r="Y86" s="665">
        <v>4</v>
      </c>
      <c r="Z86" s="665">
        <v>1</v>
      </c>
      <c r="AA86" s="665">
        <v>3</v>
      </c>
      <c r="AB86" s="665">
        <v>2</v>
      </c>
      <c r="AC86" s="665">
        <v>6</v>
      </c>
      <c r="AD86" s="665">
        <v>2</v>
      </c>
      <c r="AE86" s="665">
        <v>3</v>
      </c>
      <c r="AF86" s="665">
        <v>2</v>
      </c>
      <c r="AG86" s="665">
        <v>1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29" priority="11" operator="equal">
      <formula>0</formula>
    </cfRule>
  </conditionalFormatting>
  <conditionalFormatting sqref="K31:V86">
    <cfRule type="cellIs" dxfId="28" priority="10" operator="equal">
      <formula>0</formula>
    </cfRule>
  </conditionalFormatting>
  <conditionalFormatting sqref="G16:J16 G15 I15">
    <cfRule type="cellIs" dxfId="27" priority="9" operator="equal">
      <formula>0</formula>
    </cfRule>
  </conditionalFormatting>
  <conditionalFormatting sqref="G7:J7 G6 I6">
    <cfRule type="cellIs" dxfId="26" priority="8" operator="equal">
      <formula>0</formula>
    </cfRule>
  </conditionalFormatting>
  <conditionalFormatting sqref="F15">
    <cfRule type="cellIs" dxfId="25" priority="7" operator="equal">
      <formula>0</formula>
    </cfRule>
  </conditionalFormatting>
  <conditionalFormatting sqref="F28">
    <cfRule type="cellIs" dxfId="24" priority="6" operator="equal">
      <formula>0</formula>
    </cfRule>
  </conditionalFormatting>
  <conditionalFormatting sqref="E8:E14 E1:E6 E30:E1048576">
    <cfRule type="cellIs" dxfId="23" priority="5" operator="equal">
      <formula>0</formula>
    </cfRule>
  </conditionalFormatting>
  <conditionalFormatting sqref="E15">
    <cfRule type="cellIs" dxfId="22" priority="4" operator="equal">
      <formula>0</formula>
    </cfRule>
  </conditionalFormatting>
  <conditionalFormatting sqref="E28">
    <cfRule type="cellIs" dxfId="21" priority="3" operator="equal">
      <formula>0</formula>
    </cfRule>
  </conditionalFormatting>
  <conditionalFormatting sqref="C2:C3">
    <cfRule type="cellIs" dxfId="20" priority="1" operator="equal">
      <formula>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J86"/>
  <sheetViews>
    <sheetView showGridLines="0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509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510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1281.4266666666667</v>
      </c>
      <c r="G8" s="678">
        <f>SUM(G9:G12)</f>
        <v>1448.3333333333333</v>
      </c>
      <c r="H8" s="671">
        <f t="shared" ref="H8:J8" si="0">SUM(H9:H12)</f>
        <v>1323.1666666666665</v>
      </c>
      <c r="I8" s="671">
        <f t="shared" si="0"/>
        <v>1354</v>
      </c>
      <c r="J8" s="671">
        <f t="shared" si="0"/>
        <v>1164.4000000000001</v>
      </c>
      <c r="K8" s="671">
        <f t="shared" ref="K8:AH8" si="1">SUM(K9:K12)</f>
        <v>1620</v>
      </c>
      <c r="L8" s="671">
        <f t="shared" si="1"/>
        <v>1350</v>
      </c>
      <c r="M8" s="671">
        <f t="shared" si="1"/>
        <v>1545</v>
      </c>
      <c r="N8" s="671">
        <f t="shared" si="1"/>
        <v>1465</v>
      </c>
      <c r="O8" s="671">
        <f t="shared" si="1"/>
        <v>1435</v>
      </c>
      <c r="P8" s="671">
        <f t="shared" si="1"/>
        <v>1275</v>
      </c>
      <c r="Q8" s="671">
        <f t="shared" si="1"/>
        <v>1324</v>
      </c>
      <c r="R8" s="671">
        <f t="shared" si="1"/>
        <v>1360</v>
      </c>
      <c r="S8" s="671">
        <f t="shared" si="1"/>
        <v>1048</v>
      </c>
      <c r="T8" s="671">
        <f t="shared" si="1"/>
        <v>1333</v>
      </c>
      <c r="U8" s="671">
        <f t="shared" si="1"/>
        <v>1406</v>
      </c>
      <c r="V8" s="671">
        <f t="shared" si="1"/>
        <v>1468</v>
      </c>
      <c r="W8" s="671">
        <f t="shared" si="1"/>
        <v>1440</v>
      </c>
      <c r="X8" s="671">
        <f t="shared" si="1"/>
        <v>1396</v>
      </c>
      <c r="Y8" s="671">
        <f t="shared" si="1"/>
        <v>1398</v>
      </c>
      <c r="Z8" s="671">
        <f t="shared" si="1"/>
        <v>1193</v>
      </c>
      <c r="AA8" s="671">
        <f t="shared" si="1"/>
        <v>1376</v>
      </c>
      <c r="AB8" s="671">
        <f t="shared" si="1"/>
        <v>1321</v>
      </c>
      <c r="AC8" s="671">
        <f t="shared" si="1"/>
        <v>1202</v>
      </c>
      <c r="AD8" s="671">
        <f t="shared" si="1"/>
        <v>1336</v>
      </c>
      <c r="AE8" s="671">
        <f t="shared" si="1"/>
        <v>1280</v>
      </c>
      <c r="AF8" s="671">
        <f t="shared" si="1"/>
        <v>1079</v>
      </c>
      <c r="AG8" s="671">
        <f t="shared" si="1"/>
        <v>925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0.18506456345531544</v>
      </c>
      <c r="F9" s="683">
        <f t="shared" ref="F9:F12" si="3">G9*10%+H9*20%+I9*30%+J9*40%</f>
        <v>237.14666666666668</v>
      </c>
      <c r="G9" s="675">
        <f t="shared" ref="G9:G12" si="4">AVERAGE(K9:P9)</f>
        <v>248.33333333333334</v>
      </c>
      <c r="H9" s="672">
        <f t="shared" ref="H9:H12" si="5">AVERAGE(Q9:V9)</f>
        <v>228.66666666666666</v>
      </c>
      <c r="I9" s="672">
        <f t="shared" ref="I9:I12" si="6">AVERAGE(W9:AB9)</f>
        <v>271</v>
      </c>
      <c r="J9" s="672">
        <f t="shared" ref="J9:J12" si="7">AVERAGE(AC9:AG9)</f>
        <v>213.2</v>
      </c>
      <c r="K9" s="673">
        <f>SUMIF($B$18:$B$25,$C9,K$18:K$25)</f>
        <v>283</v>
      </c>
      <c r="L9" s="673">
        <f t="shared" ref="L9:AA12" si="8">SUMIF($B$18:$B$25,$C9,L$18:L$25)</f>
        <v>231</v>
      </c>
      <c r="M9" s="673">
        <f t="shared" si="8"/>
        <v>267</v>
      </c>
      <c r="N9" s="673">
        <f t="shared" si="8"/>
        <v>268</v>
      </c>
      <c r="O9" s="673">
        <f t="shared" si="8"/>
        <v>228</v>
      </c>
      <c r="P9" s="673">
        <f t="shared" si="8"/>
        <v>213</v>
      </c>
      <c r="Q9" s="673">
        <f t="shared" si="8"/>
        <v>214</v>
      </c>
      <c r="R9" s="673">
        <f t="shared" si="8"/>
        <v>244</v>
      </c>
      <c r="S9" s="673">
        <f t="shared" si="8"/>
        <v>199</v>
      </c>
      <c r="T9" s="673">
        <f t="shared" si="8"/>
        <v>224</v>
      </c>
      <c r="U9" s="673">
        <f t="shared" si="8"/>
        <v>234</v>
      </c>
      <c r="V9" s="673">
        <f t="shared" si="8"/>
        <v>257</v>
      </c>
      <c r="W9" s="673">
        <f t="shared" si="8"/>
        <v>287</v>
      </c>
      <c r="X9" s="673">
        <f t="shared" si="8"/>
        <v>306</v>
      </c>
      <c r="Y9" s="673">
        <f t="shared" si="8"/>
        <v>277</v>
      </c>
      <c r="Z9" s="673">
        <f t="shared" si="8"/>
        <v>211</v>
      </c>
      <c r="AA9" s="673">
        <f t="shared" si="8"/>
        <v>282</v>
      </c>
      <c r="AB9" s="673">
        <f t="shared" ref="AB9:AG12" si="9">SUMIF($B$18:$B$25,$C9,AB$18:AB$25)</f>
        <v>263</v>
      </c>
      <c r="AC9" s="673">
        <f t="shared" si="9"/>
        <v>232</v>
      </c>
      <c r="AD9" s="673">
        <f t="shared" si="9"/>
        <v>225</v>
      </c>
      <c r="AE9" s="673">
        <f t="shared" si="9"/>
        <v>236</v>
      </c>
      <c r="AF9" s="673">
        <f t="shared" si="9"/>
        <v>195</v>
      </c>
      <c r="AG9" s="673">
        <f t="shared" si="9"/>
        <v>178</v>
      </c>
      <c r="AH9" s="673"/>
    </row>
    <row r="10" spans="1:34">
      <c r="C10" s="1002" t="s">
        <v>332</v>
      </c>
      <c r="D10" s="984"/>
      <c r="E10" s="690">
        <f t="shared" si="2"/>
        <v>0.29720779963998462</v>
      </c>
      <c r="F10" s="683">
        <f t="shared" si="3"/>
        <v>380.85</v>
      </c>
      <c r="G10" s="675">
        <f t="shared" si="4"/>
        <v>440.33333333333331</v>
      </c>
      <c r="H10" s="672">
        <f t="shared" si="5"/>
        <v>367.83333333333331</v>
      </c>
      <c r="I10" s="672">
        <f t="shared" si="6"/>
        <v>396.16666666666669</v>
      </c>
      <c r="J10" s="672">
        <f t="shared" si="7"/>
        <v>361</v>
      </c>
      <c r="K10" s="673">
        <f t="shared" ref="K10:K12" si="10">SUMIF($B$18:$B$25,$C10,K$18:K$25)</f>
        <v>504</v>
      </c>
      <c r="L10" s="673">
        <f t="shared" si="8"/>
        <v>400</v>
      </c>
      <c r="M10" s="673">
        <f t="shared" si="8"/>
        <v>488</v>
      </c>
      <c r="N10" s="673">
        <f t="shared" si="8"/>
        <v>422</v>
      </c>
      <c r="O10" s="673">
        <f t="shared" si="8"/>
        <v>455</v>
      </c>
      <c r="P10" s="673">
        <f t="shared" si="8"/>
        <v>373</v>
      </c>
      <c r="Q10" s="673">
        <f t="shared" si="8"/>
        <v>395</v>
      </c>
      <c r="R10" s="673">
        <f t="shared" si="8"/>
        <v>380</v>
      </c>
      <c r="S10" s="673">
        <f t="shared" si="8"/>
        <v>270</v>
      </c>
      <c r="T10" s="673">
        <f t="shared" si="8"/>
        <v>388</v>
      </c>
      <c r="U10" s="673">
        <f t="shared" si="8"/>
        <v>394</v>
      </c>
      <c r="V10" s="673">
        <f t="shared" si="8"/>
        <v>380</v>
      </c>
      <c r="W10" s="673">
        <f t="shared" si="8"/>
        <v>435</v>
      </c>
      <c r="X10" s="673">
        <f t="shared" si="8"/>
        <v>365</v>
      </c>
      <c r="Y10" s="673">
        <f t="shared" si="8"/>
        <v>404</v>
      </c>
      <c r="Z10" s="673">
        <f t="shared" si="8"/>
        <v>344</v>
      </c>
      <c r="AA10" s="673">
        <f t="shared" si="8"/>
        <v>403</v>
      </c>
      <c r="AB10" s="673">
        <f t="shared" si="9"/>
        <v>426</v>
      </c>
      <c r="AC10" s="673">
        <f t="shared" si="9"/>
        <v>398</v>
      </c>
      <c r="AD10" s="673">
        <f t="shared" si="9"/>
        <v>444</v>
      </c>
      <c r="AE10" s="673">
        <f t="shared" si="9"/>
        <v>410</v>
      </c>
      <c r="AF10" s="673">
        <f t="shared" si="9"/>
        <v>291</v>
      </c>
      <c r="AG10" s="673">
        <f t="shared" si="9"/>
        <v>262</v>
      </c>
      <c r="AH10" s="673"/>
    </row>
    <row r="11" spans="1:34">
      <c r="C11" s="1002" t="s">
        <v>333</v>
      </c>
      <c r="D11" s="984"/>
      <c r="E11" s="690">
        <f t="shared" si="2"/>
        <v>0.2747406536464565</v>
      </c>
      <c r="F11" s="683">
        <f t="shared" si="3"/>
        <v>352.05999999999995</v>
      </c>
      <c r="G11" s="675">
        <f t="shared" si="4"/>
        <v>404.33333333333331</v>
      </c>
      <c r="H11" s="672">
        <f t="shared" si="5"/>
        <v>368.33333333333331</v>
      </c>
      <c r="I11" s="672">
        <f t="shared" si="6"/>
        <v>362</v>
      </c>
      <c r="J11" s="672">
        <f t="shared" si="7"/>
        <v>323.39999999999998</v>
      </c>
      <c r="K11" s="673">
        <f t="shared" si="10"/>
        <v>455</v>
      </c>
      <c r="L11" s="673">
        <f t="shared" si="8"/>
        <v>387</v>
      </c>
      <c r="M11" s="673">
        <f t="shared" si="8"/>
        <v>437</v>
      </c>
      <c r="N11" s="673">
        <f t="shared" si="8"/>
        <v>410</v>
      </c>
      <c r="O11" s="673">
        <f t="shared" si="8"/>
        <v>386</v>
      </c>
      <c r="P11" s="673">
        <f t="shared" si="8"/>
        <v>351</v>
      </c>
      <c r="Q11" s="673">
        <f t="shared" si="8"/>
        <v>349</v>
      </c>
      <c r="R11" s="673">
        <f t="shared" si="8"/>
        <v>373</v>
      </c>
      <c r="S11" s="673">
        <f t="shared" si="8"/>
        <v>297</v>
      </c>
      <c r="T11" s="673">
        <f t="shared" si="8"/>
        <v>365</v>
      </c>
      <c r="U11" s="673">
        <f t="shared" si="8"/>
        <v>409</v>
      </c>
      <c r="V11" s="673">
        <f t="shared" si="8"/>
        <v>417</v>
      </c>
      <c r="W11" s="673">
        <f t="shared" si="8"/>
        <v>386</v>
      </c>
      <c r="X11" s="673">
        <f t="shared" si="8"/>
        <v>372</v>
      </c>
      <c r="Y11" s="673">
        <f t="shared" si="8"/>
        <v>370</v>
      </c>
      <c r="Z11" s="673">
        <f t="shared" si="8"/>
        <v>326</v>
      </c>
      <c r="AA11" s="673">
        <f t="shared" si="8"/>
        <v>376</v>
      </c>
      <c r="AB11" s="673">
        <f t="shared" si="9"/>
        <v>342</v>
      </c>
      <c r="AC11" s="673">
        <f t="shared" si="9"/>
        <v>312</v>
      </c>
      <c r="AD11" s="673">
        <f t="shared" si="9"/>
        <v>362</v>
      </c>
      <c r="AE11" s="673">
        <f t="shared" si="9"/>
        <v>356</v>
      </c>
      <c r="AF11" s="673">
        <f t="shared" si="9"/>
        <v>316</v>
      </c>
      <c r="AG11" s="673">
        <f t="shared" si="9"/>
        <v>271</v>
      </c>
      <c r="AH11" s="673"/>
    </row>
    <row r="12" spans="1:34">
      <c r="C12" s="1002" t="s">
        <v>334</v>
      </c>
      <c r="D12" s="984"/>
      <c r="E12" s="690">
        <f t="shared" si="2"/>
        <v>0.24298698325824342</v>
      </c>
      <c r="F12" s="683">
        <f t="shared" si="3"/>
        <v>311.37</v>
      </c>
      <c r="G12" s="675">
        <f t="shared" si="4"/>
        <v>355.33333333333331</v>
      </c>
      <c r="H12" s="672">
        <f t="shared" si="5"/>
        <v>358.33333333333331</v>
      </c>
      <c r="I12" s="672">
        <f t="shared" si="6"/>
        <v>324.83333333333331</v>
      </c>
      <c r="J12" s="672">
        <f t="shared" si="7"/>
        <v>266.8</v>
      </c>
      <c r="K12" s="673">
        <f t="shared" si="10"/>
        <v>378</v>
      </c>
      <c r="L12" s="673">
        <f t="shared" si="8"/>
        <v>332</v>
      </c>
      <c r="M12" s="673">
        <f t="shared" si="8"/>
        <v>353</v>
      </c>
      <c r="N12" s="673">
        <f t="shared" si="8"/>
        <v>365</v>
      </c>
      <c r="O12" s="673">
        <f t="shared" si="8"/>
        <v>366</v>
      </c>
      <c r="P12" s="673">
        <f t="shared" si="8"/>
        <v>338</v>
      </c>
      <c r="Q12" s="673">
        <f t="shared" si="8"/>
        <v>366</v>
      </c>
      <c r="R12" s="673">
        <f t="shared" si="8"/>
        <v>363</v>
      </c>
      <c r="S12" s="673">
        <f t="shared" si="8"/>
        <v>282</v>
      </c>
      <c r="T12" s="673">
        <f t="shared" si="8"/>
        <v>356</v>
      </c>
      <c r="U12" s="673">
        <f t="shared" si="8"/>
        <v>369</v>
      </c>
      <c r="V12" s="673">
        <f t="shared" si="8"/>
        <v>414</v>
      </c>
      <c r="W12" s="673">
        <f t="shared" si="8"/>
        <v>332</v>
      </c>
      <c r="X12" s="673">
        <f t="shared" si="8"/>
        <v>353</v>
      </c>
      <c r="Y12" s="673">
        <f t="shared" si="8"/>
        <v>347</v>
      </c>
      <c r="Z12" s="673">
        <f t="shared" si="8"/>
        <v>312</v>
      </c>
      <c r="AA12" s="673">
        <f t="shared" si="8"/>
        <v>315</v>
      </c>
      <c r="AB12" s="673">
        <f t="shared" si="9"/>
        <v>290</v>
      </c>
      <c r="AC12" s="673">
        <f t="shared" si="9"/>
        <v>260</v>
      </c>
      <c r="AD12" s="673">
        <f t="shared" si="9"/>
        <v>305</v>
      </c>
      <c r="AE12" s="673">
        <f t="shared" si="9"/>
        <v>278</v>
      </c>
      <c r="AF12" s="673">
        <f t="shared" si="9"/>
        <v>277</v>
      </c>
      <c r="AG12" s="673">
        <f t="shared" si="9"/>
        <v>214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</v>
      </c>
      <c r="F17" s="684">
        <f>SUM(F18:F25)</f>
        <v>1281.4266666666667</v>
      </c>
      <c r="G17" s="674">
        <f>SUM(G18:G25)</f>
        <v>1448.3333333333335</v>
      </c>
      <c r="H17" s="674">
        <f t="shared" ref="H17:J17" si="12">SUM(H18:H25)</f>
        <v>1323.1666666666667</v>
      </c>
      <c r="I17" s="674">
        <f t="shared" si="12"/>
        <v>1354</v>
      </c>
      <c r="J17" s="674">
        <f t="shared" si="12"/>
        <v>1164.4000000000001</v>
      </c>
      <c r="K17" s="671">
        <f t="shared" ref="K17:AH17" si="13">SUM(K18:K25)</f>
        <v>1620</v>
      </c>
      <c r="L17" s="671">
        <f t="shared" si="13"/>
        <v>1350</v>
      </c>
      <c r="M17" s="671">
        <f t="shared" si="13"/>
        <v>1545</v>
      </c>
      <c r="N17" s="671">
        <f t="shared" si="13"/>
        <v>1465</v>
      </c>
      <c r="O17" s="671">
        <f t="shared" si="13"/>
        <v>1435</v>
      </c>
      <c r="P17" s="671">
        <f t="shared" si="13"/>
        <v>1275</v>
      </c>
      <c r="Q17" s="671">
        <f t="shared" si="13"/>
        <v>1324</v>
      </c>
      <c r="R17" s="671">
        <f t="shared" si="13"/>
        <v>1360</v>
      </c>
      <c r="S17" s="671">
        <f t="shared" si="13"/>
        <v>1048</v>
      </c>
      <c r="T17" s="671">
        <f t="shared" si="13"/>
        <v>1333</v>
      </c>
      <c r="U17" s="671">
        <f t="shared" si="13"/>
        <v>1406</v>
      </c>
      <c r="V17" s="671">
        <f t="shared" si="13"/>
        <v>1468</v>
      </c>
      <c r="W17" s="671">
        <f t="shared" si="13"/>
        <v>1440</v>
      </c>
      <c r="X17" s="671">
        <f t="shared" si="13"/>
        <v>1396</v>
      </c>
      <c r="Y17" s="671">
        <f t="shared" si="13"/>
        <v>1398</v>
      </c>
      <c r="Z17" s="671">
        <f t="shared" si="13"/>
        <v>1193</v>
      </c>
      <c r="AA17" s="671">
        <f t="shared" si="13"/>
        <v>1376</v>
      </c>
      <c r="AB17" s="671">
        <f t="shared" si="13"/>
        <v>1321</v>
      </c>
      <c r="AC17" s="671">
        <f t="shared" si="13"/>
        <v>1202</v>
      </c>
      <c r="AD17" s="671">
        <f t="shared" si="13"/>
        <v>1336</v>
      </c>
      <c r="AE17" s="671">
        <f t="shared" si="13"/>
        <v>1280</v>
      </c>
      <c r="AF17" s="671">
        <f t="shared" si="13"/>
        <v>1079</v>
      </c>
      <c r="AG17" s="671">
        <f t="shared" si="13"/>
        <v>925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0.13748218131873849</v>
      </c>
      <c r="F18" s="683">
        <f t="shared" ref="F18:F25" si="14">G18*10%+H18*20%+I18*30%+J18*40%</f>
        <v>176.17333333333335</v>
      </c>
      <c r="G18" s="675">
        <f t="shared" ref="G18:G25" si="15">AVERAGE(K18:P18)</f>
        <v>193.16666666666666</v>
      </c>
      <c r="H18" s="675">
        <f t="shared" ref="H18:H25" si="16">AVERAGE(Q18:V18)</f>
        <v>176.33333333333334</v>
      </c>
      <c r="I18" s="675">
        <f t="shared" ref="I18:I25" si="17">AVERAGE(W18:AB18)</f>
        <v>203.16666666666666</v>
      </c>
      <c r="J18" s="675">
        <f t="shared" ref="J18:J25" si="18">AVERAGE(AC18:AG18)</f>
        <v>151.6</v>
      </c>
      <c r="K18" s="673">
        <f>SUMIF($B$31:$B$86,$C18,K$31:K$86)</f>
        <v>218</v>
      </c>
      <c r="L18" s="673">
        <f t="shared" ref="L18:AA25" si="19">SUMIF($B$31:$B$86,$C18,L$31:L$86)</f>
        <v>173</v>
      </c>
      <c r="M18" s="673">
        <f t="shared" si="19"/>
        <v>212</v>
      </c>
      <c r="N18" s="673">
        <f t="shared" si="19"/>
        <v>214</v>
      </c>
      <c r="O18" s="673">
        <f t="shared" si="19"/>
        <v>177</v>
      </c>
      <c r="P18" s="673">
        <f t="shared" si="19"/>
        <v>165</v>
      </c>
      <c r="Q18" s="673">
        <f t="shared" si="19"/>
        <v>178</v>
      </c>
      <c r="R18" s="673">
        <f t="shared" si="19"/>
        <v>196</v>
      </c>
      <c r="S18" s="673">
        <f t="shared" si="19"/>
        <v>143</v>
      </c>
      <c r="T18" s="673">
        <f t="shared" si="19"/>
        <v>167</v>
      </c>
      <c r="U18" s="673">
        <f t="shared" si="19"/>
        <v>175</v>
      </c>
      <c r="V18" s="673">
        <f t="shared" si="19"/>
        <v>199</v>
      </c>
      <c r="W18" s="673">
        <f t="shared" si="19"/>
        <v>220</v>
      </c>
      <c r="X18" s="673">
        <f t="shared" si="19"/>
        <v>232</v>
      </c>
      <c r="Y18" s="673">
        <f t="shared" si="19"/>
        <v>208</v>
      </c>
      <c r="Z18" s="673">
        <f t="shared" si="19"/>
        <v>149</v>
      </c>
      <c r="AA18" s="673">
        <f t="shared" si="19"/>
        <v>217</v>
      </c>
      <c r="AB18" s="673">
        <f t="shared" ref="AB18:AG25" si="20">SUMIF($B$31:$B$86,$C18,AB$31:AB$86)</f>
        <v>193</v>
      </c>
      <c r="AC18" s="673">
        <f t="shared" si="20"/>
        <v>158</v>
      </c>
      <c r="AD18" s="673">
        <f t="shared" si="20"/>
        <v>157</v>
      </c>
      <c r="AE18" s="673">
        <f t="shared" si="20"/>
        <v>172</v>
      </c>
      <c r="AF18" s="673">
        <f t="shared" si="20"/>
        <v>139</v>
      </c>
      <c r="AG18" s="673">
        <f t="shared" si="20"/>
        <v>132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4.7582382136576937E-2</v>
      </c>
      <c r="F19" s="683">
        <f t="shared" si="14"/>
        <v>60.973333333333329</v>
      </c>
      <c r="G19" s="675">
        <f t="shared" si="15"/>
        <v>55.166666666666664</v>
      </c>
      <c r="H19" s="675">
        <f t="shared" si="16"/>
        <v>52.333333333333336</v>
      </c>
      <c r="I19" s="675">
        <f t="shared" si="17"/>
        <v>67.833333333333329</v>
      </c>
      <c r="J19" s="675">
        <f t="shared" si="18"/>
        <v>61.6</v>
      </c>
      <c r="K19" s="673">
        <f t="shared" ref="K19:K25" si="21">SUMIF($B$31:$B$86,$C19,K$31:K$86)</f>
        <v>65</v>
      </c>
      <c r="L19" s="673">
        <f t="shared" si="19"/>
        <v>58</v>
      </c>
      <c r="M19" s="673">
        <f t="shared" si="19"/>
        <v>55</v>
      </c>
      <c r="N19" s="673">
        <f t="shared" si="19"/>
        <v>54</v>
      </c>
      <c r="O19" s="673">
        <f t="shared" si="19"/>
        <v>51</v>
      </c>
      <c r="P19" s="673">
        <f t="shared" si="19"/>
        <v>48</v>
      </c>
      <c r="Q19" s="673">
        <f t="shared" si="19"/>
        <v>36</v>
      </c>
      <c r="R19" s="673">
        <f t="shared" si="19"/>
        <v>48</v>
      </c>
      <c r="S19" s="673">
        <f t="shared" si="19"/>
        <v>56</v>
      </c>
      <c r="T19" s="673">
        <f t="shared" si="19"/>
        <v>57</v>
      </c>
      <c r="U19" s="673">
        <f t="shared" si="19"/>
        <v>59</v>
      </c>
      <c r="V19" s="673">
        <f t="shared" si="19"/>
        <v>58</v>
      </c>
      <c r="W19" s="673">
        <f t="shared" si="19"/>
        <v>67</v>
      </c>
      <c r="X19" s="673">
        <f t="shared" si="19"/>
        <v>74</v>
      </c>
      <c r="Y19" s="673">
        <f t="shared" si="19"/>
        <v>69</v>
      </c>
      <c r="Z19" s="673">
        <f t="shared" si="19"/>
        <v>62</v>
      </c>
      <c r="AA19" s="673">
        <f t="shared" si="19"/>
        <v>65</v>
      </c>
      <c r="AB19" s="673">
        <f t="shared" si="20"/>
        <v>70</v>
      </c>
      <c r="AC19" s="673">
        <f t="shared" si="20"/>
        <v>74</v>
      </c>
      <c r="AD19" s="673">
        <f t="shared" si="20"/>
        <v>68</v>
      </c>
      <c r="AE19" s="673">
        <f t="shared" si="20"/>
        <v>64</v>
      </c>
      <c r="AF19" s="673">
        <f t="shared" si="20"/>
        <v>56</v>
      </c>
      <c r="AG19" s="673">
        <f t="shared" si="20"/>
        <v>46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0.14655800305909039</v>
      </c>
      <c r="F20" s="683">
        <f t="shared" si="14"/>
        <v>187.80333333333334</v>
      </c>
      <c r="G20" s="675">
        <f t="shared" si="15"/>
        <v>226</v>
      </c>
      <c r="H20" s="675">
        <f t="shared" si="16"/>
        <v>179.66666666666666</v>
      </c>
      <c r="I20" s="675">
        <f t="shared" si="17"/>
        <v>199.16666666666666</v>
      </c>
      <c r="J20" s="675">
        <f t="shared" si="18"/>
        <v>173.8</v>
      </c>
      <c r="K20" s="673">
        <f t="shared" si="21"/>
        <v>256</v>
      </c>
      <c r="L20" s="673">
        <f t="shared" si="19"/>
        <v>217</v>
      </c>
      <c r="M20" s="673">
        <f t="shared" si="19"/>
        <v>246</v>
      </c>
      <c r="N20" s="673">
        <f t="shared" si="19"/>
        <v>205</v>
      </c>
      <c r="O20" s="673">
        <f t="shared" si="19"/>
        <v>234</v>
      </c>
      <c r="P20" s="673">
        <f t="shared" si="19"/>
        <v>198</v>
      </c>
      <c r="Q20" s="673">
        <f t="shared" si="19"/>
        <v>195</v>
      </c>
      <c r="R20" s="673">
        <f t="shared" si="19"/>
        <v>175</v>
      </c>
      <c r="S20" s="673">
        <f t="shared" si="19"/>
        <v>140</v>
      </c>
      <c r="T20" s="673">
        <f t="shared" si="19"/>
        <v>189</v>
      </c>
      <c r="U20" s="673">
        <f t="shared" si="19"/>
        <v>191</v>
      </c>
      <c r="V20" s="673">
        <f t="shared" si="19"/>
        <v>188</v>
      </c>
      <c r="W20" s="673">
        <f t="shared" si="19"/>
        <v>206</v>
      </c>
      <c r="X20" s="673">
        <f t="shared" si="19"/>
        <v>195</v>
      </c>
      <c r="Y20" s="673">
        <f t="shared" si="19"/>
        <v>201</v>
      </c>
      <c r="Z20" s="673">
        <f t="shared" si="19"/>
        <v>166</v>
      </c>
      <c r="AA20" s="673">
        <f t="shared" si="19"/>
        <v>195</v>
      </c>
      <c r="AB20" s="673">
        <f t="shared" si="20"/>
        <v>232</v>
      </c>
      <c r="AC20" s="673">
        <f t="shared" si="20"/>
        <v>196</v>
      </c>
      <c r="AD20" s="673">
        <f t="shared" si="20"/>
        <v>204</v>
      </c>
      <c r="AE20" s="673">
        <f t="shared" si="20"/>
        <v>199</v>
      </c>
      <c r="AF20" s="673">
        <f t="shared" si="20"/>
        <v>141</v>
      </c>
      <c r="AG20" s="673">
        <f t="shared" si="20"/>
        <v>129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0.1506497965808942</v>
      </c>
      <c r="F21" s="683">
        <f t="shared" si="14"/>
        <v>193.04666666666665</v>
      </c>
      <c r="G21" s="675">
        <f t="shared" si="15"/>
        <v>214.33333333333334</v>
      </c>
      <c r="H21" s="675">
        <f t="shared" si="16"/>
        <v>188.16666666666666</v>
      </c>
      <c r="I21" s="675">
        <f t="shared" si="17"/>
        <v>197</v>
      </c>
      <c r="J21" s="675">
        <f t="shared" si="18"/>
        <v>187.2</v>
      </c>
      <c r="K21" s="673">
        <f t="shared" si="21"/>
        <v>248</v>
      </c>
      <c r="L21" s="673">
        <f t="shared" si="19"/>
        <v>183</v>
      </c>
      <c r="M21" s="673">
        <f t="shared" si="19"/>
        <v>242</v>
      </c>
      <c r="N21" s="673">
        <f t="shared" si="19"/>
        <v>217</v>
      </c>
      <c r="O21" s="673">
        <f t="shared" si="19"/>
        <v>221</v>
      </c>
      <c r="P21" s="673">
        <f t="shared" si="19"/>
        <v>175</v>
      </c>
      <c r="Q21" s="673">
        <f t="shared" si="19"/>
        <v>200</v>
      </c>
      <c r="R21" s="673">
        <f t="shared" si="19"/>
        <v>205</v>
      </c>
      <c r="S21" s="673">
        <f t="shared" si="19"/>
        <v>130</v>
      </c>
      <c r="T21" s="673">
        <f t="shared" si="19"/>
        <v>199</v>
      </c>
      <c r="U21" s="673">
        <f t="shared" si="19"/>
        <v>203</v>
      </c>
      <c r="V21" s="673">
        <f t="shared" si="19"/>
        <v>192</v>
      </c>
      <c r="W21" s="673">
        <f t="shared" si="19"/>
        <v>229</v>
      </c>
      <c r="X21" s="673">
        <f t="shared" si="19"/>
        <v>170</v>
      </c>
      <c r="Y21" s="673">
        <f t="shared" si="19"/>
        <v>203</v>
      </c>
      <c r="Z21" s="673">
        <f t="shared" si="19"/>
        <v>178</v>
      </c>
      <c r="AA21" s="673">
        <f t="shared" si="19"/>
        <v>208</v>
      </c>
      <c r="AB21" s="673">
        <f t="shared" si="20"/>
        <v>194</v>
      </c>
      <c r="AC21" s="673">
        <f t="shared" si="20"/>
        <v>202</v>
      </c>
      <c r="AD21" s="673">
        <f t="shared" si="20"/>
        <v>240</v>
      </c>
      <c r="AE21" s="673">
        <f t="shared" si="20"/>
        <v>211</v>
      </c>
      <c r="AF21" s="673">
        <f t="shared" si="20"/>
        <v>150</v>
      </c>
      <c r="AG21" s="673">
        <f t="shared" si="20"/>
        <v>133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0.15422133663520868</v>
      </c>
      <c r="F22" s="683">
        <f t="shared" si="14"/>
        <v>197.62333333333333</v>
      </c>
      <c r="G22" s="675">
        <f t="shared" si="15"/>
        <v>222.66666666666666</v>
      </c>
      <c r="H22" s="675">
        <f t="shared" si="16"/>
        <v>199.83333333333334</v>
      </c>
      <c r="I22" s="675">
        <f t="shared" si="17"/>
        <v>202.5</v>
      </c>
      <c r="J22" s="675">
        <f t="shared" si="18"/>
        <v>186.6</v>
      </c>
      <c r="K22" s="673">
        <f t="shared" si="21"/>
        <v>236</v>
      </c>
      <c r="L22" s="673">
        <f t="shared" si="19"/>
        <v>213</v>
      </c>
      <c r="M22" s="673">
        <f t="shared" si="19"/>
        <v>245</v>
      </c>
      <c r="N22" s="673">
        <f t="shared" si="19"/>
        <v>227</v>
      </c>
      <c r="O22" s="673">
        <f t="shared" si="19"/>
        <v>210</v>
      </c>
      <c r="P22" s="673">
        <f t="shared" si="19"/>
        <v>205</v>
      </c>
      <c r="Q22" s="673">
        <f t="shared" si="19"/>
        <v>180</v>
      </c>
      <c r="R22" s="673">
        <f t="shared" si="19"/>
        <v>206</v>
      </c>
      <c r="S22" s="673">
        <f t="shared" si="19"/>
        <v>162</v>
      </c>
      <c r="T22" s="673">
        <f t="shared" si="19"/>
        <v>206</v>
      </c>
      <c r="U22" s="673">
        <f t="shared" si="19"/>
        <v>216</v>
      </c>
      <c r="V22" s="673">
        <f t="shared" si="19"/>
        <v>229</v>
      </c>
      <c r="W22" s="673">
        <f t="shared" si="19"/>
        <v>216</v>
      </c>
      <c r="X22" s="673">
        <f t="shared" si="19"/>
        <v>203</v>
      </c>
      <c r="Y22" s="673">
        <f t="shared" si="19"/>
        <v>215</v>
      </c>
      <c r="Z22" s="673">
        <f t="shared" si="19"/>
        <v>177</v>
      </c>
      <c r="AA22" s="673">
        <f t="shared" si="19"/>
        <v>216</v>
      </c>
      <c r="AB22" s="673">
        <f t="shared" si="20"/>
        <v>188</v>
      </c>
      <c r="AC22" s="673">
        <f t="shared" si="20"/>
        <v>176</v>
      </c>
      <c r="AD22" s="673">
        <f t="shared" si="20"/>
        <v>210</v>
      </c>
      <c r="AE22" s="673">
        <f t="shared" si="20"/>
        <v>206</v>
      </c>
      <c r="AF22" s="673">
        <f t="shared" si="20"/>
        <v>188</v>
      </c>
      <c r="AG22" s="673">
        <f t="shared" si="20"/>
        <v>153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0.12051931701124788</v>
      </c>
      <c r="F23" s="683">
        <f t="shared" si="14"/>
        <v>154.43666666666667</v>
      </c>
      <c r="G23" s="675">
        <f t="shared" si="15"/>
        <v>181.66666666666666</v>
      </c>
      <c r="H23" s="675">
        <f t="shared" si="16"/>
        <v>168.5</v>
      </c>
      <c r="I23" s="675">
        <f t="shared" si="17"/>
        <v>159.5</v>
      </c>
      <c r="J23" s="675">
        <f t="shared" si="18"/>
        <v>136.80000000000001</v>
      </c>
      <c r="K23" s="673">
        <f t="shared" si="21"/>
        <v>219</v>
      </c>
      <c r="L23" s="673">
        <f t="shared" si="19"/>
        <v>174</v>
      </c>
      <c r="M23" s="673">
        <f t="shared" si="19"/>
        <v>192</v>
      </c>
      <c r="N23" s="673">
        <f t="shared" si="19"/>
        <v>183</v>
      </c>
      <c r="O23" s="673">
        <f t="shared" si="19"/>
        <v>176</v>
      </c>
      <c r="P23" s="673">
        <f t="shared" si="19"/>
        <v>146</v>
      </c>
      <c r="Q23" s="673">
        <f t="shared" si="19"/>
        <v>169</v>
      </c>
      <c r="R23" s="673">
        <f t="shared" si="19"/>
        <v>167</v>
      </c>
      <c r="S23" s="673">
        <f t="shared" si="19"/>
        <v>135</v>
      </c>
      <c r="T23" s="673">
        <f t="shared" si="19"/>
        <v>159</v>
      </c>
      <c r="U23" s="673">
        <f t="shared" si="19"/>
        <v>193</v>
      </c>
      <c r="V23" s="673">
        <f t="shared" si="19"/>
        <v>188</v>
      </c>
      <c r="W23" s="673">
        <f t="shared" si="19"/>
        <v>170</v>
      </c>
      <c r="X23" s="673">
        <f t="shared" si="19"/>
        <v>169</v>
      </c>
      <c r="Y23" s="673">
        <f t="shared" si="19"/>
        <v>155</v>
      </c>
      <c r="Z23" s="673">
        <f t="shared" si="19"/>
        <v>149</v>
      </c>
      <c r="AA23" s="673">
        <f t="shared" si="19"/>
        <v>160</v>
      </c>
      <c r="AB23" s="673">
        <f t="shared" si="20"/>
        <v>154</v>
      </c>
      <c r="AC23" s="673">
        <f t="shared" si="20"/>
        <v>136</v>
      </c>
      <c r="AD23" s="673">
        <f t="shared" si="20"/>
        <v>152</v>
      </c>
      <c r="AE23" s="673">
        <f t="shared" si="20"/>
        <v>150</v>
      </c>
      <c r="AF23" s="673">
        <f t="shared" si="20"/>
        <v>128</v>
      </c>
      <c r="AG23" s="673">
        <f t="shared" si="20"/>
        <v>118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0.12172630505582319</v>
      </c>
      <c r="F24" s="683">
        <f t="shared" si="14"/>
        <v>155.98333333333332</v>
      </c>
      <c r="G24" s="675">
        <f t="shared" si="15"/>
        <v>191.16666666666666</v>
      </c>
      <c r="H24" s="675">
        <f t="shared" si="16"/>
        <v>182.33333333333334</v>
      </c>
      <c r="I24" s="675">
        <f t="shared" si="17"/>
        <v>162.66666666666666</v>
      </c>
      <c r="J24" s="675">
        <f t="shared" si="18"/>
        <v>129</v>
      </c>
      <c r="K24" s="673">
        <f t="shared" si="21"/>
        <v>211</v>
      </c>
      <c r="L24" s="673">
        <f t="shared" si="19"/>
        <v>178</v>
      </c>
      <c r="M24" s="673">
        <f t="shared" si="19"/>
        <v>188</v>
      </c>
      <c r="N24" s="673">
        <f t="shared" si="19"/>
        <v>188</v>
      </c>
      <c r="O24" s="673">
        <f t="shared" si="19"/>
        <v>192</v>
      </c>
      <c r="P24" s="673">
        <f t="shared" si="19"/>
        <v>190</v>
      </c>
      <c r="Q24" s="673">
        <f t="shared" si="19"/>
        <v>188</v>
      </c>
      <c r="R24" s="673">
        <f t="shared" si="19"/>
        <v>173</v>
      </c>
      <c r="S24" s="673">
        <f t="shared" si="19"/>
        <v>133</v>
      </c>
      <c r="T24" s="673">
        <f t="shared" si="19"/>
        <v>183</v>
      </c>
      <c r="U24" s="673">
        <f t="shared" si="19"/>
        <v>191</v>
      </c>
      <c r="V24" s="673">
        <f t="shared" si="19"/>
        <v>226</v>
      </c>
      <c r="W24" s="673">
        <f t="shared" si="19"/>
        <v>162</v>
      </c>
      <c r="X24" s="673">
        <f t="shared" si="19"/>
        <v>182</v>
      </c>
      <c r="Y24" s="673">
        <f t="shared" si="19"/>
        <v>173</v>
      </c>
      <c r="Z24" s="673">
        <f t="shared" si="19"/>
        <v>165</v>
      </c>
      <c r="AA24" s="673">
        <f t="shared" si="19"/>
        <v>154</v>
      </c>
      <c r="AB24" s="673">
        <f t="shared" si="20"/>
        <v>140</v>
      </c>
      <c r="AC24" s="673">
        <f t="shared" si="20"/>
        <v>131</v>
      </c>
      <c r="AD24" s="673">
        <f t="shared" si="20"/>
        <v>142</v>
      </c>
      <c r="AE24" s="673">
        <f t="shared" si="20"/>
        <v>133</v>
      </c>
      <c r="AF24" s="673">
        <f t="shared" si="20"/>
        <v>132</v>
      </c>
      <c r="AG24" s="673">
        <f t="shared" si="20"/>
        <v>107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0.12126067820242023</v>
      </c>
      <c r="F25" s="683">
        <f t="shared" si="14"/>
        <v>155.38666666666668</v>
      </c>
      <c r="G25" s="675">
        <f t="shared" si="15"/>
        <v>164.16666666666666</v>
      </c>
      <c r="H25" s="675">
        <f t="shared" si="16"/>
        <v>176</v>
      </c>
      <c r="I25" s="675">
        <f t="shared" si="17"/>
        <v>162.16666666666666</v>
      </c>
      <c r="J25" s="675">
        <f t="shared" si="18"/>
        <v>137.80000000000001</v>
      </c>
      <c r="K25" s="676">
        <f t="shared" si="21"/>
        <v>167</v>
      </c>
      <c r="L25" s="676">
        <f t="shared" si="19"/>
        <v>154</v>
      </c>
      <c r="M25" s="676">
        <f t="shared" si="19"/>
        <v>165</v>
      </c>
      <c r="N25" s="676">
        <f t="shared" si="19"/>
        <v>177</v>
      </c>
      <c r="O25" s="676">
        <f t="shared" si="19"/>
        <v>174</v>
      </c>
      <c r="P25" s="676">
        <f t="shared" si="19"/>
        <v>148</v>
      </c>
      <c r="Q25" s="676">
        <f t="shared" si="19"/>
        <v>178</v>
      </c>
      <c r="R25" s="676">
        <f t="shared" si="19"/>
        <v>190</v>
      </c>
      <c r="S25" s="676">
        <f t="shared" si="19"/>
        <v>149</v>
      </c>
      <c r="T25" s="676">
        <f t="shared" si="19"/>
        <v>173</v>
      </c>
      <c r="U25" s="676">
        <f t="shared" si="19"/>
        <v>178</v>
      </c>
      <c r="V25" s="676">
        <f t="shared" si="19"/>
        <v>188</v>
      </c>
      <c r="W25" s="676">
        <f t="shared" si="19"/>
        <v>170</v>
      </c>
      <c r="X25" s="676">
        <f t="shared" si="19"/>
        <v>171</v>
      </c>
      <c r="Y25" s="676">
        <f t="shared" si="19"/>
        <v>174</v>
      </c>
      <c r="Z25" s="676">
        <f t="shared" si="19"/>
        <v>147</v>
      </c>
      <c r="AA25" s="676">
        <f t="shared" si="19"/>
        <v>161</v>
      </c>
      <c r="AB25" s="676">
        <f t="shared" si="20"/>
        <v>150</v>
      </c>
      <c r="AC25" s="676">
        <f t="shared" si="20"/>
        <v>129</v>
      </c>
      <c r="AD25" s="676">
        <f t="shared" si="20"/>
        <v>163</v>
      </c>
      <c r="AE25" s="676">
        <f t="shared" si="20"/>
        <v>145</v>
      </c>
      <c r="AF25" s="676">
        <f t="shared" si="20"/>
        <v>145</v>
      </c>
      <c r="AG25" s="676">
        <f t="shared" si="20"/>
        <v>107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1281.4266666666665</v>
      </c>
      <c r="G30" s="678">
        <f>SUM(G31:G86)</f>
        <v>1448.3333333333333</v>
      </c>
      <c r="H30" s="678">
        <f t="shared" ref="H30:J30" si="22">SUM(H31:H86)</f>
        <v>1323.166666666667</v>
      </c>
      <c r="I30" s="678">
        <f t="shared" si="22"/>
        <v>1353.9999999999998</v>
      </c>
      <c r="J30" s="678">
        <f t="shared" si="22"/>
        <v>1164.3999999999999</v>
      </c>
      <c r="K30" s="671">
        <f>SUM(K31:K86)</f>
        <v>1620</v>
      </c>
      <c r="L30" s="671">
        <f t="shared" ref="L30:AH30" si="23">SUM(L31:L86)</f>
        <v>1350</v>
      </c>
      <c r="M30" s="671">
        <f t="shared" si="23"/>
        <v>1545</v>
      </c>
      <c r="N30" s="671">
        <f t="shared" si="23"/>
        <v>1465</v>
      </c>
      <c r="O30" s="671">
        <f t="shared" si="23"/>
        <v>1435</v>
      </c>
      <c r="P30" s="671">
        <f t="shared" si="23"/>
        <v>1275</v>
      </c>
      <c r="Q30" s="671">
        <f t="shared" si="23"/>
        <v>1324</v>
      </c>
      <c r="R30" s="671">
        <f t="shared" si="23"/>
        <v>1360</v>
      </c>
      <c r="S30" s="671">
        <f t="shared" si="23"/>
        <v>1048</v>
      </c>
      <c r="T30" s="671">
        <f t="shared" si="23"/>
        <v>1333</v>
      </c>
      <c r="U30" s="671">
        <f t="shared" si="23"/>
        <v>1406</v>
      </c>
      <c r="V30" s="671">
        <f t="shared" si="23"/>
        <v>1468</v>
      </c>
      <c r="W30" s="671">
        <f t="shared" si="23"/>
        <v>1440</v>
      </c>
      <c r="X30" s="671">
        <f t="shared" si="23"/>
        <v>1396</v>
      </c>
      <c r="Y30" s="671">
        <f t="shared" si="23"/>
        <v>1398</v>
      </c>
      <c r="Z30" s="671">
        <f t="shared" si="23"/>
        <v>1193</v>
      </c>
      <c r="AA30" s="671">
        <f t="shared" si="23"/>
        <v>1376</v>
      </c>
      <c r="AB30" s="671">
        <f t="shared" si="23"/>
        <v>1321</v>
      </c>
      <c r="AC30" s="671">
        <f t="shared" si="23"/>
        <v>1202</v>
      </c>
      <c r="AD30" s="671">
        <f t="shared" si="23"/>
        <v>1336</v>
      </c>
      <c r="AE30" s="671">
        <f t="shared" si="23"/>
        <v>1280</v>
      </c>
      <c r="AF30" s="671">
        <f t="shared" si="23"/>
        <v>1079</v>
      </c>
      <c r="AG30" s="671">
        <f t="shared" si="23"/>
        <v>925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0.11201089835767804</v>
      </c>
      <c r="F31" s="680">
        <f>G31*10%+H31*20%+I31*30%+J31*40%</f>
        <v>19.733333333333334</v>
      </c>
      <c r="G31" s="680">
        <f>AVERAGE(K31:P31)</f>
        <v>22.5</v>
      </c>
      <c r="H31" s="679">
        <f>AVERAGE(Q31:V31)</f>
        <v>16.666666666666668</v>
      </c>
      <c r="I31" s="679">
        <f>AVERAGE(W31:AB31)</f>
        <v>24.5</v>
      </c>
      <c r="J31" s="679">
        <f>AVERAGE(AC31:AG31)</f>
        <v>17</v>
      </c>
      <c r="K31" s="673">
        <v>26</v>
      </c>
      <c r="L31" s="673">
        <v>19</v>
      </c>
      <c r="M31" s="673">
        <v>26</v>
      </c>
      <c r="N31" s="673">
        <v>24</v>
      </c>
      <c r="O31" s="673">
        <v>22</v>
      </c>
      <c r="P31" s="673">
        <v>18</v>
      </c>
      <c r="Q31" s="673">
        <v>18</v>
      </c>
      <c r="R31" s="673">
        <v>14</v>
      </c>
      <c r="S31" s="673">
        <v>11</v>
      </c>
      <c r="T31" s="673">
        <v>15</v>
      </c>
      <c r="U31" s="673">
        <v>18</v>
      </c>
      <c r="V31" s="665">
        <v>24</v>
      </c>
      <c r="W31" s="665">
        <v>24</v>
      </c>
      <c r="X31" s="665">
        <v>31</v>
      </c>
      <c r="Y31" s="665">
        <v>26</v>
      </c>
      <c r="Z31" s="665">
        <v>18</v>
      </c>
      <c r="AA31" s="665">
        <v>28</v>
      </c>
      <c r="AB31" s="665">
        <v>20</v>
      </c>
      <c r="AC31" s="665">
        <v>17</v>
      </c>
      <c r="AD31" s="665">
        <v>18</v>
      </c>
      <c r="AE31" s="665">
        <v>18</v>
      </c>
      <c r="AF31" s="665">
        <v>13</v>
      </c>
      <c r="AG31" s="665">
        <v>19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6.096268826156058E-2</v>
      </c>
      <c r="F32" s="680">
        <f t="shared" ref="F32:F86" si="25">G32*10%+H32*20%+I32*30%+J32*40%</f>
        <v>10.74</v>
      </c>
      <c r="G32" s="680">
        <f t="shared" ref="G32:G86" si="26">AVERAGE(K32:P32)</f>
        <v>13</v>
      </c>
      <c r="H32" s="679">
        <f t="shared" ref="H32:H86" si="27">AVERAGE(Q32:V32)</f>
        <v>11.5</v>
      </c>
      <c r="I32" s="679">
        <f t="shared" ref="I32:I86" si="28">AVERAGE(W32:AB32)</f>
        <v>13.666666666666666</v>
      </c>
      <c r="J32" s="679">
        <f t="shared" ref="J32:J86" si="29">AVERAGE(AC32:AG32)</f>
        <v>7.6</v>
      </c>
      <c r="K32" s="673">
        <v>10</v>
      </c>
      <c r="L32" s="673">
        <v>15</v>
      </c>
      <c r="M32" s="673">
        <v>17</v>
      </c>
      <c r="N32" s="673">
        <v>14</v>
      </c>
      <c r="O32" s="673">
        <v>12</v>
      </c>
      <c r="P32" s="673">
        <v>10</v>
      </c>
      <c r="Q32" s="673">
        <v>10</v>
      </c>
      <c r="R32" s="673">
        <v>14</v>
      </c>
      <c r="S32" s="673">
        <v>8</v>
      </c>
      <c r="T32" s="673">
        <v>16</v>
      </c>
      <c r="U32" s="673">
        <v>9</v>
      </c>
      <c r="V32" s="665">
        <v>12</v>
      </c>
      <c r="W32" s="665">
        <v>18</v>
      </c>
      <c r="X32" s="665">
        <v>14</v>
      </c>
      <c r="Y32" s="665">
        <v>12</v>
      </c>
      <c r="Z32" s="665">
        <v>10</v>
      </c>
      <c r="AA32" s="665">
        <v>13</v>
      </c>
      <c r="AB32" s="665">
        <v>15</v>
      </c>
      <c r="AC32" s="665">
        <v>7</v>
      </c>
      <c r="AD32" s="665">
        <v>5</v>
      </c>
      <c r="AE32" s="665">
        <v>9</v>
      </c>
      <c r="AF32" s="665">
        <v>11</v>
      </c>
      <c r="AG32" s="665">
        <v>6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0.12881253311132976</v>
      </c>
      <c r="F33" s="680">
        <f t="shared" si="25"/>
        <v>22.693333333333335</v>
      </c>
      <c r="G33" s="680">
        <f t="shared" si="26"/>
        <v>27.333333333333332</v>
      </c>
      <c r="H33" s="679">
        <f t="shared" si="27"/>
        <v>23</v>
      </c>
      <c r="I33" s="679">
        <f t="shared" si="28"/>
        <v>24</v>
      </c>
      <c r="J33" s="679">
        <f t="shared" si="29"/>
        <v>20.399999999999999</v>
      </c>
      <c r="K33" s="673">
        <v>31</v>
      </c>
      <c r="L33" s="673">
        <v>18</v>
      </c>
      <c r="M33" s="673">
        <v>35</v>
      </c>
      <c r="N33" s="673">
        <v>31</v>
      </c>
      <c r="O33" s="673">
        <v>27</v>
      </c>
      <c r="P33" s="673">
        <v>22</v>
      </c>
      <c r="Q33" s="673">
        <v>20</v>
      </c>
      <c r="R33" s="673">
        <v>35</v>
      </c>
      <c r="S33" s="673">
        <v>20</v>
      </c>
      <c r="T33" s="673">
        <v>23</v>
      </c>
      <c r="U33" s="673">
        <v>18</v>
      </c>
      <c r="V33" s="665">
        <v>22</v>
      </c>
      <c r="W33" s="665">
        <v>23</v>
      </c>
      <c r="X33" s="665">
        <v>25</v>
      </c>
      <c r="Y33" s="665">
        <v>24</v>
      </c>
      <c r="Z33" s="665">
        <v>17</v>
      </c>
      <c r="AA33" s="665">
        <v>29</v>
      </c>
      <c r="AB33" s="665">
        <v>26</v>
      </c>
      <c r="AC33" s="665">
        <v>21</v>
      </c>
      <c r="AD33" s="665">
        <v>16</v>
      </c>
      <c r="AE33" s="665">
        <v>28</v>
      </c>
      <c r="AF33" s="665">
        <v>20</v>
      </c>
      <c r="AG33" s="665">
        <v>17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8.1661999545901767E-2</v>
      </c>
      <c r="F34" s="680">
        <f t="shared" si="25"/>
        <v>14.386666666666668</v>
      </c>
      <c r="G34" s="680">
        <f t="shared" si="26"/>
        <v>19.166666666666668</v>
      </c>
      <c r="H34" s="679">
        <f t="shared" si="27"/>
        <v>17</v>
      </c>
      <c r="I34" s="679">
        <f t="shared" si="28"/>
        <v>17.166666666666668</v>
      </c>
      <c r="J34" s="679">
        <f t="shared" si="29"/>
        <v>9.8000000000000007</v>
      </c>
      <c r="K34" s="673">
        <v>19</v>
      </c>
      <c r="L34" s="673">
        <v>19</v>
      </c>
      <c r="M34" s="673">
        <v>19</v>
      </c>
      <c r="N34" s="673">
        <v>21</v>
      </c>
      <c r="O34" s="673">
        <v>18</v>
      </c>
      <c r="P34" s="673">
        <v>19</v>
      </c>
      <c r="Q34" s="673">
        <v>18</v>
      </c>
      <c r="R34" s="673">
        <v>18</v>
      </c>
      <c r="S34" s="673">
        <v>14</v>
      </c>
      <c r="T34" s="673">
        <v>17</v>
      </c>
      <c r="U34" s="673">
        <v>16</v>
      </c>
      <c r="V34" s="665">
        <v>19</v>
      </c>
      <c r="W34" s="665">
        <v>16</v>
      </c>
      <c r="X34" s="665">
        <v>19</v>
      </c>
      <c r="Y34" s="665">
        <v>21</v>
      </c>
      <c r="Z34" s="665">
        <v>18</v>
      </c>
      <c r="AA34" s="665">
        <v>18</v>
      </c>
      <c r="AB34" s="665">
        <v>11</v>
      </c>
      <c r="AC34" s="665">
        <v>8</v>
      </c>
      <c r="AD34" s="665">
        <v>12</v>
      </c>
      <c r="AE34" s="665">
        <v>13</v>
      </c>
      <c r="AF34" s="665">
        <v>7</v>
      </c>
      <c r="AG34" s="665">
        <v>9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0.22682206917429798</v>
      </c>
      <c r="F35" s="680">
        <f t="shared" si="25"/>
        <v>39.959999999999994</v>
      </c>
      <c r="G35" s="680">
        <f t="shared" si="26"/>
        <v>45.5</v>
      </c>
      <c r="H35" s="679">
        <f t="shared" si="27"/>
        <v>38.5</v>
      </c>
      <c r="I35" s="679">
        <f t="shared" si="28"/>
        <v>45.166666666666664</v>
      </c>
      <c r="J35" s="679">
        <f t="shared" si="29"/>
        <v>35.4</v>
      </c>
      <c r="K35" s="673">
        <v>47</v>
      </c>
      <c r="L35" s="673">
        <v>48</v>
      </c>
      <c r="M35" s="673">
        <v>46</v>
      </c>
      <c r="N35" s="673">
        <v>51</v>
      </c>
      <c r="O35" s="673">
        <v>42</v>
      </c>
      <c r="P35" s="673">
        <v>39</v>
      </c>
      <c r="Q35" s="673">
        <v>46</v>
      </c>
      <c r="R35" s="673">
        <v>41</v>
      </c>
      <c r="S35" s="673">
        <v>30</v>
      </c>
      <c r="T35" s="673">
        <v>37</v>
      </c>
      <c r="U35" s="673">
        <v>38</v>
      </c>
      <c r="V35" s="665">
        <v>39</v>
      </c>
      <c r="W35" s="665">
        <v>44</v>
      </c>
      <c r="X35" s="665">
        <v>50</v>
      </c>
      <c r="Y35" s="665">
        <v>48</v>
      </c>
      <c r="Z35" s="665">
        <v>34</v>
      </c>
      <c r="AA35" s="665">
        <v>49</v>
      </c>
      <c r="AB35" s="665">
        <v>46</v>
      </c>
      <c r="AC35" s="665">
        <v>37</v>
      </c>
      <c r="AD35" s="665">
        <v>43</v>
      </c>
      <c r="AE35" s="665">
        <v>37</v>
      </c>
      <c r="AF35" s="665">
        <v>37</v>
      </c>
      <c r="AG35" s="665">
        <v>23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0.13276697192159237</v>
      </c>
      <c r="F36" s="680">
        <f t="shared" si="25"/>
        <v>23.39</v>
      </c>
      <c r="G36" s="680">
        <f t="shared" si="26"/>
        <v>19.666666666666668</v>
      </c>
      <c r="H36" s="679">
        <f t="shared" si="27"/>
        <v>26.666666666666668</v>
      </c>
      <c r="I36" s="679">
        <f t="shared" si="28"/>
        <v>26.166666666666668</v>
      </c>
      <c r="J36" s="679">
        <f t="shared" si="29"/>
        <v>20.6</v>
      </c>
      <c r="K36" s="673">
        <v>25</v>
      </c>
      <c r="L36" s="673">
        <v>16</v>
      </c>
      <c r="M36" s="673">
        <v>19</v>
      </c>
      <c r="N36" s="673">
        <v>27</v>
      </c>
      <c r="O36" s="673">
        <v>15</v>
      </c>
      <c r="P36" s="673">
        <v>16</v>
      </c>
      <c r="Q36" s="673">
        <v>29</v>
      </c>
      <c r="R36" s="673">
        <v>29</v>
      </c>
      <c r="S36" s="673">
        <v>22</v>
      </c>
      <c r="T36" s="673">
        <v>19</v>
      </c>
      <c r="U36" s="673">
        <v>34</v>
      </c>
      <c r="V36" s="665">
        <v>27</v>
      </c>
      <c r="W36" s="665">
        <v>33</v>
      </c>
      <c r="X36" s="665">
        <v>33</v>
      </c>
      <c r="Y36" s="665">
        <v>22</v>
      </c>
      <c r="Z36" s="665">
        <v>18</v>
      </c>
      <c r="AA36" s="665">
        <v>28</v>
      </c>
      <c r="AB36" s="665">
        <v>23</v>
      </c>
      <c r="AC36" s="665">
        <v>25</v>
      </c>
      <c r="AD36" s="665">
        <v>18</v>
      </c>
      <c r="AE36" s="665">
        <v>25</v>
      </c>
      <c r="AF36" s="665">
        <v>13</v>
      </c>
      <c r="AG36" s="665">
        <v>22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9.9277226973435259E-2</v>
      </c>
      <c r="F37" s="680">
        <f t="shared" si="25"/>
        <v>17.490000000000002</v>
      </c>
      <c r="G37" s="680">
        <f t="shared" si="26"/>
        <v>20.666666666666668</v>
      </c>
      <c r="H37" s="679">
        <f t="shared" si="27"/>
        <v>17.666666666666668</v>
      </c>
      <c r="I37" s="679">
        <f t="shared" si="28"/>
        <v>20.166666666666668</v>
      </c>
      <c r="J37" s="679">
        <f t="shared" si="29"/>
        <v>14.6</v>
      </c>
      <c r="K37" s="673">
        <v>24</v>
      </c>
      <c r="L37" s="673">
        <v>22</v>
      </c>
      <c r="M37" s="673">
        <v>25</v>
      </c>
      <c r="N37" s="673">
        <v>22</v>
      </c>
      <c r="O37" s="673">
        <v>16</v>
      </c>
      <c r="P37" s="673">
        <v>15</v>
      </c>
      <c r="Q37" s="673">
        <v>18</v>
      </c>
      <c r="R37" s="673">
        <v>17</v>
      </c>
      <c r="S37" s="673">
        <v>13</v>
      </c>
      <c r="T37" s="673">
        <v>20</v>
      </c>
      <c r="U37" s="673">
        <v>15</v>
      </c>
      <c r="V37" s="665">
        <v>23</v>
      </c>
      <c r="W37" s="665">
        <v>22</v>
      </c>
      <c r="X37" s="665">
        <v>23</v>
      </c>
      <c r="Y37" s="665">
        <v>20</v>
      </c>
      <c r="Z37" s="665">
        <v>12</v>
      </c>
      <c r="AA37" s="665">
        <v>22</v>
      </c>
      <c r="AB37" s="665">
        <v>22</v>
      </c>
      <c r="AC37" s="665">
        <v>16</v>
      </c>
      <c r="AD37" s="665">
        <v>17</v>
      </c>
      <c r="AE37" s="665">
        <v>18</v>
      </c>
      <c r="AF37" s="665">
        <v>11</v>
      </c>
      <c r="AG37" s="665">
        <v>11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0.15768561265420419</v>
      </c>
      <c r="F38" s="680">
        <f t="shared" si="25"/>
        <v>27.78</v>
      </c>
      <c r="G38" s="680">
        <f t="shared" si="26"/>
        <v>25.333333333333332</v>
      </c>
      <c r="H38" s="679">
        <f t="shared" si="27"/>
        <v>25.333333333333332</v>
      </c>
      <c r="I38" s="679">
        <f t="shared" si="28"/>
        <v>32.333333333333336</v>
      </c>
      <c r="J38" s="679">
        <f t="shared" si="29"/>
        <v>26.2</v>
      </c>
      <c r="K38" s="673">
        <v>36</v>
      </c>
      <c r="L38" s="673">
        <v>16</v>
      </c>
      <c r="M38" s="673">
        <v>25</v>
      </c>
      <c r="N38" s="673">
        <v>24</v>
      </c>
      <c r="O38" s="673">
        <v>25</v>
      </c>
      <c r="P38" s="673">
        <v>26</v>
      </c>
      <c r="Q38" s="673">
        <v>19</v>
      </c>
      <c r="R38" s="673">
        <v>28</v>
      </c>
      <c r="S38" s="673">
        <v>25</v>
      </c>
      <c r="T38" s="673">
        <v>20</v>
      </c>
      <c r="U38" s="673">
        <v>27</v>
      </c>
      <c r="V38" s="665">
        <v>33</v>
      </c>
      <c r="W38" s="665">
        <v>40</v>
      </c>
      <c r="X38" s="665">
        <v>37</v>
      </c>
      <c r="Y38" s="665">
        <v>35</v>
      </c>
      <c r="Z38" s="665">
        <v>22</v>
      </c>
      <c r="AA38" s="665">
        <v>30</v>
      </c>
      <c r="AB38" s="665">
        <v>30</v>
      </c>
      <c r="AC38" s="665">
        <v>27</v>
      </c>
      <c r="AD38" s="665">
        <v>28</v>
      </c>
      <c r="AE38" s="665">
        <v>24</v>
      </c>
      <c r="AF38" s="665">
        <v>27</v>
      </c>
      <c r="AG38" s="665">
        <v>25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0.34802099278373061</v>
      </c>
      <c r="F39" s="680">
        <f t="shared" si="25"/>
        <v>21.22</v>
      </c>
      <c r="G39" s="680">
        <f t="shared" si="26"/>
        <v>20.666666666666668</v>
      </c>
      <c r="H39" s="679">
        <f t="shared" si="27"/>
        <v>18.166666666666668</v>
      </c>
      <c r="I39" s="679">
        <f t="shared" si="28"/>
        <v>22.666666666666668</v>
      </c>
      <c r="J39" s="679">
        <f t="shared" si="29"/>
        <v>21.8</v>
      </c>
      <c r="K39" s="673">
        <v>22</v>
      </c>
      <c r="L39" s="673">
        <v>16</v>
      </c>
      <c r="M39" s="673">
        <v>23</v>
      </c>
      <c r="N39" s="673">
        <v>21</v>
      </c>
      <c r="O39" s="673">
        <v>19</v>
      </c>
      <c r="P39" s="673">
        <v>23</v>
      </c>
      <c r="Q39" s="673">
        <v>16</v>
      </c>
      <c r="R39" s="673">
        <v>18</v>
      </c>
      <c r="S39" s="673">
        <v>20</v>
      </c>
      <c r="T39" s="673">
        <v>19</v>
      </c>
      <c r="U39" s="673">
        <v>17</v>
      </c>
      <c r="V39" s="665">
        <v>19</v>
      </c>
      <c r="W39" s="665">
        <v>19</v>
      </c>
      <c r="X39" s="665">
        <v>19</v>
      </c>
      <c r="Y39" s="665">
        <v>26</v>
      </c>
      <c r="Z39" s="665">
        <v>25</v>
      </c>
      <c r="AA39" s="665">
        <v>26</v>
      </c>
      <c r="AB39" s="665">
        <v>21</v>
      </c>
      <c r="AC39" s="665">
        <v>30</v>
      </c>
      <c r="AD39" s="665">
        <v>21</v>
      </c>
      <c r="AE39" s="665">
        <v>24</v>
      </c>
      <c r="AF39" s="665">
        <v>16</v>
      </c>
      <c r="AG39" s="665">
        <v>18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0.28963481303301991</v>
      </c>
      <c r="F40" s="680">
        <f t="shared" si="25"/>
        <v>17.66</v>
      </c>
      <c r="G40" s="680">
        <f t="shared" si="26"/>
        <v>18.333333333333332</v>
      </c>
      <c r="H40" s="679">
        <f t="shared" si="27"/>
        <v>15.333333333333334</v>
      </c>
      <c r="I40" s="679">
        <f t="shared" si="28"/>
        <v>18</v>
      </c>
      <c r="J40" s="679">
        <f t="shared" si="29"/>
        <v>18.399999999999999</v>
      </c>
      <c r="K40" s="673">
        <v>22</v>
      </c>
      <c r="L40" s="673">
        <v>23</v>
      </c>
      <c r="M40" s="673">
        <v>19</v>
      </c>
      <c r="N40" s="673">
        <v>16</v>
      </c>
      <c r="O40" s="673">
        <v>17</v>
      </c>
      <c r="P40" s="673">
        <v>13</v>
      </c>
      <c r="Q40" s="673">
        <v>10</v>
      </c>
      <c r="R40" s="673">
        <v>13</v>
      </c>
      <c r="S40" s="673">
        <v>15</v>
      </c>
      <c r="T40" s="673">
        <v>17</v>
      </c>
      <c r="U40" s="673">
        <v>18</v>
      </c>
      <c r="V40" s="665">
        <v>19</v>
      </c>
      <c r="W40" s="665">
        <v>17</v>
      </c>
      <c r="X40" s="665">
        <v>19</v>
      </c>
      <c r="Y40" s="665">
        <v>19</v>
      </c>
      <c r="Z40" s="665">
        <v>13</v>
      </c>
      <c r="AA40" s="665">
        <v>18</v>
      </c>
      <c r="AB40" s="665">
        <v>22</v>
      </c>
      <c r="AC40" s="665">
        <v>23</v>
      </c>
      <c r="AD40" s="665">
        <v>18</v>
      </c>
      <c r="AE40" s="665">
        <v>21</v>
      </c>
      <c r="AF40" s="665">
        <v>16</v>
      </c>
      <c r="AG40" s="665">
        <v>14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0.36234419418324953</v>
      </c>
      <c r="F41" s="680">
        <f t="shared" si="25"/>
        <v>22.093333333333334</v>
      </c>
      <c r="G41" s="680">
        <f t="shared" si="26"/>
        <v>16.166666666666668</v>
      </c>
      <c r="H41" s="679">
        <f t="shared" si="27"/>
        <v>18.833333333333332</v>
      </c>
      <c r="I41" s="679">
        <f t="shared" si="28"/>
        <v>27.166666666666668</v>
      </c>
      <c r="J41" s="679">
        <f t="shared" si="29"/>
        <v>21.4</v>
      </c>
      <c r="K41" s="673">
        <v>21</v>
      </c>
      <c r="L41" s="673">
        <v>19</v>
      </c>
      <c r="M41" s="673">
        <v>13</v>
      </c>
      <c r="N41" s="673">
        <v>17</v>
      </c>
      <c r="O41" s="673">
        <v>15</v>
      </c>
      <c r="P41" s="673">
        <v>12</v>
      </c>
      <c r="Q41" s="673">
        <v>10</v>
      </c>
      <c r="R41" s="673">
        <v>17</v>
      </c>
      <c r="S41" s="673">
        <v>21</v>
      </c>
      <c r="T41" s="673">
        <v>21</v>
      </c>
      <c r="U41" s="673">
        <v>24</v>
      </c>
      <c r="V41" s="665">
        <v>20</v>
      </c>
      <c r="W41" s="665">
        <v>31</v>
      </c>
      <c r="X41" s="665">
        <v>36</v>
      </c>
      <c r="Y41" s="665">
        <v>24</v>
      </c>
      <c r="Z41" s="665">
        <v>24</v>
      </c>
      <c r="AA41" s="665">
        <v>21</v>
      </c>
      <c r="AB41" s="665">
        <v>27</v>
      </c>
      <c r="AC41" s="665">
        <v>21</v>
      </c>
      <c r="AD41" s="665">
        <v>29</v>
      </c>
      <c r="AE41" s="665">
        <v>19</v>
      </c>
      <c r="AF41" s="665">
        <v>24</v>
      </c>
      <c r="AG41" s="665">
        <v>14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0.15548179833513784</v>
      </c>
      <c r="F42" s="680">
        <f t="shared" si="25"/>
        <v>29.200000000000003</v>
      </c>
      <c r="G42" s="680">
        <f t="shared" si="26"/>
        <v>34.666666666666664</v>
      </c>
      <c r="H42" s="679">
        <f t="shared" si="27"/>
        <v>31.666666666666668</v>
      </c>
      <c r="I42" s="679">
        <f t="shared" si="28"/>
        <v>30</v>
      </c>
      <c r="J42" s="679">
        <f t="shared" si="29"/>
        <v>26</v>
      </c>
      <c r="K42" s="673">
        <v>37</v>
      </c>
      <c r="L42" s="673">
        <v>29</v>
      </c>
      <c r="M42" s="673">
        <v>39</v>
      </c>
      <c r="N42" s="673">
        <v>36</v>
      </c>
      <c r="O42" s="673">
        <v>35</v>
      </c>
      <c r="P42" s="673">
        <v>32</v>
      </c>
      <c r="Q42" s="673">
        <v>36</v>
      </c>
      <c r="R42" s="673">
        <v>32</v>
      </c>
      <c r="S42" s="673">
        <v>28</v>
      </c>
      <c r="T42" s="673">
        <v>33</v>
      </c>
      <c r="U42" s="673">
        <v>34</v>
      </c>
      <c r="V42" s="665">
        <v>27</v>
      </c>
      <c r="W42" s="665">
        <v>35</v>
      </c>
      <c r="X42" s="665">
        <v>30</v>
      </c>
      <c r="Y42" s="665">
        <v>35</v>
      </c>
      <c r="Z42" s="665">
        <v>25</v>
      </c>
      <c r="AA42" s="665">
        <v>27</v>
      </c>
      <c r="AB42" s="665">
        <v>28</v>
      </c>
      <c r="AC42" s="665">
        <v>28</v>
      </c>
      <c r="AD42" s="665">
        <v>31</v>
      </c>
      <c r="AE42" s="665">
        <v>31</v>
      </c>
      <c r="AF42" s="665">
        <v>22</v>
      </c>
      <c r="AG42" s="665">
        <v>18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0.12278802293179035</v>
      </c>
      <c r="F43" s="680">
        <f t="shared" si="25"/>
        <v>23.060000000000002</v>
      </c>
      <c r="G43" s="680">
        <f t="shared" si="26"/>
        <v>26.333333333333332</v>
      </c>
      <c r="H43" s="679">
        <f t="shared" si="27"/>
        <v>23.833333333333332</v>
      </c>
      <c r="I43" s="679">
        <f t="shared" si="28"/>
        <v>25</v>
      </c>
      <c r="J43" s="679">
        <f t="shared" si="29"/>
        <v>20.399999999999999</v>
      </c>
      <c r="K43" s="673">
        <v>31</v>
      </c>
      <c r="L43" s="673">
        <v>24</v>
      </c>
      <c r="M43" s="673">
        <v>28</v>
      </c>
      <c r="N43" s="673">
        <v>22</v>
      </c>
      <c r="O43" s="673">
        <v>29</v>
      </c>
      <c r="P43" s="673">
        <v>24</v>
      </c>
      <c r="Q43" s="673">
        <v>33</v>
      </c>
      <c r="R43" s="673">
        <v>23</v>
      </c>
      <c r="S43" s="673">
        <v>17</v>
      </c>
      <c r="T43" s="673">
        <v>19</v>
      </c>
      <c r="U43" s="673">
        <v>22</v>
      </c>
      <c r="V43" s="665">
        <v>29</v>
      </c>
      <c r="W43" s="665">
        <v>25</v>
      </c>
      <c r="X43" s="665">
        <v>26</v>
      </c>
      <c r="Y43" s="665">
        <v>25</v>
      </c>
      <c r="Z43" s="665">
        <v>23</v>
      </c>
      <c r="AA43" s="665">
        <v>23</v>
      </c>
      <c r="AB43" s="665">
        <v>28</v>
      </c>
      <c r="AC43" s="665">
        <v>23</v>
      </c>
      <c r="AD43" s="665">
        <v>24</v>
      </c>
      <c r="AE43" s="665">
        <v>20</v>
      </c>
      <c r="AF43" s="665">
        <v>21</v>
      </c>
      <c r="AG43" s="665">
        <v>14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0.15936884329351625</v>
      </c>
      <c r="F44" s="680">
        <f t="shared" si="25"/>
        <v>29.93</v>
      </c>
      <c r="G44" s="680">
        <f t="shared" si="26"/>
        <v>37.333333333333336</v>
      </c>
      <c r="H44" s="679">
        <f t="shared" si="27"/>
        <v>27.333333333333332</v>
      </c>
      <c r="I44" s="679">
        <f t="shared" si="28"/>
        <v>34.166666666666664</v>
      </c>
      <c r="J44" s="679">
        <f t="shared" si="29"/>
        <v>26.2</v>
      </c>
      <c r="K44" s="673">
        <v>38</v>
      </c>
      <c r="L44" s="673">
        <v>35</v>
      </c>
      <c r="M44" s="673">
        <v>43</v>
      </c>
      <c r="N44" s="673">
        <v>36</v>
      </c>
      <c r="O44" s="673">
        <v>38</v>
      </c>
      <c r="P44" s="673">
        <v>34</v>
      </c>
      <c r="Q44" s="673">
        <v>24</v>
      </c>
      <c r="R44" s="673">
        <v>25</v>
      </c>
      <c r="S44" s="673">
        <v>16</v>
      </c>
      <c r="T44" s="673">
        <v>35</v>
      </c>
      <c r="U44" s="673">
        <v>31</v>
      </c>
      <c r="V44" s="665">
        <v>33</v>
      </c>
      <c r="W44" s="665">
        <v>28</v>
      </c>
      <c r="X44" s="665">
        <v>33</v>
      </c>
      <c r="Y44" s="665">
        <v>40</v>
      </c>
      <c r="Z44" s="665">
        <v>29</v>
      </c>
      <c r="AA44" s="665">
        <v>33</v>
      </c>
      <c r="AB44" s="665">
        <v>42</v>
      </c>
      <c r="AC44" s="665">
        <v>36</v>
      </c>
      <c r="AD44" s="665">
        <v>24</v>
      </c>
      <c r="AE44" s="665">
        <v>29</v>
      </c>
      <c r="AF44" s="665">
        <v>19</v>
      </c>
      <c r="AG44" s="665">
        <v>23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0.11826201167888394</v>
      </c>
      <c r="F45" s="680">
        <f t="shared" si="25"/>
        <v>22.21</v>
      </c>
      <c r="G45" s="680">
        <f t="shared" si="26"/>
        <v>25.166666666666668</v>
      </c>
      <c r="H45" s="679">
        <f t="shared" si="27"/>
        <v>20.166666666666668</v>
      </c>
      <c r="I45" s="679">
        <f t="shared" si="28"/>
        <v>23.666666666666668</v>
      </c>
      <c r="J45" s="679">
        <f t="shared" si="29"/>
        <v>21.4</v>
      </c>
      <c r="K45" s="673">
        <v>32</v>
      </c>
      <c r="L45" s="673">
        <v>24</v>
      </c>
      <c r="M45" s="673">
        <v>31</v>
      </c>
      <c r="N45" s="673">
        <v>21</v>
      </c>
      <c r="O45" s="673">
        <v>22</v>
      </c>
      <c r="P45" s="673">
        <v>21</v>
      </c>
      <c r="Q45" s="673">
        <v>24</v>
      </c>
      <c r="R45" s="673">
        <v>24</v>
      </c>
      <c r="S45" s="673">
        <v>15</v>
      </c>
      <c r="T45" s="673">
        <v>19</v>
      </c>
      <c r="U45" s="673">
        <v>22</v>
      </c>
      <c r="V45" s="665">
        <v>17</v>
      </c>
      <c r="W45" s="665">
        <v>24</v>
      </c>
      <c r="X45" s="665">
        <v>26</v>
      </c>
      <c r="Y45" s="665">
        <v>25</v>
      </c>
      <c r="Z45" s="665">
        <v>18</v>
      </c>
      <c r="AA45" s="665">
        <v>20</v>
      </c>
      <c r="AB45" s="665">
        <v>29</v>
      </c>
      <c r="AC45" s="665">
        <v>25</v>
      </c>
      <c r="AD45" s="665">
        <v>27</v>
      </c>
      <c r="AE45" s="665">
        <v>24</v>
      </c>
      <c r="AF45" s="665">
        <v>17</v>
      </c>
      <c r="AG45" s="665">
        <v>14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0.12168758098010328</v>
      </c>
      <c r="F46" s="680">
        <f t="shared" si="25"/>
        <v>22.853333333333332</v>
      </c>
      <c r="G46" s="680">
        <f t="shared" si="26"/>
        <v>30.166666666666668</v>
      </c>
      <c r="H46" s="679">
        <f t="shared" si="27"/>
        <v>23.333333333333332</v>
      </c>
      <c r="I46" s="679">
        <f t="shared" si="28"/>
        <v>21.5</v>
      </c>
      <c r="J46" s="679">
        <f t="shared" si="29"/>
        <v>21.8</v>
      </c>
      <c r="K46" s="673">
        <v>33</v>
      </c>
      <c r="L46" s="673">
        <v>43</v>
      </c>
      <c r="M46" s="673">
        <v>27</v>
      </c>
      <c r="N46" s="673">
        <v>24</v>
      </c>
      <c r="O46" s="673">
        <v>29</v>
      </c>
      <c r="P46" s="673">
        <v>25</v>
      </c>
      <c r="Q46" s="673">
        <v>21</v>
      </c>
      <c r="R46" s="673">
        <v>22</v>
      </c>
      <c r="S46" s="673">
        <v>19</v>
      </c>
      <c r="T46" s="673">
        <v>27</v>
      </c>
      <c r="U46" s="673">
        <v>25</v>
      </c>
      <c r="V46" s="665">
        <v>26</v>
      </c>
      <c r="W46" s="665">
        <v>26</v>
      </c>
      <c r="X46" s="665">
        <v>22</v>
      </c>
      <c r="Y46" s="665">
        <v>16</v>
      </c>
      <c r="Z46" s="665">
        <v>15</v>
      </c>
      <c r="AA46" s="665">
        <v>22</v>
      </c>
      <c r="AB46" s="665">
        <v>28</v>
      </c>
      <c r="AC46" s="665">
        <v>26</v>
      </c>
      <c r="AD46" s="665">
        <v>22</v>
      </c>
      <c r="AE46" s="665">
        <v>39</v>
      </c>
      <c r="AF46" s="665">
        <v>13</v>
      </c>
      <c r="AG46" s="665">
        <v>9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0.15475408672192542</v>
      </c>
      <c r="F47" s="680">
        <f t="shared" si="25"/>
        <v>29.063333333333333</v>
      </c>
      <c r="G47" s="680">
        <f t="shared" si="26"/>
        <v>37</v>
      </c>
      <c r="H47" s="679">
        <f t="shared" si="27"/>
        <v>27.666666666666668</v>
      </c>
      <c r="I47" s="679">
        <f t="shared" si="28"/>
        <v>27.166666666666668</v>
      </c>
      <c r="J47" s="679">
        <f t="shared" si="29"/>
        <v>29.2</v>
      </c>
      <c r="K47" s="673">
        <v>47</v>
      </c>
      <c r="L47" s="673">
        <v>30</v>
      </c>
      <c r="M47" s="673">
        <v>37</v>
      </c>
      <c r="N47" s="673">
        <v>39</v>
      </c>
      <c r="O47" s="673">
        <v>40</v>
      </c>
      <c r="P47" s="673">
        <v>29</v>
      </c>
      <c r="Q47" s="673">
        <v>31</v>
      </c>
      <c r="R47" s="673">
        <v>30</v>
      </c>
      <c r="S47" s="673">
        <v>21</v>
      </c>
      <c r="T47" s="673">
        <v>32</v>
      </c>
      <c r="U47" s="673">
        <v>26</v>
      </c>
      <c r="V47" s="665">
        <v>26</v>
      </c>
      <c r="W47" s="665">
        <v>27</v>
      </c>
      <c r="X47" s="665">
        <v>28</v>
      </c>
      <c r="Y47" s="665">
        <v>30</v>
      </c>
      <c r="Z47" s="665">
        <v>26</v>
      </c>
      <c r="AA47" s="665">
        <v>23</v>
      </c>
      <c r="AB47" s="665">
        <v>29</v>
      </c>
      <c r="AC47" s="665">
        <v>29</v>
      </c>
      <c r="AD47" s="665">
        <v>39</v>
      </c>
      <c r="AE47" s="665">
        <v>28</v>
      </c>
      <c r="AF47" s="665">
        <v>24</v>
      </c>
      <c r="AG47" s="665">
        <v>26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0.10182637865852577</v>
      </c>
      <c r="F48" s="680">
        <f t="shared" si="25"/>
        <v>19.123333333333335</v>
      </c>
      <c r="G48" s="680">
        <f t="shared" si="26"/>
        <v>23.666666666666668</v>
      </c>
      <c r="H48" s="679">
        <f t="shared" si="27"/>
        <v>15.333333333333334</v>
      </c>
      <c r="I48" s="679">
        <f t="shared" si="28"/>
        <v>22.166666666666668</v>
      </c>
      <c r="J48" s="679">
        <f t="shared" si="29"/>
        <v>17.600000000000001</v>
      </c>
      <c r="K48" s="673">
        <v>27</v>
      </c>
      <c r="L48" s="673">
        <v>19</v>
      </c>
      <c r="M48" s="673">
        <v>28</v>
      </c>
      <c r="N48" s="673">
        <v>16</v>
      </c>
      <c r="O48" s="673">
        <v>30</v>
      </c>
      <c r="P48" s="673">
        <v>22</v>
      </c>
      <c r="Q48" s="673">
        <v>15</v>
      </c>
      <c r="R48" s="673">
        <v>10</v>
      </c>
      <c r="S48" s="673">
        <v>17</v>
      </c>
      <c r="T48" s="673">
        <v>15</v>
      </c>
      <c r="U48" s="673">
        <v>18</v>
      </c>
      <c r="V48" s="665">
        <v>17</v>
      </c>
      <c r="W48" s="665">
        <v>16</v>
      </c>
      <c r="X48" s="665">
        <v>16</v>
      </c>
      <c r="Y48" s="665">
        <v>22</v>
      </c>
      <c r="Z48" s="665">
        <v>20</v>
      </c>
      <c r="AA48" s="665">
        <v>28</v>
      </c>
      <c r="AB48" s="665">
        <v>31</v>
      </c>
      <c r="AC48" s="665">
        <v>16</v>
      </c>
      <c r="AD48" s="665">
        <v>22</v>
      </c>
      <c r="AE48" s="665">
        <v>16</v>
      </c>
      <c r="AF48" s="665">
        <v>16</v>
      </c>
      <c r="AG48" s="665">
        <v>18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6.5831277400117141E-2</v>
      </c>
      <c r="F49" s="680">
        <f t="shared" si="25"/>
        <v>12.363333333333333</v>
      </c>
      <c r="G49" s="680">
        <f t="shared" si="26"/>
        <v>11.666666666666666</v>
      </c>
      <c r="H49" s="679">
        <f t="shared" si="27"/>
        <v>10.333333333333334</v>
      </c>
      <c r="I49" s="679">
        <f t="shared" si="28"/>
        <v>15.5</v>
      </c>
      <c r="J49" s="679">
        <f t="shared" si="29"/>
        <v>11.2</v>
      </c>
      <c r="K49" s="673">
        <v>11</v>
      </c>
      <c r="L49" s="673">
        <v>13</v>
      </c>
      <c r="M49" s="673">
        <v>13</v>
      </c>
      <c r="N49" s="673">
        <v>11</v>
      </c>
      <c r="O49" s="673">
        <v>11</v>
      </c>
      <c r="P49" s="673">
        <v>11</v>
      </c>
      <c r="Q49" s="673">
        <v>11</v>
      </c>
      <c r="R49" s="673">
        <v>9</v>
      </c>
      <c r="S49" s="673">
        <v>7</v>
      </c>
      <c r="T49" s="673">
        <v>9</v>
      </c>
      <c r="U49" s="673">
        <v>13</v>
      </c>
      <c r="V49" s="665">
        <v>13</v>
      </c>
      <c r="W49" s="665">
        <v>25</v>
      </c>
      <c r="X49" s="665">
        <v>14</v>
      </c>
      <c r="Y49" s="665">
        <v>8</v>
      </c>
      <c r="Z49" s="665">
        <v>10</v>
      </c>
      <c r="AA49" s="665">
        <v>19</v>
      </c>
      <c r="AB49" s="665">
        <v>17</v>
      </c>
      <c r="AC49" s="665">
        <v>13</v>
      </c>
      <c r="AD49" s="665">
        <v>15</v>
      </c>
      <c r="AE49" s="665">
        <v>12</v>
      </c>
      <c r="AF49" s="665">
        <v>9</v>
      </c>
      <c r="AG49" s="665">
        <v>7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0.11713920640950373</v>
      </c>
      <c r="F50" s="680">
        <f t="shared" si="25"/>
        <v>22.61333333333333</v>
      </c>
      <c r="G50" s="680">
        <f t="shared" si="26"/>
        <v>23.166666666666668</v>
      </c>
      <c r="H50" s="679">
        <f t="shared" si="27"/>
        <v>22.333333333333332</v>
      </c>
      <c r="I50" s="679">
        <f t="shared" si="28"/>
        <v>25.833333333333332</v>
      </c>
      <c r="J50" s="679">
        <f t="shared" si="29"/>
        <v>20.2</v>
      </c>
      <c r="K50" s="673">
        <v>36</v>
      </c>
      <c r="L50" s="673">
        <v>20</v>
      </c>
      <c r="M50" s="673">
        <v>23</v>
      </c>
      <c r="N50" s="673">
        <v>21</v>
      </c>
      <c r="O50" s="673">
        <v>23</v>
      </c>
      <c r="P50" s="673">
        <v>16</v>
      </c>
      <c r="Q50" s="673">
        <v>25</v>
      </c>
      <c r="R50" s="673">
        <v>17</v>
      </c>
      <c r="S50" s="673">
        <v>16</v>
      </c>
      <c r="T50" s="673">
        <v>23</v>
      </c>
      <c r="U50" s="673">
        <v>27</v>
      </c>
      <c r="V50" s="665">
        <v>26</v>
      </c>
      <c r="W50" s="665">
        <v>30</v>
      </c>
      <c r="X50" s="665">
        <v>26</v>
      </c>
      <c r="Y50" s="665">
        <v>34</v>
      </c>
      <c r="Z50" s="665">
        <v>15</v>
      </c>
      <c r="AA50" s="665">
        <v>25</v>
      </c>
      <c r="AB50" s="665">
        <v>25</v>
      </c>
      <c r="AC50" s="665">
        <v>23</v>
      </c>
      <c r="AD50" s="665">
        <v>23</v>
      </c>
      <c r="AE50" s="665">
        <v>29</v>
      </c>
      <c r="AF50" s="665">
        <v>16</v>
      </c>
      <c r="AG50" s="665">
        <v>10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0.13716890561867598</v>
      </c>
      <c r="F51" s="680">
        <f t="shared" si="25"/>
        <v>26.48</v>
      </c>
      <c r="G51" s="680">
        <f t="shared" si="26"/>
        <v>19.5</v>
      </c>
      <c r="H51" s="679">
        <f t="shared" si="27"/>
        <v>20.5</v>
      </c>
      <c r="I51" s="679">
        <f t="shared" si="28"/>
        <v>31.833333333333332</v>
      </c>
      <c r="J51" s="679">
        <f t="shared" si="29"/>
        <v>27.2</v>
      </c>
      <c r="K51" s="673">
        <v>21</v>
      </c>
      <c r="L51" s="673">
        <v>20</v>
      </c>
      <c r="M51" s="673">
        <v>19</v>
      </c>
      <c r="N51" s="673">
        <v>23</v>
      </c>
      <c r="O51" s="673">
        <v>19</v>
      </c>
      <c r="P51" s="673">
        <v>15</v>
      </c>
      <c r="Q51" s="673">
        <v>26</v>
      </c>
      <c r="R51" s="673">
        <v>22</v>
      </c>
      <c r="S51" s="673">
        <v>13</v>
      </c>
      <c r="T51" s="673">
        <v>20</v>
      </c>
      <c r="U51" s="673">
        <v>24</v>
      </c>
      <c r="V51" s="665">
        <v>18</v>
      </c>
      <c r="W51" s="665">
        <v>29</v>
      </c>
      <c r="X51" s="665">
        <v>18</v>
      </c>
      <c r="Y51" s="665">
        <v>32</v>
      </c>
      <c r="Z51" s="665">
        <v>53</v>
      </c>
      <c r="AA51" s="665">
        <v>33</v>
      </c>
      <c r="AB51" s="665">
        <v>26</v>
      </c>
      <c r="AC51" s="665">
        <v>22</v>
      </c>
      <c r="AD51" s="665">
        <v>41</v>
      </c>
      <c r="AE51" s="665">
        <v>28</v>
      </c>
      <c r="AF51" s="665">
        <v>21</v>
      </c>
      <c r="AG51" s="665">
        <v>24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0.12314811617225542</v>
      </c>
      <c r="F52" s="680">
        <f t="shared" si="25"/>
        <v>23.773333333333333</v>
      </c>
      <c r="G52" s="680">
        <f t="shared" si="26"/>
        <v>21</v>
      </c>
      <c r="H52" s="679">
        <f t="shared" si="27"/>
        <v>23.166666666666668</v>
      </c>
      <c r="I52" s="679">
        <f t="shared" si="28"/>
        <v>24</v>
      </c>
      <c r="J52" s="679">
        <f t="shared" si="29"/>
        <v>24.6</v>
      </c>
      <c r="K52" s="673">
        <v>27</v>
      </c>
      <c r="L52" s="673">
        <v>13</v>
      </c>
      <c r="M52" s="673">
        <v>25</v>
      </c>
      <c r="N52" s="673">
        <v>16</v>
      </c>
      <c r="O52" s="673">
        <v>24</v>
      </c>
      <c r="P52" s="673">
        <v>21</v>
      </c>
      <c r="Q52" s="673">
        <v>27</v>
      </c>
      <c r="R52" s="673">
        <v>30</v>
      </c>
      <c r="S52" s="673">
        <v>19</v>
      </c>
      <c r="T52" s="673">
        <v>22</v>
      </c>
      <c r="U52" s="673">
        <v>20</v>
      </c>
      <c r="V52" s="665">
        <v>21</v>
      </c>
      <c r="W52" s="665">
        <v>21</v>
      </c>
      <c r="X52" s="665">
        <v>21</v>
      </c>
      <c r="Y52" s="665">
        <v>30</v>
      </c>
      <c r="Z52" s="665">
        <v>21</v>
      </c>
      <c r="AA52" s="665">
        <v>25</v>
      </c>
      <c r="AB52" s="665">
        <v>26</v>
      </c>
      <c r="AC52" s="665">
        <v>28</v>
      </c>
      <c r="AD52" s="665">
        <v>29</v>
      </c>
      <c r="AE52" s="665">
        <v>27</v>
      </c>
      <c r="AF52" s="665">
        <v>20</v>
      </c>
      <c r="AG52" s="665">
        <v>19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9.2395621093345329E-2</v>
      </c>
      <c r="F53" s="680">
        <f t="shared" si="25"/>
        <v>17.83666666666667</v>
      </c>
      <c r="G53" s="680">
        <f t="shared" si="26"/>
        <v>22</v>
      </c>
      <c r="H53" s="679">
        <f t="shared" si="27"/>
        <v>13.333333333333334</v>
      </c>
      <c r="I53" s="679">
        <f t="shared" si="28"/>
        <v>16.833333333333332</v>
      </c>
      <c r="J53" s="679">
        <f t="shared" si="29"/>
        <v>19.8</v>
      </c>
      <c r="K53" s="673">
        <v>26</v>
      </c>
      <c r="L53" s="673">
        <v>19</v>
      </c>
      <c r="M53" s="673">
        <v>25</v>
      </c>
      <c r="N53" s="673">
        <v>25</v>
      </c>
      <c r="O53" s="673">
        <v>20</v>
      </c>
      <c r="P53" s="673">
        <v>17</v>
      </c>
      <c r="Q53" s="673">
        <v>11</v>
      </c>
      <c r="R53" s="673">
        <v>14</v>
      </c>
      <c r="S53" s="673">
        <v>8</v>
      </c>
      <c r="T53" s="673">
        <v>12</v>
      </c>
      <c r="U53" s="673">
        <v>17</v>
      </c>
      <c r="V53" s="665">
        <v>18</v>
      </c>
      <c r="W53" s="665">
        <v>19</v>
      </c>
      <c r="X53" s="665">
        <v>13</v>
      </c>
      <c r="Y53" s="665">
        <v>19</v>
      </c>
      <c r="Z53" s="665">
        <v>11</v>
      </c>
      <c r="AA53" s="665">
        <v>20</v>
      </c>
      <c r="AB53" s="665">
        <v>19</v>
      </c>
      <c r="AC53" s="665">
        <v>24</v>
      </c>
      <c r="AD53" s="665">
        <v>28</v>
      </c>
      <c r="AE53" s="665">
        <v>18</v>
      </c>
      <c r="AF53" s="665">
        <v>14</v>
      </c>
      <c r="AG53" s="665">
        <v>15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0.13223054874469042</v>
      </c>
      <c r="F54" s="680">
        <f t="shared" si="25"/>
        <v>25.526666666666667</v>
      </c>
      <c r="G54" s="680">
        <f t="shared" si="26"/>
        <v>30.666666666666668</v>
      </c>
      <c r="H54" s="679">
        <f t="shared" si="27"/>
        <v>24.5</v>
      </c>
      <c r="I54" s="679">
        <f t="shared" si="28"/>
        <v>20.666666666666668</v>
      </c>
      <c r="J54" s="679">
        <f t="shared" si="29"/>
        <v>28.4</v>
      </c>
      <c r="K54" s="673">
        <v>32</v>
      </c>
      <c r="L54" s="673">
        <v>21</v>
      </c>
      <c r="M54" s="673">
        <v>40</v>
      </c>
      <c r="N54" s="673">
        <v>35</v>
      </c>
      <c r="O54" s="673">
        <v>33</v>
      </c>
      <c r="P54" s="673">
        <v>23</v>
      </c>
      <c r="Q54" s="673">
        <v>27</v>
      </c>
      <c r="R54" s="673">
        <v>29</v>
      </c>
      <c r="S54" s="673">
        <v>15</v>
      </c>
      <c r="T54" s="673">
        <v>23</v>
      </c>
      <c r="U54" s="673">
        <v>28</v>
      </c>
      <c r="V54" s="665">
        <v>25</v>
      </c>
      <c r="W54" s="665">
        <v>35</v>
      </c>
      <c r="X54" s="665">
        <v>25</v>
      </c>
      <c r="Y54" s="665">
        <v>15</v>
      </c>
      <c r="Z54" s="665">
        <v>14</v>
      </c>
      <c r="AA54" s="665">
        <v>19</v>
      </c>
      <c r="AB54" s="665">
        <v>16</v>
      </c>
      <c r="AC54" s="665">
        <v>32</v>
      </c>
      <c r="AD54" s="665">
        <v>29</v>
      </c>
      <c r="AE54" s="665">
        <v>33</v>
      </c>
      <c r="AF54" s="665">
        <v>28</v>
      </c>
      <c r="AG54" s="665">
        <v>20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0.13217874779845978</v>
      </c>
      <c r="F55" s="680">
        <f t="shared" si="25"/>
        <v>25.516666666666666</v>
      </c>
      <c r="G55" s="680">
        <f t="shared" si="26"/>
        <v>33.166666666666664</v>
      </c>
      <c r="H55" s="679">
        <f t="shared" si="27"/>
        <v>26</v>
      </c>
      <c r="I55" s="679">
        <f t="shared" si="28"/>
        <v>24.666666666666668</v>
      </c>
      <c r="J55" s="679">
        <f t="shared" si="29"/>
        <v>24</v>
      </c>
      <c r="K55" s="673">
        <v>34</v>
      </c>
      <c r="L55" s="673">
        <v>32</v>
      </c>
      <c r="M55" s="673">
        <v>38</v>
      </c>
      <c r="N55" s="673">
        <v>33</v>
      </c>
      <c r="O55" s="673">
        <v>33</v>
      </c>
      <c r="P55" s="673">
        <v>29</v>
      </c>
      <c r="Q55" s="673">
        <v>29</v>
      </c>
      <c r="R55" s="673">
        <v>30</v>
      </c>
      <c r="S55" s="673">
        <v>19</v>
      </c>
      <c r="T55" s="673">
        <v>24</v>
      </c>
      <c r="U55" s="673">
        <v>25</v>
      </c>
      <c r="V55" s="665">
        <v>29</v>
      </c>
      <c r="W55" s="665">
        <v>34</v>
      </c>
      <c r="X55" s="665">
        <v>21</v>
      </c>
      <c r="Y55" s="665">
        <v>25</v>
      </c>
      <c r="Z55" s="665">
        <v>21</v>
      </c>
      <c r="AA55" s="665">
        <v>24</v>
      </c>
      <c r="AB55" s="665">
        <v>23</v>
      </c>
      <c r="AC55" s="665">
        <v>23</v>
      </c>
      <c r="AD55" s="665">
        <v>31</v>
      </c>
      <c r="AE55" s="665">
        <v>30</v>
      </c>
      <c r="AF55" s="665">
        <v>20</v>
      </c>
      <c r="AG55" s="665">
        <v>16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0.12739579376316609</v>
      </c>
      <c r="F56" s="680">
        <f t="shared" si="25"/>
        <v>24.593333333333334</v>
      </c>
      <c r="G56" s="680">
        <f t="shared" si="26"/>
        <v>31.166666666666668</v>
      </c>
      <c r="H56" s="679">
        <f t="shared" si="27"/>
        <v>29.833333333333332</v>
      </c>
      <c r="I56" s="679">
        <f t="shared" si="28"/>
        <v>25.833333333333332</v>
      </c>
      <c r="J56" s="679">
        <f t="shared" si="29"/>
        <v>19.399999999999999</v>
      </c>
      <c r="K56" s="673">
        <v>34</v>
      </c>
      <c r="L56" s="673">
        <v>31</v>
      </c>
      <c r="M56" s="673">
        <v>34</v>
      </c>
      <c r="N56" s="673">
        <v>29</v>
      </c>
      <c r="O56" s="673">
        <v>34</v>
      </c>
      <c r="P56" s="673">
        <v>25</v>
      </c>
      <c r="Q56" s="673">
        <v>29</v>
      </c>
      <c r="R56" s="673">
        <v>30</v>
      </c>
      <c r="S56" s="673">
        <v>22</v>
      </c>
      <c r="T56" s="673">
        <v>34</v>
      </c>
      <c r="U56" s="673">
        <v>37</v>
      </c>
      <c r="V56" s="665">
        <v>27</v>
      </c>
      <c r="W56" s="665">
        <v>28</v>
      </c>
      <c r="X56" s="665">
        <v>17</v>
      </c>
      <c r="Y56" s="665">
        <v>25</v>
      </c>
      <c r="Z56" s="665">
        <v>21</v>
      </c>
      <c r="AA56" s="665">
        <v>34</v>
      </c>
      <c r="AB56" s="665">
        <v>30</v>
      </c>
      <c r="AC56" s="665">
        <v>22</v>
      </c>
      <c r="AD56" s="665">
        <v>25</v>
      </c>
      <c r="AE56" s="665">
        <v>26</v>
      </c>
      <c r="AF56" s="665">
        <v>12</v>
      </c>
      <c r="AG56" s="665">
        <v>12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0.13834306039990332</v>
      </c>
      <c r="F57" s="680">
        <f t="shared" si="25"/>
        <v>26.706666666666667</v>
      </c>
      <c r="G57" s="680">
        <f t="shared" si="26"/>
        <v>33.666666666666664</v>
      </c>
      <c r="H57" s="679">
        <f t="shared" si="27"/>
        <v>28.5</v>
      </c>
      <c r="I57" s="679">
        <f t="shared" si="28"/>
        <v>27.333333333333332</v>
      </c>
      <c r="J57" s="679">
        <f t="shared" si="29"/>
        <v>23.6</v>
      </c>
      <c r="K57" s="673">
        <v>38</v>
      </c>
      <c r="L57" s="673">
        <v>27</v>
      </c>
      <c r="M57" s="673">
        <v>38</v>
      </c>
      <c r="N57" s="673">
        <v>35</v>
      </c>
      <c r="O57" s="673">
        <v>35</v>
      </c>
      <c r="P57" s="673">
        <v>29</v>
      </c>
      <c r="Q57" s="673">
        <v>26</v>
      </c>
      <c r="R57" s="673">
        <v>33</v>
      </c>
      <c r="S57" s="673">
        <v>18</v>
      </c>
      <c r="T57" s="673">
        <v>41</v>
      </c>
      <c r="U57" s="673">
        <v>25</v>
      </c>
      <c r="V57" s="665">
        <v>28</v>
      </c>
      <c r="W57" s="665">
        <v>33</v>
      </c>
      <c r="X57" s="665">
        <v>29</v>
      </c>
      <c r="Y57" s="665">
        <v>23</v>
      </c>
      <c r="Z57" s="665">
        <v>22</v>
      </c>
      <c r="AA57" s="665">
        <v>28</v>
      </c>
      <c r="AB57" s="665">
        <v>29</v>
      </c>
      <c r="AC57" s="665">
        <v>28</v>
      </c>
      <c r="AD57" s="665">
        <v>34</v>
      </c>
      <c r="AE57" s="665">
        <v>20</v>
      </c>
      <c r="AF57" s="665">
        <v>19</v>
      </c>
      <c r="AG57" s="665">
        <v>17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0.12636834381904971</v>
      </c>
      <c r="F58" s="680">
        <f t="shared" si="25"/>
        <v>24.973333333333336</v>
      </c>
      <c r="G58" s="680">
        <f t="shared" si="26"/>
        <v>25.333333333333332</v>
      </c>
      <c r="H58" s="679">
        <f t="shared" si="27"/>
        <v>25.5</v>
      </c>
      <c r="I58" s="679">
        <f t="shared" si="28"/>
        <v>25</v>
      </c>
      <c r="J58" s="679">
        <f t="shared" si="29"/>
        <v>24.6</v>
      </c>
      <c r="K58" s="673">
        <v>27</v>
      </c>
      <c r="L58" s="673">
        <v>24</v>
      </c>
      <c r="M58" s="673">
        <v>24</v>
      </c>
      <c r="N58" s="673">
        <v>28</v>
      </c>
      <c r="O58" s="673">
        <v>24</v>
      </c>
      <c r="P58" s="673">
        <v>25</v>
      </c>
      <c r="Q58" s="673">
        <v>22</v>
      </c>
      <c r="R58" s="673">
        <v>29</v>
      </c>
      <c r="S58" s="673">
        <v>14</v>
      </c>
      <c r="T58" s="673">
        <v>28</v>
      </c>
      <c r="U58" s="673">
        <v>26</v>
      </c>
      <c r="V58" s="665">
        <v>34</v>
      </c>
      <c r="W58" s="665">
        <v>31</v>
      </c>
      <c r="X58" s="665">
        <v>29</v>
      </c>
      <c r="Y58" s="665">
        <v>30</v>
      </c>
      <c r="Z58" s="665">
        <v>17</v>
      </c>
      <c r="AA58" s="665">
        <v>25</v>
      </c>
      <c r="AB58" s="665">
        <v>18</v>
      </c>
      <c r="AC58" s="665">
        <v>27</v>
      </c>
      <c r="AD58" s="665">
        <v>23</v>
      </c>
      <c r="AE58" s="665">
        <v>25</v>
      </c>
      <c r="AF58" s="665">
        <v>26</v>
      </c>
      <c r="AG58" s="665">
        <v>22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0.10958557525258487</v>
      </c>
      <c r="F59" s="680">
        <f t="shared" si="25"/>
        <v>21.656666666666666</v>
      </c>
      <c r="G59" s="680">
        <f t="shared" si="26"/>
        <v>20</v>
      </c>
      <c r="H59" s="679">
        <f t="shared" si="27"/>
        <v>22.833333333333332</v>
      </c>
      <c r="I59" s="679">
        <f t="shared" si="28"/>
        <v>22.833333333333332</v>
      </c>
      <c r="J59" s="679">
        <f t="shared" si="29"/>
        <v>20.6</v>
      </c>
      <c r="K59" s="673">
        <v>23</v>
      </c>
      <c r="L59" s="673">
        <v>18</v>
      </c>
      <c r="M59" s="673">
        <v>19</v>
      </c>
      <c r="N59" s="673">
        <v>25</v>
      </c>
      <c r="O59" s="673">
        <v>15</v>
      </c>
      <c r="P59" s="673">
        <v>20</v>
      </c>
      <c r="Q59" s="673">
        <v>23</v>
      </c>
      <c r="R59" s="673">
        <v>24</v>
      </c>
      <c r="S59" s="673">
        <v>19</v>
      </c>
      <c r="T59" s="673">
        <v>21</v>
      </c>
      <c r="U59" s="673">
        <v>26</v>
      </c>
      <c r="V59" s="665">
        <v>24</v>
      </c>
      <c r="W59" s="665">
        <v>21</v>
      </c>
      <c r="X59" s="665">
        <v>21</v>
      </c>
      <c r="Y59" s="665">
        <v>23</v>
      </c>
      <c r="Z59" s="665">
        <v>24</v>
      </c>
      <c r="AA59" s="665">
        <v>27</v>
      </c>
      <c r="AB59" s="665">
        <v>21</v>
      </c>
      <c r="AC59" s="665">
        <v>17</v>
      </c>
      <c r="AD59" s="665">
        <v>25</v>
      </c>
      <c r="AE59" s="665">
        <v>25</v>
      </c>
      <c r="AF59" s="665">
        <v>20</v>
      </c>
      <c r="AG59" s="665">
        <v>16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0.10199537841348019</v>
      </c>
      <c r="F60" s="680">
        <f t="shared" si="25"/>
        <v>20.156666666666666</v>
      </c>
      <c r="G60" s="680">
        <f t="shared" si="26"/>
        <v>23.166666666666668</v>
      </c>
      <c r="H60" s="679">
        <f t="shared" si="27"/>
        <v>17.5</v>
      </c>
      <c r="I60" s="679">
        <f t="shared" si="28"/>
        <v>19</v>
      </c>
      <c r="J60" s="679">
        <f t="shared" si="29"/>
        <v>21.6</v>
      </c>
      <c r="K60" s="673">
        <v>25</v>
      </c>
      <c r="L60" s="673">
        <v>22</v>
      </c>
      <c r="M60" s="673">
        <v>24</v>
      </c>
      <c r="N60" s="673">
        <v>25</v>
      </c>
      <c r="O60" s="673">
        <v>20</v>
      </c>
      <c r="P60" s="673">
        <v>23</v>
      </c>
      <c r="Q60" s="673">
        <v>14</v>
      </c>
      <c r="R60" s="673">
        <v>20</v>
      </c>
      <c r="S60" s="673">
        <v>19</v>
      </c>
      <c r="T60" s="673">
        <v>17</v>
      </c>
      <c r="U60" s="673">
        <v>17</v>
      </c>
      <c r="V60" s="665">
        <v>18</v>
      </c>
      <c r="W60" s="665">
        <v>23</v>
      </c>
      <c r="X60" s="665">
        <v>18</v>
      </c>
      <c r="Y60" s="665">
        <v>21</v>
      </c>
      <c r="Z60" s="665">
        <v>18</v>
      </c>
      <c r="AA60" s="665">
        <v>17</v>
      </c>
      <c r="AB60" s="665">
        <v>17</v>
      </c>
      <c r="AC60" s="665">
        <v>13</v>
      </c>
      <c r="AD60" s="665">
        <v>21</v>
      </c>
      <c r="AE60" s="665">
        <v>23</v>
      </c>
      <c r="AF60" s="665">
        <v>29</v>
      </c>
      <c r="AG60" s="665">
        <v>22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0.13893433636378971</v>
      </c>
      <c r="F61" s="680">
        <f t="shared" si="25"/>
        <v>27.456666666666671</v>
      </c>
      <c r="G61" s="680">
        <f t="shared" si="26"/>
        <v>28.833333333333332</v>
      </c>
      <c r="H61" s="679">
        <f t="shared" si="27"/>
        <v>29.666666666666668</v>
      </c>
      <c r="I61" s="679">
        <f t="shared" si="28"/>
        <v>29.333333333333332</v>
      </c>
      <c r="J61" s="679">
        <f t="shared" si="29"/>
        <v>24.6</v>
      </c>
      <c r="K61" s="673">
        <v>26</v>
      </c>
      <c r="L61" s="673">
        <v>22</v>
      </c>
      <c r="M61" s="673">
        <v>34</v>
      </c>
      <c r="N61" s="673">
        <v>33</v>
      </c>
      <c r="O61" s="673">
        <v>30</v>
      </c>
      <c r="P61" s="673">
        <v>28</v>
      </c>
      <c r="Q61" s="673">
        <v>31</v>
      </c>
      <c r="R61" s="673">
        <v>32</v>
      </c>
      <c r="S61" s="673">
        <v>23</v>
      </c>
      <c r="T61" s="673">
        <v>32</v>
      </c>
      <c r="U61" s="673">
        <v>31</v>
      </c>
      <c r="V61" s="665">
        <v>29</v>
      </c>
      <c r="W61" s="665">
        <v>28</v>
      </c>
      <c r="X61" s="665">
        <v>30</v>
      </c>
      <c r="Y61" s="665">
        <v>37</v>
      </c>
      <c r="Z61" s="665">
        <v>31</v>
      </c>
      <c r="AA61" s="665">
        <v>27</v>
      </c>
      <c r="AB61" s="665">
        <v>23</v>
      </c>
      <c r="AC61" s="665">
        <v>24</v>
      </c>
      <c r="AD61" s="665">
        <v>33</v>
      </c>
      <c r="AE61" s="665">
        <v>27</v>
      </c>
      <c r="AF61" s="665">
        <v>17</v>
      </c>
      <c r="AG61" s="665">
        <v>22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0.13739942989188186</v>
      </c>
      <c r="F62" s="680">
        <f t="shared" si="25"/>
        <v>27.153333333333336</v>
      </c>
      <c r="G62" s="680">
        <f t="shared" si="26"/>
        <v>30.666666666666668</v>
      </c>
      <c r="H62" s="679">
        <f t="shared" si="27"/>
        <v>30.333333333333332</v>
      </c>
      <c r="I62" s="679">
        <f t="shared" si="28"/>
        <v>28.333333333333332</v>
      </c>
      <c r="J62" s="679">
        <f t="shared" si="29"/>
        <v>23.8</v>
      </c>
      <c r="K62" s="673">
        <v>31</v>
      </c>
      <c r="L62" s="673">
        <v>26</v>
      </c>
      <c r="M62" s="673">
        <v>36</v>
      </c>
      <c r="N62" s="673">
        <v>34</v>
      </c>
      <c r="O62" s="673">
        <v>26</v>
      </c>
      <c r="P62" s="673">
        <v>31</v>
      </c>
      <c r="Q62" s="673">
        <v>23</v>
      </c>
      <c r="R62" s="673">
        <v>33</v>
      </c>
      <c r="S62" s="673">
        <v>25</v>
      </c>
      <c r="T62" s="673">
        <v>28</v>
      </c>
      <c r="U62" s="673">
        <v>32</v>
      </c>
      <c r="V62" s="665">
        <v>41</v>
      </c>
      <c r="W62" s="665">
        <v>37</v>
      </c>
      <c r="X62" s="665">
        <v>32</v>
      </c>
      <c r="Y62" s="665">
        <v>24</v>
      </c>
      <c r="Z62" s="665">
        <v>23</v>
      </c>
      <c r="AA62" s="665">
        <v>27</v>
      </c>
      <c r="AB62" s="665">
        <v>27</v>
      </c>
      <c r="AC62" s="665">
        <v>21</v>
      </c>
      <c r="AD62" s="665">
        <v>32</v>
      </c>
      <c r="AE62" s="665">
        <v>26</v>
      </c>
      <c r="AF62" s="665">
        <v>20</v>
      </c>
      <c r="AG62" s="665">
        <v>20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9.0255873968998257E-2</v>
      </c>
      <c r="F63" s="680">
        <f t="shared" si="25"/>
        <v>17.836666666666666</v>
      </c>
      <c r="G63" s="680">
        <f t="shared" si="26"/>
        <v>24</v>
      </c>
      <c r="H63" s="679">
        <f t="shared" si="27"/>
        <v>16.333333333333332</v>
      </c>
      <c r="I63" s="679">
        <f t="shared" si="28"/>
        <v>16.833333333333332</v>
      </c>
      <c r="J63" s="679">
        <f t="shared" si="29"/>
        <v>17.8</v>
      </c>
      <c r="K63" s="673">
        <v>27</v>
      </c>
      <c r="L63" s="673">
        <v>24</v>
      </c>
      <c r="M63" s="673">
        <v>26</v>
      </c>
      <c r="N63" s="673">
        <v>21</v>
      </c>
      <c r="O63" s="673">
        <v>24</v>
      </c>
      <c r="P63" s="673">
        <v>22</v>
      </c>
      <c r="Q63" s="673">
        <v>17</v>
      </c>
      <c r="R63" s="673">
        <v>15</v>
      </c>
      <c r="S63" s="673">
        <v>19</v>
      </c>
      <c r="T63" s="673">
        <v>11</v>
      </c>
      <c r="U63" s="673">
        <v>15</v>
      </c>
      <c r="V63" s="665">
        <v>21</v>
      </c>
      <c r="W63" s="665">
        <v>16</v>
      </c>
      <c r="X63" s="665">
        <v>15</v>
      </c>
      <c r="Y63" s="665">
        <v>19</v>
      </c>
      <c r="Z63" s="665">
        <v>13</v>
      </c>
      <c r="AA63" s="665">
        <v>21</v>
      </c>
      <c r="AB63" s="665">
        <v>17</v>
      </c>
      <c r="AC63" s="665">
        <v>14</v>
      </c>
      <c r="AD63" s="665">
        <v>19</v>
      </c>
      <c r="AE63" s="665">
        <v>25</v>
      </c>
      <c r="AF63" s="665">
        <v>21</v>
      </c>
      <c r="AG63" s="665">
        <v>10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8.1856056133722419E-2</v>
      </c>
      <c r="F64" s="680">
        <f t="shared" si="25"/>
        <v>16.176666666666669</v>
      </c>
      <c r="G64" s="680">
        <f t="shared" si="26"/>
        <v>16</v>
      </c>
      <c r="H64" s="679">
        <f t="shared" si="27"/>
        <v>16.333333333333332</v>
      </c>
      <c r="I64" s="679">
        <f t="shared" si="28"/>
        <v>17.166666666666668</v>
      </c>
      <c r="J64" s="679">
        <f t="shared" si="29"/>
        <v>15.4</v>
      </c>
      <c r="K64" s="673">
        <v>14</v>
      </c>
      <c r="L64" s="673">
        <v>18</v>
      </c>
      <c r="M64" s="673">
        <v>18</v>
      </c>
      <c r="N64" s="673">
        <v>12</v>
      </c>
      <c r="O64" s="673">
        <v>18</v>
      </c>
      <c r="P64" s="673">
        <v>16</v>
      </c>
      <c r="Q64" s="673">
        <v>11</v>
      </c>
      <c r="R64" s="673">
        <v>15</v>
      </c>
      <c r="S64" s="673">
        <v>13</v>
      </c>
      <c r="T64" s="673">
        <v>19</v>
      </c>
      <c r="U64" s="673">
        <v>19</v>
      </c>
      <c r="V64" s="665">
        <v>21</v>
      </c>
      <c r="W64" s="665">
        <v>16</v>
      </c>
      <c r="X64" s="665">
        <v>19</v>
      </c>
      <c r="Y64" s="665">
        <v>14</v>
      </c>
      <c r="Z64" s="665">
        <v>15</v>
      </c>
      <c r="AA64" s="665">
        <v>23</v>
      </c>
      <c r="AB64" s="665">
        <v>16</v>
      </c>
      <c r="AC64" s="665">
        <v>22</v>
      </c>
      <c r="AD64" s="665">
        <v>16</v>
      </c>
      <c r="AE64" s="665">
        <v>14</v>
      </c>
      <c r="AF64" s="665">
        <v>14</v>
      </c>
      <c r="AG64" s="665">
        <v>11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0.11567459982795554</v>
      </c>
      <c r="F65" s="680">
        <f t="shared" si="25"/>
        <v>22.86</v>
      </c>
      <c r="G65" s="680">
        <f t="shared" si="26"/>
        <v>32.5</v>
      </c>
      <c r="H65" s="679">
        <f t="shared" si="27"/>
        <v>25.5</v>
      </c>
      <c r="I65" s="679">
        <f t="shared" si="28"/>
        <v>23.833333333333332</v>
      </c>
      <c r="J65" s="679">
        <f t="shared" si="29"/>
        <v>18.399999999999999</v>
      </c>
      <c r="K65" s="673">
        <v>38</v>
      </c>
      <c r="L65" s="673">
        <v>33</v>
      </c>
      <c r="M65" s="673">
        <v>38</v>
      </c>
      <c r="N65" s="673">
        <v>29</v>
      </c>
      <c r="O65" s="673">
        <v>35</v>
      </c>
      <c r="P65" s="673">
        <v>22</v>
      </c>
      <c r="Q65" s="673">
        <v>21</v>
      </c>
      <c r="R65" s="673">
        <v>29</v>
      </c>
      <c r="S65" s="673">
        <v>21</v>
      </c>
      <c r="T65" s="673">
        <v>33</v>
      </c>
      <c r="U65" s="673">
        <v>24</v>
      </c>
      <c r="V65" s="665">
        <v>25</v>
      </c>
      <c r="W65" s="665">
        <v>29</v>
      </c>
      <c r="X65" s="665">
        <v>23</v>
      </c>
      <c r="Y65" s="665">
        <v>23</v>
      </c>
      <c r="Z65" s="665">
        <v>17</v>
      </c>
      <c r="AA65" s="665">
        <v>22</v>
      </c>
      <c r="AB65" s="665">
        <v>29</v>
      </c>
      <c r="AC65" s="665">
        <v>21</v>
      </c>
      <c r="AD65" s="665">
        <v>18</v>
      </c>
      <c r="AE65" s="665">
        <v>21</v>
      </c>
      <c r="AF65" s="665">
        <v>18</v>
      </c>
      <c r="AG65" s="665">
        <v>14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9.7930406328537459E-2</v>
      </c>
      <c r="F66" s="680">
        <f t="shared" si="25"/>
        <v>19.353333333333335</v>
      </c>
      <c r="G66" s="680">
        <f t="shared" si="26"/>
        <v>22.166666666666668</v>
      </c>
      <c r="H66" s="679">
        <f t="shared" si="27"/>
        <v>15.833333333333334</v>
      </c>
      <c r="I66" s="679">
        <f t="shared" si="28"/>
        <v>20.166666666666668</v>
      </c>
      <c r="J66" s="679">
        <f t="shared" si="29"/>
        <v>19.8</v>
      </c>
      <c r="K66" s="673">
        <v>25</v>
      </c>
      <c r="L66" s="673">
        <v>26</v>
      </c>
      <c r="M66" s="673">
        <v>26</v>
      </c>
      <c r="N66" s="673">
        <v>20</v>
      </c>
      <c r="O66" s="673">
        <v>18</v>
      </c>
      <c r="P66" s="673">
        <v>18</v>
      </c>
      <c r="Q66" s="673">
        <v>18</v>
      </c>
      <c r="R66" s="673">
        <v>9</v>
      </c>
      <c r="S66" s="673">
        <v>9</v>
      </c>
      <c r="T66" s="673">
        <v>17</v>
      </c>
      <c r="U66" s="673">
        <v>26</v>
      </c>
      <c r="V66" s="665">
        <v>16</v>
      </c>
      <c r="W66" s="665">
        <v>15</v>
      </c>
      <c r="X66" s="665">
        <v>16</v>
      </c>
      <c r="Y66" s="665">
        <v>24</v>
      </c>
      <c r="Z66" s="665">
        <v>19</v>
      </c>
      <c r="AA66" s="665">
        <v>27</v>
      </c>
      <c r="AB66" s="665">
        <v>20</v>
      </c>
      <c r="AC66" s="665">
        <v>17</v>
      </c>
      <c r="AD66" s="665">
        <v>23</v>
      </c>
      <c r="AE66" s="665">
        <v>20</v>
      </c>
      <c r="AF66" s="665">
        <v>23</v>
      </c>
      <c r="AG66" s="665">
        <v>16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0.18167101940385486</v>
      </c>
      <c r="F67" s="680">
        <f t="shared" si="25"/>
        <v>28.056666666666665</v>
      </c>
      <c r="G67" s="680">
        <f t="shared" si="26"/>
        <v>30.166666666666668</v>
      </c>
      <c r="H67" s="679">
        <f t="shared" si="27"/>
        <v>28.5</v>
      </c>
      <c r="I67" s="679">
        <f t="shared" si="28"/>
        <v>29</v>
      </c>
      <c r="J67" s="679">
        <f t="shared" si="29"/>
        <v>26.6</v>
      </c>
      <c r="K67" s="673">
        <v>37</v>
      </c>
      <c r="L67" s="673">
        <v>30</v>
      </c>
      <c r="M67" s="673">
        <v>29</v>
      </c>
      <c r="N67" s="673">
        <v>31</v>
      </c>
      <c r="O67" s="673">
        <v>33</v>
      </c>
      <c r="P67" s="673">
        <v>21</v>
      </c>
      <c r="Q67" s="673">
        <v>28</v>
      </c>
      <c r="R67" s="673">
        <v>26</v>
      </c>
      <c r="S67" s="673">
        <v>21</v>
      </c>
      <c r="T67" s="673">
        <v>23</v>
      </c>
      <c r="U67" s="673">
        <v>35</v>
      </c>
      <c r="V67" s="665">
        <v>38</v>
      </c>
      <c r="W67" s="665">
        <v>28</v>
      </c>
      <c r="X67" s="665">
        <v>32</v>
      </c>
      <c r="Y67" s="665">
        <v>33</v>
      </c>
      <c r="Z67" s="665">
        <v>28</v>
      </c>
      <c r="AA67" s="665">
        <v>27</v>
      </c>
      <c r="AB67" s="665">
        <v>26</v>
      </c>
      <c r="AC67" s="665">
        <v>24</v>
      </c>
      <c r="AD67" s="665">
        <v>29</v>
      </c>
      <c r="AE67" s="665">
        <v>32</v>
      </c>
      <c r="AF67" s="665">
        <v>29</v>
      </c>
      <c r="AG67" s="665">
        <v>19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0.15553301245386458</v>
      </c>
      <c r="F68" s="680">
        <f t="shared" si="25"/>
        <v>24.02</v>
      </c>
      <c r="G68" s="680">
        <f t="shared" si="26"/>
        <v>39.166666666666664</v>
      </c>
      <c r="H68" s="679">
        <f t="shared" si="27"/>
        <v>28.666666666666668</v>
      </c>
      <c r="I68" s="679">
        <f t="shared" si="28"/>
        <v>24.166666666666668</v>
      </c>
      <c r="J68" s="679">
        <f t="shared" si="29"/>
        <v>17.8</v>
      </c>
      <c r="K68" s="673">
        <v>54</v>
      </c>
      <c r="L68" s="673">
        <v>35</v>
      </c>
      <c r="M68" s="673">
        <v>45</v>
      </c>
      <c r="N68" s="673">
        <v>36</v>
      </c>
      <c r="O68" s="673">
        <v>34</v>
      </c>
      <c r="P68" s="673">
        <v>31</v>
      </c>
      <c r="Q68" s="673">
        <v>31</v>
      </c>
      <c r="R68" s="673">
        <v>25</v>
      </c>
      <c r="S68" s="673">
        <v>23</v>
      </c>
      <c r="T68" s="673">
        <v>31</v>
      </c>
      <c r="U68" s="673">
        <v>28</v>
      </c>
      <c r="V68" s="665">
        <v>34</v>
      </c>
      <c r="W68" s="665">
        <v>32</v>
      </c>
      <c r="X68" s="665">
        <v>25</v>
      </c>
      <c r="Y68" s="665">
        <v>21</v>
      </c>
      <c r="Z68" s="665">
        <v>23</v>
      </c>
      <c r="AA68" s="665">
        <v>23</v>
      </c>
      <c r="AB68" s="665">
        <v>21</v>
      </c>
      <c r="AC68" s="665">
        <v>17</v>
      </c>
      <c r="AD68" s="665">
        <v>20</v>
      </c>
      <c r="AE68" s="665">
        <v>18</v>
      </c>
      <c r="AF68" s="665">
        <v>13</v>
      </c>
      <c r="AG68" s="665">
        <v>21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0.14534544905139107</v>
      </c>
      <c r="F69" s="680">
        <f t="shared" si="25"/>
        <v>22.446666666666665</v>
      </c>
      <c r="G69" s="680">
        <f t="shared" si="26"/>
        <v>23.5</v>
      </c>
      <c r="H69" s="679">
        <f t="shared" si="27"/>
        <v>22.833333333333332</v>
      </c>
      <c r="I69" s="679">
        <f t="shared" si="28"/>
        <v>22.166666666666668</v>
      </c>
      <c r="J69" s="679">
        <f t="shared" si="29"/>
        <v>22.2</v>
      </c>
      <c r="K69" s="673">
        <v>27</v>
      </c>
      <c r="L69" s="673">
        <v>24</v>
      </c>
      <c r="M69" s="673">
        <v>28</v>
      </c>
      <c r="N69" s="673">
        <v>21</v>
      </c>
      <c r="O69" s="673">
        <v>19</v>
      </c>
      <c r="P69" s="673">
        <v>22</v>
      </c>
      <c r="Q69" s="673">
        <v>23</v>
      </c>
      <c r="R69" s="673">
        <v>21</v>
      </c>
      <c r="S69" s="673">
        <v>19</v>
      </c>
      <c r="T69" s="673">
        <v>22</v>
      </c>
      <c r="U69" s="673">
        <v>27</v>
      </c>
      <c r="V69" s="665">
        <v>25</v>
      </c>
      <c r="W69" s="665">
        <v>25</v>
      </c>
      <c r="X69" s="665">
        <v>22</v>
      </c>
      <c r="Y69" s="665">
        <v>21</v>
      </c>
      <c r="Z69" s="665">
        <v>22</v>
      </c>
      <c r="AA69" s="665">
        <v>21</v>
      </c>
      <c r="AB69" s="665">
        <v>22</v>
      </c>
      <c r="AC69" s="665">
        <v>24</v>
      </c>
      <c r="AD69" s="665">
        <v>19</v>
      </c>
      <c r="AE69" s="665">
        <v>25</v>
      </c>
      <c r="AF69" s="665">
        <v>19</v>
      </c>
      <c r="AG69" s="665">
        <v>24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0.14558287107983856</v>
      </c>
      <c r="F70" s="680">
        <f t="shared" si="25"/>
        <v>22.483333333333334</v>
      </c>
      <c r="G70" s="680">
        <f t="shared" si="26"/>
        <v>31.166666666666668</v>
      </c>
      <c r="H70" s="679">
        <f t="shared" si="27"/>
        <v>25.833333333333332</v>
      </c>
      <c r="I70" s="679">
        <f t="shared" si="28"/>
        <v>22</v>
      </c>
      <c r="J70" s="679">
        <f t="shared" si="29"/>
        <v>19</v>
      </c>
      <c r="K70" s="673">
        <v>35</v>
      </c>
      <c r="L70" s="673">
        <v>32</v>
      </c>
      <c r="M70" s="673">
        <v>32</v>
      </c>
      <c r="N70" s="673">
        <v>33</v>
      </c>
      <c r="O70" s="673">
        <v>33</v>
      </c>
      <c r="P70" s="673">
        <v>22</v>
      </c>
      <c r="Q70" s="673">
        <v>25</v>
      </c>
      <c r="R70" s="673">
        <v>33</v>
      </c>
      <c r="S70" s="673">
        <v>19</v>
      </c>
      <c r="T70" s="673">
        <v>24</v>
      </c>
      <c r="U70" s="673">
        <v>28</v>
      </c>
      <c r="V70" s="665">
        <v>26</v>
      </c>
      <c r="W70" s="665">
        <v>26</v>
      </c>
      <c r="X70" s="665">
        <v>23</v>
      </c>
      <c r="Y70" s="665">
        <v>20</v>
      </c>
      <c r="Z70" s="665">
        <v>20</v>
      </c>
      <c r="AA70" s="665">
        <v>24</v>
      </c>
      <c r="AB70" s="665">
        <v>19</v>
      </c>
      <c r="AC70" s="665">
        <v>18</v>
      </c>
      <c r="AD70" s="665">
        <v>21</v>
      </c>
      <c r="AE70" s="665">
        <v>20</v>
      </c>
      <c r="AF70" s="665">
        <v>19</v>
      </c>
      <c r="AG70" s="665">
        <v>17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0.1937147913923723</v>
      </c>
      <c r="F71" s="680">
        <f t="shared" si="25"/>
        <v>29.916666666666671</v>
      </c>
      <c r="G71" s="680">
        <f t="shared" si="26"/>
        <v>31.5</v>
      </c>
      <c r="H71" s="679">
        <f t="shared" si="27"/>
        <v>33.333333333333336</v>
      </c>
      <c r="I71" s="679">
        <f t="shared" si="28"/>
        <v>32.333333333333336</v>
      </c>
      <c r="J71" s="679">
        <f t="shared" si="29"/>
        <v>26</v>
      </c>
      <c r="K71" s="673">
        <v>33</v>
      </c>
      <c r="L71" s="673">
        <v>31</v>
      </c>
      <c r="M71" s="673">
        <v>34</v>
      </c>
      <c r="N71" s="673">
        <v>36</v>
      </c>
      <c r="O71" s="673">
        <v>26</v>
      </c>
      <c r="P71" s="673">
        <v>29</v>
      </c>
      <c r="Q71" s="673">
        <v>29</v>
      </c>
      <c r="R71" s="673">
        <v>30</v>
      </c>
      <c r="S71" s="673">
        <v>29</v>
      </c>
      <c r="T71" s="673">
        <v>32</v>
      </c>
      <c r="U71" s="673">
        <v>45</v>
      </c>
      <c r="V71" s="665">
        <v>35</v>
      </c>
      <c r="W71" s="665">
        <v>32</v>
      </c>
      <c r="X71" s="665">
        <v>37</v>
      </c>
      <c r="Y71" s="665">
        <v>28</v>
      </c>
      <c r="Z71" s="665">
        <v>31</v>
      </c>
      <c r="AA71" s="665">
        <v>33</v>
      </c>
      <c r="AB71" s="665">
        <v>33</v>
      </c>
      <c r="AC71" s="665">
        <v>23</v>
      </c>
      <c r="AD71" s="665">
        <v>32</v>
      </c>
      <c r="AE71" s="665">
        <v>30</v>
      </c>
      <c r="AF71" s="665">
        <v>27</v>
      </c>
      <c r="AG71" s="665">
        <v>18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0.17815285661867866</v>
      </c>
      <c r="F72" s="680">
        <f t="shared" si="25"/>
        <v>27.513333333333335</v>
      </c>
      <c r="G72" s="680">
        <f t="shared" si="26"/>
        <v>26.166666666666668</v>
      </c>
      <c r="H72" s="679">
        <f t="shared" si="27"/>
        <v>29.333333333333332</v>
      </c>
      <c r="I72" s="679">
        <f t="shared" si="28"/>
        <v>29.833333333333332</v>
      </c>
      <c r="J72" s="679">
        <f t="shared" si="29"/>
        <v>25.2</v>
      </c>
      <c r="K72" s="673">
        <v>33</v>
      </c>
      <c r="L72" s="673">
        <v>22</v>
      </c>
      <c r="M72" s="673">
        <v>24</v>
      </c>
      <c r="N72" s="673">
        <v>26</v>
      </c>
      <c r="O72" s="673">
        <v>31</v>
      </c>
      <c r="P72" s="673">
        <v>21</v>
      </c>
      <c r="Q72" s="673">
        <v>33</v>
      </c>
      <c r="R72" s="673">
        <v>32</v>
      </c>
      <c r="S72" s="673">
        <v>24</v>
      </c>
      <c r="T72" s="673">
        <v>27</v>
      </c>
      <c r="U72" s="673">
        <v>30</v>
      </c>
      <c r="V72" s="665">
        <v>30</v>
      </c>
      <c r="W72" s="665">
        <v>27</v>
      </c>
      <c r="X72" s="665">
        <v>30</v>
      </c>
      <c r="Y72" s="665">
        <v>32</v>
      </c>
      <c r="Z72" s="665">
        <v>25</v>
      </c>
      <c r="AA72" s="665">
        <v>32</v>
      </c>
      <c r="AB72" s="665">
        <v>33</v>
      </c>
      <c r="AC72" s="665">
        <v>30</v>
      </c>
      <c r="AD72" s="665">
        <v>31</v>
      </c>
      <c r="AE72" s="665">
        <v>25</v>
      </c>
      <c r="AF72" s="665">
        <v>21</v>
      </c>
      <c r="AG72" s="665">
        <v>19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7.2400897531787606E-2</v>
      </c>
      <c r="F73" s="680">
        <f t="shared" si="25"/>
        <v>11.293333333333335</v>
      </c>
      <c r="G73" s="680">
        <f t="shared" si="26"/>
        <v>14.333333333333334</v>
      </c>
      <c r="H73" s="679">
        <f t="shared" si="27"/>
        <v>14</v>
      </c>
      <c r="I73" s="679">
        <f t="shared" si="28"/>
        <v>11</v>
      </c>
      <c r="J73" s="679">
        <f t="shared" si="29"/>
        <v>9.4</v>
      </c>
      <c r="K73" s="673">
        <v>14</v>
      </c>
      <c r="L73" s="673">
        <v>10</v>
      </c>
      <c r="M73" s="673">
        <v>9</v>
      </c>
      <c r="N73" s="673">
        <v>17</v>
      </c>
      <c r="O73" s="673">
        <v>17</v>
      </c>
      <c r="P73" s="673">
        <v>19</v>
      </c>
      <c r="Q73" s="673">
        <v>18</v>
      </c>
      <c r="R73" s="673">
        <v>14</v>
      </c>
      <c r="S73" s="673">
        <v>8</v>
      </c>
      <c r="T73" s="673">
        <v>21</v>
      </c>
      <c r="U73" s="673">
        <v>10</v>
      </c>
      <c r="V73" s="665">
        <v>13</v>
      </c>
      <c r="W73" s="665">
        <v>9</v>
      </c>
      <c r="X73" s="665">
        <v>11</v>
      </c>
      <c r="Y73" s="665">
        <v>16</v>
      </c>
      <c r="Z73" s="665">
        <v>9</v>
      </c>
      <c r="AA73" s="665">
        <v>11</v>
      </c>
      <c r="AB73" s="665">
        <v>10</v>
      </c>
      <c r="AC73" s="665">
        <v>10</v>
      </c>
      <c r="AD73" s="665">
        <v>9</v>
      </c>
      <c r="AE73" s="665">
        <v>8</v>
      </c>
      <c r="AF73" s="665">
        <v>12</v>
      </c>
      <c r="AG73" s="665">
        <v>8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0.16431242654129719</v>
      </c>
      <c r="F74" s="680">
        <f t="shared" si="25"/>
        <v>25.630000000000003</v>
      </c>
      <c r="G74" s="680">
        <f t="shared" si="26"/>
        <v>30.5</v>
      </c>
      <c r="H74" s="679">
        <f t="shared" si="27"/>
        <v>27</v>
      </c>
      <c r="I74" s="679">
        <f t="shared" si="28"/>
        <v>26.333333333333332</v>
      </c>
      <c r="J74" s="679">
        <f t="shared" si="29"/>
        <v>23.2</v>
      </c>
      <c r="K74" s="673">
        <v>28</v>
      </c>
      <c r="L74" s="673">
        <v>31</v>
      </c>
      <c r="M74" s="673">
        <v>32</v>
      </c>
      <c r="N74" s="673">
        <v>30</v>
      </c>
      <c r="O74" s="673">
        <v>34</v>
      </c>
      <c r="P74" s="673">
        <v>28</v>
      </c>
      <c r="Q74" s="673">
        <v>34</v>
      </c>
      <c r="R74" s="673">
        <v>30</v>
      </c>
      <c r="S74" s="673">
        <v>20</v>
      </c>
      <c r="T74" s="673">
        <v>24</v>
      </c>
      <c r="U74" s="673">
        <v>26</v>
      </c>
      <c r="V74" s="665">
        <v>28</v>
      </c>
      <c r="W74" s="665">
        <v>25</v>
      </c>
      <c r="X74" s="665">
        <v>30</v>
      </c>
      <c r="Y74" s="665">
        <v>23</v>
      </c>
      <c r="Z74" s="665">
        <v>29</v>
      </c>
      <c r="AA74" s="665">
        <v>30</v>
      </c>
      <c r="AB74" s="665">
        <v>21</v>
      </c>
      <c r="AC74" s="665">
        <v>20</v>
      </c>
      <c r="AD74" s="665">
        <v>30</v>
      </c>
      <c r="AE74" s="665">
        <v>24</v>
      </c>
      <c r="AF74" s="665">
        <v>22</v>
      </c>
      <c r="AG74" s="665">
        <v>20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0.13180895394807141</v>
      </c>
      <c r="F75" s="680">
        <f t="shared" si="25"/>
        <v>20.560000000000002</v>
      </c>
      <c r="G75" s="680">
        <f t="shared" si="26"/>
        <v>28.666666666666668</v>
      </c>
      <c r="H75" s="679">
        <f t="shared" si="27"/>
        <v>25.166666666666668</v>
      </c>
      <c r="I75" s="679">
        <f t="shared" si="28"/>
        <v>19</v>
      </c>
      <c r="J75" s="679">
        <f t="shared" si="29"/>
        <v>17.399999999999999</v>
      </c>
      <c r="K75" s="673">
        <v>46</v>
      </c>
      <c r="L75" s="673">
        <v>26</v>
      </c>
      <c r="M75" s="673">
        <v>28</v>
      </c>
      <c r="N75" s="673">
        <v>29</v>
      </c>
      <c r="O75" s="673">
        <v>23</v>
      </c>
      <c r="P75" s="673">
        <v>20</v>
      </c>
      <c r="Q75" s="673">
        <v>23</v>
      </c>
      <c r="R75" s="673">
        <v>23</v>
      </c>
      <c r="S75" s="673">
        <v>24</v>
      </c>
      <c r="T75" s="673">
        <v>18</v>
      </c>
      <c r="U75" s="673">
        <v>29</v>
      </c>
      <c r="V75" s="665">
        <v>34</v>
      </c>
      <c r="W75" s="665">
        <v>20</v>
      </c>
      <c r="X75" s="665">
        <v>27</v>
      </c>
      <c r="Y75" s="665">
        <v>20</v>
      </c>
      <c r="Z75" s="665">
        <v>17</v>
      </c>
      <c r="AA75" s="665">
        <v>15</v>
      </c>
      <c r="AB75" s="665">
        <v>15</v>
      </c>
      <c r="AC75" s="665">
        <v>15</v>
      </c>
      <c r="AD75" s="665">
        <v>20</v>
      </c>
      <c r="AE75" s="665">
        <v>22</v>
      </c>
      <c r="AF75" s="665">
        <v>12</v>
      </c>
      <c r="AG75" s="665">
        <v>18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0.15076397050966983</v>
      </c>
      <c r="F76" s="680">
        <f t="shared" si="25"/>
        <v>23.516666666666666</v>
      </c>
      <c r="G76" s="680">
        <f t="shared" si="26"/>
        <v>25</v>
      </c>
      <c r="H76" s="679">
        <f t="shared" si="27"/>
        <v>24.333333333333332</v>
      </c>
      <c r="I76" s="679">
        <f t="shared" si="28"/>
        <v>23.166666666666668</v>
      </c>
      <c r="J76" s="679">
        <f t="shared" si="29"/>
        <v>23</v>
      </c>
      <c r="K76" s="673">
        <v>26</v>
      </c>
      <c r="L76" s="673">
        <v>26</v>
      </c>
      <c r="M76" s="673">
        <v>21</v>
      </c>
      <c r="N76" s="673">
        <v>24</v>
      </c>
      <c r="O76" s="673">
        <v>27</v>
      </c>
      <c r="P76" s="673">
        <v>26</v>
      </c>
      <c r="Q76" s="673">
        <v>21</v>
      </c>
      <c r="R76" s="673">
        <v>22</v>
      </c>
      <c r="S76" s="673">
        <v>18</v>
      </c>
      <c r="T76" s="673">
        <v>29</v>
      </c>
      <c r="U76" s="673">
        <v>27</v>
      </c>
      <c r="V76" s="665">
        <v>29</v>
      </c>
      <c r="W76" s="665">
        <v>24</v>
      </c>
      <c r="X76" s="665">
        <v>22</v>
      </c>
      <c r="Y76" s="665">
        <v>26</v>
      </c>
      <c r="Z76" s="665">
        <v>26</v>
      </c>
      <c r="AA76" s="665">
        <v>25</v>
      </c>
      <c r="AB76" s="665">
        <v>16</v>
      </c>
      <c r="AC76" s="665">
        <v>22</v>
      </c>
      <c r="AD76" s="665">
        <v>25</v>
      </c>
      <c r="AE76" s="665">
        <v>24</v>
      </c>
      <c r="AF76" s="665">
        <v>29</v>
      </c>
      <c r="AG76" s="665">
        <v>15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0.19202906293407418</v>
      </c>
      <c r="F77" s="680">
        <f t="shared" si="25"/>
        <v>29.953333333333333</v>
      </c>
      <c r="G77" s="680">
        <f t="shared" si="26"/>
        <v>33.5</v>
      </c>
      <c r="H77" s="679">
        <f t="shared" si="27"/>
        <v>36.666666666666664</v>
      </c>
      <c r="I77" s="679">
        <f t="shared" si="28"/>
        <v>32.5</v>
      </c>
      <c r="J77" s="679">
        <f t="shared" si="29"/>
        <v>23.8</v>
      </c>
      <c r="K77" s="673">
        <v>39</v>
      </c>
      <c r="L77" s="673">
        <v>31</v>
      </c>
      <c r="M77" s="673">
        <v>33</v>
      </c>
      <c r="N77" s="673">
        <v>28</v>
      </c>
      <c r="O77" s="673">
        <v>34</v>
      </c>
      <c r="P77" s="673">
        <v>36</v>
      </c>
      <c r="Q77" s="673">
        <v>39</v>
      </c>
      <c r="R77" s="673">
        <v>35</v>
      </c>
      <c r="S77" s="673">
        <v>21</v>
      </c>
      <c r="T77" s="673">
        <v>34</v>
      </c>
      <c r="U77" s="673">
        <v>44</v>
      </c>
      <c r="V77" s="665">
        <v>47</v>
      </c>
      <c r="W77" s="665">
        <v>36</v>
      </c>
      <c r="X77" s="665">
        <v>36</v>
      </c>
      <c r="Y77" s="665">
        <v>29</v>
      </c>
      <c r="Z77" s="665">
        <v>37</v>
      </c>
      <c r="AA77" s="665">
        <v>28</v>
      </c>
      <c r="AB77" s="665">
        <v>29</v>
      </c>
      <c r="AC77" s="665">
        <v>28</v>
      </c>
      <c r="AD77" s="665">
        <v>26</v>
      </c>
      <c r="AE77" s="665">
        <v>20</v>
      </c>
      <c r="AF77" s="665">
        <v>26</v>
      </c>
      <c r="AG77" s="665">
        <v>19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0.16074366919542687</v>
      </c>
      <c r="F78" s="680">
        <f t="shared" si="25"/>
        <v>25.073333333333334</v>
      </c>
      <c r="G78" s="680">
        <f t="shared" si="26"/>
        <v>33.5</v>
      </c>
      <c r="H78" s="679">
        <f t="shared" si="27"/>
        <v>31.166666666666668</v>
      </c>
      <c r="I78" s="679">
        <f t="shared" si="28"/>
        <v>26.833333333333332</v>
      </c>
      <c r="J78" s="679">
        <f t="shared" si="29"/>
        <v>18.600000000000001</v>
      </c>
      <c r="K78" s="673">
        <v>31</v>
      </c>
      <c r="L78" s="673">
        <v>33</v>
      </c>
      <c r="M78" s="673">
        <v>37</v>
      </c>
      <c r="N78" s="673">
        <v>34</v>
      </c>
      <c r="O78" s="673">
        <v>32</v>
      </c>
      <c r="P78" s="673">
        <v>34</v>
      </c>
      <c r="Q78" s="673">
        <v>27</v>
      </c>
      <c r="R78" s="673">
        <v>31</v>
      </c>
      <c r="S78" s="673">
        <v>27</v>
      </c>
      <c r="T78" s="673">
        <v>33</v>
      </c>
      <c r="U78" s="673">
        <v>27</v>
      </c>
      <c r="V78" s="665">
        <v>42</v>
      </c>
      <c r="W78" s="665">
        <v>26</v>
      </c>
      <c r="X78" s="665">
        <v>29</v>
      </c>
      <c r="Y78" s="665">
        <v>31</v>
      </c>
      <c r="Z78" s="665">
        <v>27</v>
      </c>
      <c r="AA78" s="665">
        <v>26</v>
      </c>
      <c r="AB78" s="665">
        <v>22</v>
      </c>
      <c r="AC78" s="665">
        <v>23</v>
      </c>
      <c r="AD78" s="665">
        <v>19</v>
      </c>
      <c r="AE78" s="665">
        <v>24</v>
      </c>
      <c r="AF78" s="665">
        <v>13</v>
      </c>
      <c r="AG78" s="665">
        <v>14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0.12794101933967306</v>
      </c>
      <c r="F79" s="680">
        <f t="shared" si="25"/>
        <v>19.956666666666667</v>
      </c>
      <c r="G79" s="680">
        <f t="shared" si="26"/>
        <v>25.666666666666668</v>
      </c>
      <c r="H79" s="679">
        <f t="shared" si="27"/>
        <v>24</v>
      </c>
      <c r="I79" s="679">
        <f t="shared" si="28"/>
        <v>23.833333333333332</v>
      </c>
      <c r="J79" s="679">
        <f t="shared" si="29"/>
        <v>13.6</v>
      </c>
      <c r="K79" s="673">
        <v>27</v>
      </c>
      <c r="L79" s="673">
        <v>21</v>
      </c>
      <c r="M79" s="673">
        <v>28</v>
      </c>
      <c r="N79" s="673">
        <v>26</v>
      </c>
      <c r="O79" s="673">
        <v>25</v>
      </c>
      <c r="P79" s="673">
        <v>27</v>
      </c>
      <c r="Q79" s="673">
        <v>26</v>
      </c>
      <c r="R79" s="673">
        <v>18</v>
      </c>
      <c r="S79" s="673">
        <v>15</v>
      </c>
      <c r="T79" s="673">
        <v>24</v>
      </c>
      <c r="U79" s="673">
        <v>28</v>
      </c>
      <c r="V79" s="665">
        <v>33</v>
      </c>
      <c r="W79" s="665">
        <v>22</v>
      </c>
      <c r="X79" s="665">
        <v>27</v>
      </c>
      <c r="Y79" s="665">
        <v>28</v>
      </c>
      <c r="Z79" s="665">
        <v>20</v>
      </c>
      <c r="AA79" s="665">
        <v>19</v>
      </c>
      <c r="AB79" s="665">
        <v>27</v>
      </c>
      <c r="AC79" s="665">
        <v>13</v>
      </c>
      <c r="AD79" s="665">
        <v>13</v>
      </c>
      <c r="AE79" s="665">
        <v>11</v>
      </c>
      <c r="AF79" s="665">
        <v>18</v>
      </c>
      <c r="AG79" s="665">
        <v>13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0.10290458211772781</v>
      </c>
      <c r="F80" s="680">
        <f t="shared" si="25"/>
        <v>15.99</v>
      </c>
      <c r="G80" s="680">
        <f t="shared" si="26"/>
        <v>18.5</v>
      </c>
      <c r="H80" s="679">
        <f t="shared" si="27"/>
        <v>18</v>
      </c>
      <c r="I80" s="679">
        <f t="shared" si="28"/>
        <v>14.333333333333334</v>
      </c>
      <c r="J80" s="679">
        <f t="shared" si="29"/>
        <v>15.6</v>
      </c>
      <c r="K80" s="673">
        <v>23</v>
      </c>
      <c r="L80" s="673">
        <v>18</v>
      </c>
      <c r="M80" s="673">
        <v>18</v>
      </c>
      <c r="N80" s="673">
        <v>16</v>
      </c>
      <c r="O80" s="673">
        <v>20</v>
      </c>
      <c r="P80" s="673">
        <v>16</v>
      </c>
      <c r="Q80" s="673">
        <v>15</v>
      </c>
      <c r="R80" s="673">
        <v>20</v>
      </c>
      <c r="S80" s="673">
        <v>14</v>
      </c>
      <c r="T80" s="673">
        <v>22</v>
      </c>
      <c r="U80" s="673">
        <v>18</v>
      </c>
      <c r="V80" s="665">
        <v>19</v>
      </c>
      <c r="W80" s="665">
        <v>15</v>
      </c>
      <c r="X80" s="665">
        <v>14</v>
      </c>
      <c r="Y80" s="665">
        <v>15</v>
      </c>
      <c r="Z80" s="665">
        <v>13</v>
      </c>
      <c r="AA80" s="665">
        <v>15</v>
      </c>
      <c r="AB80" s="665">
        <v>14</v>
      </c>
      <c r="AC80" s="665">
        <v>15</v>
      </c>
      <c r="AD80" s="665">
        <v>15</v>
      </c>
      <c r="AE80" s="665">
        <v>17</v>
      </c>
      <c r="AF80" s="665">
        <v>17</v>
      </c>
      <c r="AG80" s="665">
        <v>14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0.13555431611463872</v>
      </c>
      <c r="F81" s="680">
        <f t="shared" si="25"/>
        <v>21.063333333333333</v>
      </c>
      <c r="G81" s="680">
        <f t="shared" si="26"/>
        <v>22.833333333333332</v>
      </c>
      <c r="H81" s="679">
        <f t="shared" si="27"/>
        <v>23.5</v>
      </c>
      <c r="I81" s="679">
        <f t="shared" si="28"/>
        <v>22.666666666666668</v>
      </c>
      <c r="J81" s="679">
        <f t="shared" si="29"/>
        <v>18.2</v>
      </c>
      <c r="K81" s="673">
        <v>27</v>
      </c>
      <c r="L81" s="673">
        <v>25</v>
      </c>
      <c r="M81" s="673">
        <v>26</v>
      </c>
      <c r="N81" s="673">
        <v>21</v>
      </c>
      <c r="O81" s="673">
        <v>18</v>
      </c>
      <c r="P81" s="673">
        <v>20</v>
      </c>
      <c r="Q81" s="673">
        <v>20</v>
      </c>
      <c r="R81" s="673">
        <v>21</v>
      </c>
      <c r="S81" s="673">
        <v>21</v>
      </c>
      <c r="T81" s="673">
        <v>22</v>
      </c>
      <c r="U81" s="673">
        <v>29</v>
      </c>
      <c r="V81" s="665">
        <v>28</v>
      </c>
      <c r="W81" s="665">
        <v>22</v>
      </c>
      <c r="X81" s="665">
        <v>27</v>
      </c>
      <c r="Y81" s="665">
        <v>25</v>
      </c>
      <c r="Z81" s="665">
        <v>22</v>
      </c>
      <c r="AA81" s="665">
        <v>22</v>
      </c>
      <c r="AB81" s="665">
        <v>18</v>
      </c>
      <c r="AC81" s="665">
        <v>13</v>
      </c>
      <c r="AD81" s="665">
        <v>19</v>
      </c>
      <c r="AE81" s="665">
        <v>22</v>
      </c>
      <c r="AF81" s="665">
        <v>19</v>
      </c>
      <c r="AG81" s="665">
        <v>18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0.14207568216921229</v>
      </c>
      <c r="F82" s="680">
        <f t="shared" si="25"/>
        <v>22.076666666666668</v>
      </c>
      <c r="G82" s="680">
        <f t="shared" si="26"/>
        <v>20.166666666666668</v>
      </c>
      <c r="H82" s="679">
        <f t="shared" si="27"/>
        <v>23.5</v>
      </c>
      <c r="I82" s="679">
        <f t="shared" si="28"/>
        <v>22.666666666666668</v>
      </c>
      <c r="J82" s="679">
        <f t="shared" si="29"/>
        <v>21.4</v>
      </c>
      <c r="K82" s="673">
        <v>18</v>
      </c>
      <c r="L82" s="673">
        <v>21</v>
      </c>
      <c r="M82" s="673">
        <v>21</v>
      </c>
      <c r="N82" s="673">
        <v>26</v>
      </c>
      <c r="O82" s="673">
        <v>19</v>
      </c>
      <c r="P82" s="673">
        <v>16</v>
      </c>
      <c r="Q82" s="673">
        <v>20</v>
      </c>
      <c r="R82" s="673">
        <v>30</v>
      </c>
      <c r="S82" s="673">
        <v>16</v>
      </c>
      <c r="T82" s="673">
        <v>22</v>
      </c>
      <c r="U82" s="673">
        <v>28</v>
      </c>
      <c r="V82" s="665">
        <v>25</v>
      </c>
      <c r="W82" s="665">
        <v>18</v>
      </c>
      <c r="X82" s="665">
        <v>28</v>
      </c>
      <c r="Y82" s="665">
        <v>26</v>
      </c>
      <c r="Z82" s="665">
        <v>21</v>
      </c>
      <c r="AA82" s="665">
        <v>22</v>
      </c>
      <c r="AB82" s="665">
        <v>21</v>
      </c>
      <c r="AC82" s="665">
        <v>16</v>
      </c>
      <c r="AD82" s="665">
        <v>22</v>
      </c>
      <c r="AE82" s="665">
        <v>24</v>
      </c>
      <c r="AF82" s="665">
        <v>23</v>
      </c>
      <c r="AG82" s="665">
        <v>22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0.11015531148103655</v>
      </c>
      <c r="F83" s="680">
        <f t="shared" si="25"/>
        <v>17.116666666666667</v>
      </c>
      <c r="G83" s="680">
        <f t="shared" si="26"/>
        <v>16.666666666666668</v>
      </c>
      <c r="H83" s="679">
        <f t="shared" si="27"/>
        <v>14</v>
      </c>
      <c r="I83" s="679">
        <f t="shared" si="28"/>
        <v>16.833333333333332</v>
      </c>
      <c r="J83" s="679">
        <f t="shared" si="29"/>
        <v>19</v>
      </c>
      <c r="K83" s="673">
        <v>17</v>
      </c>
      <c r="L83" s="673">
        <v>22</v>
      </c>
      <c r="M83" s="673">
        <v>15</v>
      </c>
      <c r="N83" s="673">
        <v>19</v>
      </c>
      <c r="O83" s="673">
        <v>17</v>
      </c>
      <c r="P83" s="673">
        <v>10</v>
      </c>
      <c r="Q83" s="673">
        <v>13</v>
      </c>
      <c r="R83" s="673">
        <v>12</v>
      </c>
      <c r="S83" s="673">
        <v>13</v>
      </c>
      <c r="T83" s="673">
        <v>15</v>
      </c>
      <c r="U83" s="673">
        <v>12</v>
      </c>
      <c r="V83" s="665">
        <v>19</v>
      </c>
      <c r="W83" s="665">
        <v>13</v>
      </c>
      <c r="X83" s="665">
        <v>15</v>
      </c>
      <c r="Y83" s="665">
        <v>25</v>
      </c>
      <c r="Z83" s="665">
        <v>15</v>
      </c>
      <c r="AA83" s="665">
        <v>16</v>
      </c>
      <c r="AB83" s="665">
        <v>17</v>
      </c>
      <c r="AC83" s="665">
        <v>17</v>
      </c>
      <c r="AD83" s="665">
        <v>19</v>
      </c>
      <c r="AE83" s="665">
        <v>16</v>
      </c>
      <c r="AF83" s="665">
        <v>32</v>
      </c>
      <c r="AG83" s="665">
        <v>11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0.17903724043246952</v>
      </c>
      <c r="F84" s="680">
        <f t="shared" si="25"/>
        <v>27.82</v>
      </c>
      <c r="G84" s="680">
        <f t="shared" si="26"/>
        <v>27.666666666666668</v>
      </c>
      <c r="H84" s="679">
        <f t="shared" si="27"/>
        <v>36.666666666666664</v>
      </c>
      <c r="I84" s="679">
        <f t="shared" si="28"/>
        <v>30</v>
      </c>
      <c r="J84" s="679">
        <f t="shared" si="29"/>
        <v>21.8</v>
      </c>
      <c r="K84" s="673">
        <v>24</v>
      </c>
      <c r="L84" s="673">
        <v>21</v>
      </c>
      <c r="M84" s="673">
        <v>26</v>
      </c>
      <c r="N84" s="673">
        <v>31</v>
      </c>
      <c r="O84" s="673">
        <v>35</v>
      </c>
      <c r="P84" s="673">
        <v>29</v>
      </c>
      <c r="Q84" s="673">
        <v>40</v>
      </c>
      <c r="R84" s="673">
        <v>40</v>
      </c>
      <c r="S84" s="673">
        <v>30</v>
      </c>
      <c r="T84" s="673">
        <v>36</v>
      </c>
      <c r="U84" s="673">
        <v>34</v>
      </c>
      <c r="V84" s="665">
        <v>40</v>
      </c>
      <c r="W84" s="665">
        <v>40</v>
      </c>
      <c r="X84" s="665">
        <v>30</v>
      </c>
      <c r="Y84" s="665">
        <v>31</v>
      </c>
      <c r="Z84" s="665">
        <v>26</v>
      </c>
      <c r="AA84" s="665">
        <v>29</v>
      </c>
      <c r="AB84" s="665">
        <v>24</v>
      </c>
      <c r="AC84" s="665">
        <v>19</v>
      </c>
      <c r="AD84" s="665">
        <v>30</v>
      </c>
      <c r="AE84" s="665">
        <v>19</v>
      </c>
      <c r="AF84" s="665">
        <v>23</v>
      </c>
      <c r="AG84" s="665">
        <v>18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0.13613351638922258</v>
      </c>
      <c r="F85" s="680">
        <f t="shared" si="25"/>
        <v>21.153333333333336</v>
      </c>
      <c r="G85" s="680">
        <f t="shared" si="26"/>
        <v>23.333333333333332</v>
      </c>
      <c r="H85" s="679">
        <f t="shared" si="27"/>
        <v>25</v>
      </c>
      <c r="I85" s="679">
        <f t="shared" si="28"/>
        <v>22.333333333333332</v>
      </c>
      <c r="J85" s="679">
        <f t="shared" si="29"/>
        <v>17.8</v>
      </c>
      <c r="K85" s="673">
        <v>21</v>
      </c>
      <c r="L85" s="673">
        <v>19</v>
      </c>
      <c r="M85" s="673">
        <v>24</v>
      </c>
      <c r="N85" s="673">
        <v>27</v>
      </c>
      <c r="O85" s="673">
        <v>26</v>
      </c>
      <c r="P85" s="673">
        <v>23</v>
      </c>
      <c r="Q85" s="673">
        <v>28</v>
      </c>
      <c r="R85" s="673">
        <v>27</v>
      </c>
      <c r="S85" s="673">
        <v>24</v>
      </c>
      <c r="T85" s="673">
        <v>25</v>
      </c>
      <c r="U85" s="673">
        <v>25</v>
      </c>
      <c r="V85" s="665">
        <v>21</v>
      </c>
      <c r="W85" s="665">
        <v>24</v>
      </c>
      <c r="X85" s="665">
        <v>26</v>
      </c>
      <c r="Y85" s="665">
        <v>21</v>
      </c>
      <c r="Z85" s="665">
        <v>19</v>
      </c>
      <c r="AA85" s="665">
        <v>21</v>
      </c>
      <c r="AB85" s="665">
        <v>23</v>
      </c>
      <c r="AC85" s="665">
        <v>15</v>
      </c>
      <c r="AD85" s="665">
        <v>24</v>
      </c>
      <c r="AE85" s="665">
        <v>21</v>
      </c>
      <c r="AF85" s="665">
        <v>18</v>
      </c>
      <c r="AG85" s="665">
        <v>11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0.19413935129569246</v>
      </c>
      <c r="F86" s="680">
        <f t="shared" si="25"/>
        <v>30.166666666666668</v>
      </c>
      <c r="G86" s="680">
        <f t="shared" si="26"/>
        <v>35</v>
      </c>
      <c r="H86" s="679">
        <f t="shared" si="27"/>
        <v>35.333333333333336</v>
      </c>
      <c r="I86" s="679">
        <f t="shared" si="28"/>
        <v>33.333333333333336</v>
      </c>
      <c r="J86" s="679">
        <f t="shared" si="29"/>
        <v>24</v>
      </c>
      <c r="K86" s="673">
        <v>37</v>
      </c>
      <c r="L86" s="673">
        <v>28</v>
      </c>
      <c r="M86" s="673">
        <v>35</v>
      </c>
      <c r="N86" s="673">
        <v>37</v>
      </c>
      <c r="O86" s="673">
        <v>39</v>
      </c>
      <c r="P86" s="673">
        <v>34</v>
      </c>
      <c r="Q86" s="673">
        <v>42</v>
      </c>
      <c r="R86" s="673">
        <v>40</v>
      </c>
      <c r="S86" s="673">
        <v>31</v>
      </c>
      <c r="T86" s="673">
        <v>31</v>
      </c>
      <c r="U86" s="673">
        <v>32</v>
      </c>
      <c r="V86" s="665">
        <v>36</v>
      </c>
      <c r="W86" s="665">
        <v>38</v>
      </c>
      <c r="X86" s="665">
        <v>31</v>
      </c>
      <c r="Y86" s="665">
        <v>31</v>
      </c>
      <c r="Z86" s="665">
        <v>31</v>
      </c>
      <c r="AA86" s="665">
        <v>36</v>
      </c>
      <c r="AB86" s="665">
        <v>33</v>
      </c>
      <c r="AC86" s="665">
        <v>34</v>
      </c>
      <c r="AD86" s="665">
        <v>34</v>
      </c>
      <c r="AE86" s="665">
        <v>26</v>
      </c>
      <c r="AF86" s="665">
        <v>13</v>
      </c>
      <c r="AG86" s="665">
        <v>13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19" priority="11" operator="equal">
      <formula>0</formula>
    </cfRule>
  </conditionalFormatting>
  <conditionalFormatting sqref="K31:V86">
    <cfRule type="cellIs" dxfId="18" priority="10" operator="equal">
      <formula>0</formula>
    </cfRule>
  </conditionalFormatting>
  <conditionalFormatting sqref="G16:J16 G15 I15">
    <cfRule type="cellIs" dxfId="17" priority="9" operator="equal">
      <formula>0</formula>
    </cfRule>
  </conditionalFormatting>
  <conditionalFormatting sqref="G7:J7 G6 I6">
    <cfRule type="cellIs" dxfId="16" priority="8" operator="equal">
      <formula>0</formula>
    </cfRule>
  </conditionalFormatting>
  <conditionalFormatting sqref="F15">
    <cfRule type="cellIs" dxfId="15" priority="7" operator="equal">
      <formula>0</formula>
    </cfRule>
  </conditionalFormatting>
  <conditionalFormatting sqref="F28">
    <cfRule type="cellIs" dxfId="14" priority="6" operator="equal">
      <formula>0</formula>
    </cfRule>
  </conditionalFormatting>
  <conditionalFormatting sqref="E8:E14 E1:E6 E30:E1048576">
    <cfRule type="cellIs" dxfId="13" priority="5" operator="equal">
      <formula>0</formula>
    </cfRule>
  </conditionalFormatting>
  <conditionalFormatting sqref="E15">
    <cfRule type="cellIs" dxfId="12" priority="4" operator="equal">
      <formula>0</formula>
    </cfRule>
  </conditionalFormatting>
  <conditionalFormatting sqref="E28">
    <cfRule type="cellIs" dxfId="11" priority="3" operator="equal">
      <formula>0</formula>
    </cfRule>
  </conditionalFormatting>
  <conditionalFormatting sqref="C2:C3">
    <cfRule type="cellIs" dxfId="10" priority="1" operator="equal">
      <formula>0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J86"/>
  <sheetViews>
    <sheetView showGridLines="0" topLeftCell="A7" workbookViewId="0">
      <selection activeCell="E30" sqref="E30"/>
    </sheetView>
  </sheetViews>
  <sheetFormatPr defaultColWidth="9" defaultRowHeight="11.5" outlineLevelCol="1"/>
  <cols>
    <col min="1" max="2" width="1.75" style="658" customWidth="1"/>
    <col min="3" max="3" width="8.33203125" style="659" customWidth="1" outlineLevel="1"/>
    <col min="4" max="4" width="8.75" style="663" customWidth="1"/>
    <col min="5" max="5" width="8.75" style="687" customWidth="1"/>
    <col min="6" max="6" width="8.75" style="663" customWidth="1"/>
    <col min="7" max="10" width="8.75" style="668" customWidth="1"/>
    <col min="11" max="34" width="5.25" style="666" customWidth="1"/>
    <col min="35" max="16384" width="9" style="659"/>
  </cols>
  <sheetData>
    <row r="1" spans="1:34">
      <c r="A1" s="658">
        <v>11</v>
      </c>
      <c r="D1" s="659"/>
      <c r="E1" s="686"/>
      <c r="F1" s="659"/>
      <c r="G1" s="666"/>
      <c r="H1" s="666"/>
      <c r="I1" s="666"/>
      <c r="J1" s="666"/>
    </row>
    <row r="2" spans="1:34" ht="30">
      <c r="C2" s="660" t="s">
        <v>511</v>
      </c>
      <c r="D2" s="659"/>
      <c r="E2" s="686"/>
      <c r="F2" s="659"/>
      <c r="G2" s="666"/>
      <c r="H2" s="666"/>
      <c r="I2" s="666"/>
      <c r="J2" s="666"/>
    </row>
    <row r="3" spans="1:34" ht="21">
      <c r="C3" s="661" t="s">
        <v>512</v>
      </c>
      <c r="D3" s="659"/>
      <c r="E3" s="686"/>
      <c r="F3" s="659"/>
      <c r="G3" s="666"/>
      <c r="H3" s="666"/>
      <c r="I3" s="666"/>
      <c r="J3" s="666"/>
      <c r="V3" s="667"/>
      <c r="W3" s="667"/>
      <c r="X3" s="667"/>
      <c r="Y3" s="667"/>
      <c r="Z3" s="667"/>
      <c r="AA3" s="667"/>
      <c r="AB3" s="667"/>
      <c r="AC3" s="667"/>
      <c r="AD3" s="667"/>
      <c r="AE3" s="667"/>
      <c r="AF3" s="667"/>
      <c r="AG3" s="667"/>
      <c r="AH3" s="667"/>
    </row>
    <row r="5" spans="1:34" ht="17">
      <c r="C5" s="662" t="s">
        <v>315</v>
      </c>
    </row>
    <row r="6" spans="1:34">
      <c r="C6" s="1003" t="s">
        <v>316</v>
      </c>
      <c r="D6" s="1004"/>
      <c r="E6" s="999" t="s">
        <v>486</v>
      </c>
      <c r="F6" s="986" t="s">
        <v>485</v>
      </c>
      <c r="G6" s="991">
        <v>2019</v>
      </c>
      <c r="H6" s="992"/>
      <c r="I6" s="992">
        <v>2020</v>
      </c>
      <c r="J6" s="992"/>
      <c r="K6" s="982">
        <v>2019</v>
      </c>
      <c r="L6" s="982"/>
      <c r="M6" s="982"/>
      <c r="N6" s="982"/>
      <c r="O6" s="982"/>
      <c r="P6" s="982"/>
      <c r="Q6" s="982"/>
      <c r="R6" s="982"/>
      <c r="S6" s="982"/>
      <c r="T6" s="982"/>
      <c r="U6" s="982"/>
      <c r="V6" s="982"/>
      <c r="W6" s="982">
        <v>2020</v>
      </c>
      <c r="X6" s="982"/>
      <c r="Y6" s="982"/>
      <c r="Z6" s="982"/>
      <c r="AA6" s="982"/>
      <c r="AB6" s="982"/>
      <c r="AC6" s="982"/>
      <c r="AD6" s="982"/>
      <c r="AE6" s="982"/>
      <c r="AF6" s="982"/>
      <c r="AG6" s="982"/>
      <c r="AH6" s="982"/>
    </row>
    <row r="7" spans="1:34">
      <c r="C7" s="1003"/>
      <c r="D7" s="1004"/>
      <c r="E7" s="999"/>
      <c r="F7" s="986"/>
      <c r="G7" s="669" t="s">
        <v>482</v>
      </c>
      <c r="H7" s="669" t="s">
        <v>483</v>
      </c>
      <c r="I7" s="669" t="s">
        <v>482</v>
      </c>
      <c r="J7" s="669" t="s">
        <v>484</v>
      </c>
      <c r="K7" s="670" t="s">
        <v>311</v>
      </c>
      <c r="L7" s="670" t="s">
        <v>20</v>
      </c>
      <c r="M7" s="670" t="s">
        <v>21</v>
      </c>
      <c r="N7" s="670" t="s">
        <v>22</v>
      </c>
      <c r="O7" s="670" t="s">
        <v>23</v>
      </c>
      <c r="P7" s="670" t="s">
        <v>317</v>
      </c>
      <c r="Q7" s="670" t="s">
        <v>323</v>
      </c>
      <c r="R7" s="670" t="s">
        <v>318</v>
      </c>
      <c r="S7" s="670" t="s">
        <v>319</v>
      </c>
      <c r="T7" s="670" t="s">
        <v>320</v>
      </c>
      <c r="U7" s="670" t="s">
        <v>324</v>
      </c>
      <c r="V7" s="670" t="s">
        <v>322</v>
      </c>
      <c r="W7" s="670" t="s">
        <v>312</v>
      </c>
      <c r="X7" s="670" t="s">
        <v>325</v>
      </c>
      <c r="Y7" s="670" t="s">
        <v>326</v>
      </c>
      <c r="Z7" s="670" t="s">
        <v>327</v>
      </c>
      <c r="AA7" s="670" t="s">
        <v>328</v>
      </c>
      <c r="AB7" s="670" t="s">
        <v>329</v>
      </c>
      <c r="AC7" s="670" t="s">
        <v>323</v>
      </c>
      <c r="AD7" s="670" t="s">
        <v>318</v>
      </c>
      <c r="AE7" s="670" t="s">
        <v>319</v>
      </c>
      <c r="AF7" s="670" t="s">
        <v>320</v>
      </c>
      <c r="AG7" s="670" t="s">
        <v>321</v>
      </c>
      <c r="AH7" s="670" t="s">
        <v>322</v>
      </c>
    </row>
    <row r="8" spans="1:34">
      <c r="C8" s="1000" t="s">
        <v>330</v>
      </c>
      <c r="D8" s="1001"/>
      <c r="E8" s="688">
        <f>F8/$F$8</f>
        <v>1</v>
      </c>
      <c r="F8" s="682">
        <f>SUM(F9:F12)</f>
        <v>1188.58</v>
      </c>
      <c r="G8" s="678">
        <f>SUM(G9:G12)</f>
        <v>1275.5</v>
      </c>
      <c r="H8" s="671">
        <f t="shared" ref="H8:J8" si="0">SUM(H9:H12)</f>
        <v>1221.5</v>
      </c>
      <c r="I8" s="671">
        <f t="shared" si="0"/>
        <v>1204.8333333333333</v>
      </c>
      <c r="J8" s="671">
        <f t="shared" si="0"/>
        <v>1138.2</v>
      </c>
      <c r="K8" s="671">
        <f t="shared" ref="K8:AH8" si="1">SUM(K9:K12)</f>
        <v>1414</v>
      </c>
      <c r="L8" s="671">
        <f t="shared" si="1"/>
        <v>1156</v>
      </c>
      <c r="M8" s="671">
        <f t="shared" si="1"/>
        <v>1394</v>
      </c>
      <c r="N8" s="671">
        <f t="shared" si="1"/>
        <v>1285</v>
      </c>
      <c r="O8" s="671">
        <f t="shared" si="1"/>
        <v>1283</v>
      </c>
      <c r="P8" s="671">
        <f t="shared" si="1"/>
        <v>1121</v>
      </c>
      <c r="Q8" s="671">
        <f t="shared" si="1"/>
        <v>1229</v>
      </c>
      <c r="R8" s="671">
        <f t="shared" si="1"/>
        <v>1278</v>
      </c>
      <c r="S8" s="671">
        <f t="shared" si="1"/>
        <v>951</v>
      </c>
      <c r="T8" s="671">
        <f t="shared" si="1"/>
        <v>1278</v>
      </c>
      <c r="U8" s="671">
        <f t="shared" si="1"/>
        <v>1307</v>
      </c>
      <c r="V8" s="671">
        <f t="shared" si="1"/>
        <v>1286</v>
      </c>
      <c r="W8" s="671">
        <f t="shared" si="1"/>
        <v>1325</v>
      </c>
      <c r="X8" s="671">
        <f t="shared" si="1"/>
        <v>1263</v>
      </c>
      <c r="Y8" s="671">
        <f t="shared" si="1"/>
        <v>1203</v>
      </c>
      <c r="Z8" s="671">
        <f t="shared" si="1"/>
        <v>958</v>
      </c>
      <c r="AA8" s="671">
        <f t="shared" si="1"/>
        <v>1248</v>
      </c>
      <c r="AB8" s="671">
        <f t="shared" si="1"/>
        <v>1232</v>
      </c>
      <c r="AC8" s="671">
        <f t="shared" si="1"/>
        <v>1144</v>
      </c>
      <c r="AD8" s="671">
        <f t="shared" si="1"/>
        <v>1324</v>
      </c>
      <c r="AE8" s="671">
        <f t="shared" si="1"/>
        <v>1205</v>
      </c>
      <c r="AF8" s="671">
        <f t="shared" si="1"/>
        <v>1073</v>
      </c>
      <c r="AG8" s="671">
        <f t="shared" si="1"/>
        <v>945</v>
      </c>
      <c r="AH8" s="671">
        <f t="shared" si="1"/>
        <v>0</v>
      </c>
    </row>
    <row r="9" spans="1:34">
      <c r="C9" s="1002" t="s">
        <v>331</v>
      </c>
      <c r="D9" s="984"/>
      <c r="E9" s="690">
        <f t="shared" ref="E9:E12" si="2">F9/$F$8</f>
        <v>0.18888084941695132</v>
      </c>
      <c r="F9" s="683">
        <f t="shared" ref="F9:F12" si="3">G9*10%+H9*20%+I9*30%+J9*40%</f>
        <v>224.5</v>
      </c>
      <c r="G9" s="675">
        <f t="shared" ref="G9:G12" si="4">AVERAGE(K9:P9)</f>
        <v>227.16666666666666</v>
      </c>
      <c r="H9" s="672">
        <f t="shared" ref="H9:H12" si="5">AVERAGE(Q9:V9)</f>
        <v>213.16666666666666</v>
      </c>
      <c r="I9" s="672">
        <f t="shared" ref="I9:I12" si="6">AVERAGE(W9:AB9)</f>
        <v>254.5</v>
      </c>
      <c r="J9" s="672">
        <f t="shared" ref="J9:J12" si="7">AVERAGE(AC9:AG9)</f>
        <v>207</v>
      </c>
      <c r="K9" s="673">
        <f>SUMIF($B$18:$B$25,$C9,K$18:K$25)</f>
        <v>269</v>
      </c>
      <c r="L9" s="673">
        <f t="shared" ref="L9:AA12" si="8">SUMIF($B$18:$B$25,$C9,L$18:L$25)</f>
        <v>204</v>
      </c>
      <c r="M9" s="673">
        <f t="shared" si="8"/>
        <v>249</v>
      </c>
      <c r="N9" s="673">
        <f t="shared" si="8"/>
        <v>241</v>
      </c>
      <c r="O9" s="673">
        <f t="shared" si="8"/>
        <v>211</v>
      </c>
      <c r="P9" s="673">
        <f t="shared" si="8"/>
        <v>189</v>
      </c>
      <c r="Q9" s="673">
        <f t="shared" si="8"/>
        <v>201</v>
      </c>
      <c r="R9" s="673">
        <f t="shared" si="8"/>
        <v>232</v>
      </c>
      <c r="S9" s="673">
        <f t="shared" si="8"/>
        <v>178</v>
      </c>
      <c r="T9" s="673">
        <f t="shared" si="8"/>
        <v>222</v>
      </c>
      <c r="U9" s="673">
        <f t="shared" si="8"/>
        <v>218</v>
      </c>
      <c r="V9" s="673">
        <f t="shared" si="8"/>
        <v>228</v>
      </c>
      <c r="W9" s="673">
        <f t="shared" si="8"/>
        <v>272</v>
      </c>
      <c r="X9" s="673">
        <f t="shared" si="8"/>
        <v>274</v>
      </c>
      <c r="Y9" s="673">
        <f t="shared" si="8"/>
        <v>261</v>
      </c>
      <c r="Z9" s="673">
        <f t="shared" si="8"/>
        <v>197</v>
      </c>
      <c r="AA9" s="673">
        <f t="shared" si="8"/>
        <v>271</v>
      </c>
      <c r="AB9" s="673">
        <f t="shared" ref="AB9:AG12" si="9">SUMIF($B$18:$B$25,$C9,AB$18:AB$25)</f>
        <v>252</v>
      </c>
      <c r="AC9" s="673">
        <f t="shared" si="9"/>
        <v>220</v>
      </c>
      <c r="AD9" s="673">
        <f t="shared" si="9"/>
        <v>219</v>
      </c>
      <c r="AE9" s="673">
        <f t="shared" si="9"/>
        <v>216</v>
      </c>
      <c r="AF9" s="673">
        <f t="shared" si="9"/>
        <v>193</v>
      </c>
      <c r="AG9" s="673">
        <f t="shared" si="9"/>
        <v>187</v>
      </c>
      <c r="AH9" s="673"/>
    </row>
    <row r="10" spans="1:34">
      <c r="C10" s="1002" t="s">
        <v>332</v>
      </c>
      <c r="D10" s="984"/>
      <c r="E10" s="690">
        <f t="shared" si="2"/>
        <v>0.31097331830139047</v>
      </c>
      <c r="F10" s="683">
        <f t="shared" si="3"/>
        <v>369.61666666666667</v>
      </c>
      <c r="G10" s="675">
        <f t="shared" si="4"/>
        <v>396.83333333333331</v>
      </c>
      <c r="H10" s="672">
        <f t="shared" si="5"/>
        <v>364.66666666666669</v>
      </c>
      <c r="I10" s="672">
        <f t="shared" si="6"/>
        <v>371.33333333333331</v>
      </c>
      <c r="J10" s="672">
        <f t="shared" si="7"/>
        <v>364</v>
      </c>
      <c r="K10" s="673">
        <f t="shared" ref="K10:K12" si="10">SUMIF($B$18:$B$25,$C10,K$18:K$25)</f>
        <v>430</v>
      </c>
      <c r="L10" s="673">
        <f t="shared" si="8"/>
        <v>349</v>
      </c>
      <c r="M10" s="673">
        <f t="shared" si="8"/>
        <v>458</v>
      </c>
      <c r="N10" s="673">
        <f t="shared" si="8"/>
        <v>384</v>
      </c>
      <c r="O10" s="673">
        <f t="shared" si="8"/>
        <v>411</v>
      </c>
      <c r="P10" s="673">
        <f t="shared" si="8"/>
        <v>349</v>
      </c>
      <c r="Q10" s="673">
        <f t="shared" si="8"/>
        <v>393</v>
      </c>
      <c r="R10" s="673">
        <f t="shared" si="8"/>
        <v>376</v>
      </c>
      <c r="S10" s="673">
        <f t="shared" si="8"/>
        <v>266</v>
      </c>
      <c r="T10" s="673">
        <f t="shared" si="8"/>
        <v>392</v>
      </c>
      <c r="U10" s="673">
        <f t="shared" si="8"/>
        <v>392</v>
      </c>
      <c r="V10" s="673">
        <f t="shared" si="8"/>
        <v>369</v>
      </c>
      <c r="W10" s="673">
        <f t="shared" si="8"/>
        <v>407</v>
      </c>
      <c r="X10" s="673">
        <f t="shared" si="8"/>
        <v>355</v>
      </c>
      <c r="Y10" s="673">
        <f t="shared" si="8"/>
        <v>391</v>
      </c>
      <c r="Z10" s="673">
        <f t="shared" si="8"/>
        <v>284</v>
      </c>
      <c r="AA10" s="673">
        <f t="shared" si="8"/>
        <v>378</v>
      </c>
      <c r="AB10" s="673">
        <f t="shared" si="9"/>
        <v>413</v>
      </c>
      <c r="AC10" s="673">
        <f t="shared" si="9"/>
        <v>381</v>
      </c>
      <c r="AD10" s="673">
        <f t="shared" si="9"/>
        <v>452</v>
      </c>
      <c r="AE10" s="673">
        <f t="shared" si="9"/>
        <v>403</v>
      </c>
      <c r="AF10" s="673">
        <f t="shared" si="9"/>
        <v>304</v>
      </c>
      <c r="AG10" s="673">
        <f t="shared" si="9"/>
        <v>280</v>
      </c>
      <c r="AH10" s="673"/>
    </row>
    <row r="11" spans="1:34">
      <c r="C11" s="1002" t="s">
        <v>333</v>
      </c>
      <c r="D11" s="984"/>
      <c r="E11" s="690">
        <f t="shared" si="2"/>
        <v>0.26749005816464466</v>
      </c>
      <c r="F11" s="683">
        <f t="shared" si="3"/>
        <v>317.93333333333334</v>
      </c>
      <c r="G11" s="675">
        <f t="shared" si="4"/>
        <v>346.16666666666669</v>
      </c>
      <c r="H11" s="672">
        <f t="shared" si="5"/>
        <v>329.33333333333331</v>
      </c>
      <c r="I11" s="672">
        <f t="shared" si="6"/>
        <v>308.83333333333331</v>
      </c>
      <c r="J11" s="672">
        <f t="shared" si="7"/>
        <v>312</v>
      </c>
      <c r="K11" s="673">
        <f t="shared" si="10"/>
        <v>398</v>
      </c>
      <c r="L11" s="673">
        <f t="shared" si="8"/>
        <v>331</v>
      </c>
      <c r="M11" s="673">
        <f t="shared" si="8"/>
        <v>372</v>
      </c>
      <c r="N11" s="673">
        <f t="shared" si="8"/>
        <v>345</v>
      </c>
      <c r="O11" s="673">
        <f t="shared" si="8"/>
        <v>344</v>
      </c>
      <c r="P11" s="673">
        <f t="shared" si="8"/>
        <v>287</v>
      </c>
      <c r="Q11" s="673">
        <f t="shared" si="8"/>
        <v>323</v>
      </c>
      <c r="R11" s="673">
        <f t="shared" si="8"/>
        <v>343</v>
      </c>
      <c r="S11" s="673">
        <f t="shared" si="8"/>
        <v>260</v>
      </c>
      <c r="T11" s="673">
        <f t="shared" si="8"/>
        <v>344</v>
      </c>
      <c r="U11" s="673">
        <f t="shared" si="8"/>
        <v>357</v>
      </c>
      <c r="V11" s="673">
        <f t="shared" si="8"/>
        <v>349</v>
      </c>
      <c r="W11" s="673">
        <f t="shared" si="8"/>
        <v>352</v>
      </c>
      <c r="X11" s="673">
        <f t="shared" si="8"/>
        <v>325</v>
      </c>
      <c r="Y11" s="673">
        <f t="shared" si="8"/>
        <v>293</v>
      </c>
      <c r="Z11" s="673">
        <f t="shared" si="8"/>
        <v>262</v>
      </c>
      <c r="AA11" s="673">
        <f t="shared" si="8"/>
        <v>316</v>
      </c>
      <c r="AB11" s="673">
        <f t="shared" si="9"/>
        <v>305</v>
      </c>
      <c r="AC11" s="673">
        <f t="shared" si="9"/>
        <v>298</v>
      </c>
      <c r="AD11" s="673">
        <f t="shared" si="9"/>
        <v>361</v>
      </c>
      <c r="AE11" s="673">
        <f t="shared" si="9"/>
        <v>336</v>
      </c>
      <c r="AF11" s="673">
        <f t="shared" si="9"/>
        <v>299</v>
      </c>
      <c r="AG11" s="673">
        <f t="shared" si="9"/>
        <v>266</v>
      </c>
      <c r="AH11" s="673"/>
    </row>
    <row r="12" spans="1:34">
      <c r="C12" s="1002" t="s">
        <v>334</v>
      </c>
      <c r="D12" s="984"/>
      <c r="E12" s="690">
        <f t="shared" si="2"/>
        <v>0.23265577411701358</v>
      </c>
      <c r="F12" s="683">
        <f t="shared" si="3"/>
        <v>276.52999999999997</v>
      </c>
      <c r="G12" s="675">
        <f t="shared" si="4"/>
        <v>305.33333333333331</v>
      </c>
      <c r="H12" s="672">
        <f t="shared" si="5"/>
        <v>314.33333333333331</v>
      </c>
      <c r="I12" s="672">
        <f t="shared" si="6"/>
        <v>270.16666666666669</v>
      </c>
      <c r="J12" s="672">
        <f t="shared" si="7"/>
        <v>255.2</v>
      </c>
      <c r="K12" s="673">
        <f t="shared" si="10"/>
        <v>317</v>
      </c>
      <c r="L12" s="673">
        <f t="shared" si="8"/>
        <v>272</v>
      </c>
      <c r="M12" s="673">
        <f t="shared" si="8"/>
        <v>315</v>
      </c>
      <c r="N12" s="673">
        <f t="shared" si="8"/>
        <v>315</v>
      </c>
      <c r="O12" s="673">
        <f t="shared" si="8"/>
        <v>317</v>
      </c>
      <c r="P12" s="673">
        <f t="shared" si="8"/>
        <v>296</v>
      </c>
      <c r="Q12" s="673">
        <f t="shared" si="8"/>
        <v>312</v>
      </c>
      <c r="R12" s="673">
        <f t="shared" si="8"/>
        <v>327</v>
      </c>
      <c r="S12" s="673">
        <f t="shared" si="8"/>
        <v>247</v>
      </c>
      <c r="T12" s="673">
        <f t="shared" si="8"/>
        <v>320</v>
      </c>
      <c r="U12" s="673">
        <f t="shared" si="8"/>
        <v>340</v>
      </c>
      <c r="V12" s="673">
        <f t="shared" si="8"/>
        <v>340</v>
      </c>
      <c r="W12" s="673">
        <f t="shared" si="8"/>
        <v>294</v>
      </c>
      <c r="X12" s="673">
        <f t="shared" si="8"/>
        <v>309</v>
      </c>
      <c r="Y12" s="673">
        <f t="shared" si="8"/>
        <v>258</v>
      </c>
      <c r="Z12" s="673">
        <f t="shared" si="8"/>
        <v>215</v>
      </c>
      <c r="AA12" s="673">
        <f t="shared" si="8"/>
        <v>283</v>
      </c>
      <c r="AB12" s="673">
        <f t="shared" si="9"/>
        <v>262</v>
      </c>
      <c r="AC12" s="673">
        <f t="shared" si="9"/>
        <v>245</v>
      </c>
      <c r="AD12" s="673">
        <f t="shared" si="9"/>
        <v>292</v>
      </c>
      <c r="AE12" s="673">
        <f t="shared" si="9"/>
        <v>250</v>
      </c>
      <c r="AF12" s="673">
        <f t="shared" si="9"/>
        <v>277</v>
      </c>
      <c r="AG12" s="673">
        <f t="shared" si="9"/>
        <v>212</v>
      </c>
      <c r="AH12" s="673"/>
    </row>
    <row r="14" spans="1:34" ht="17">
      <c r="C14" s="662" t="s">
        <v>335</v>
      </c>
    </row>
    <row r="15" spans="1:34">
      <c r="C15" s="995" t="s">
        <v>336</v>
      </c>
      <c r="D15" s="996"/>
      <c r="E15" s="999" t="s">
        <v>487</v>
      </c>
      <c r="F15" s="986" t="s">
        <v>485</v>
      </c>
      <c r="G15" s="991">
        <v>2019</v>
      </c>
      <c r="H15" s="992"/>
      <c r="I15" s="992">
        <v>2020</v>
      </c>
      <c r="J15" s="992"/>
      <c r="K15" s="982">
        <v>2019</v>
      </c>
      <c r="L15" s="982"/>
      <c r="M15" s="982"/>
      <c r="N15" s="982"/>
      <c r="O15" s="982"/>
      <c r="P15" s="982"/>
      <c r="Q15" s="982"/>
      <c r="R15" s="982"/>
      <c r="S15" s="982"/>
      <c r="T15" s="982"/>
      <c r="U15" s="982"/>
      <c r="V15" s="982"/>
      <c r="W15" s="982">
        <v>2020</v>
      </c>
      <c r="X15" s="982"/>
      <c r="Y15" s="982"/>
      <c r="Z15" s="982"/>
      <c r="AA15" s="982"/>
      <c r="AB15" s="982"/>
      <c r="AC15" s="982"/>
      <c r="AD15" s="982"/>
      <c r="AE15" s="982"/>
      <c r="AF15" s="982"/>
      <c r="AG15" s="982"/>
      <c r="AH15" s="982"/>
    </row>
    <row r="16" spans="1:34">
      <c r="C16" s="997"/>
      <c r="D16" s="998"/>
      <c r="E16" s="999"/>
      <c r="F16" s="986"/>
      <c r="G16" s="669" t="s">
        <v>482</v>
      </c>
      <c r="H16" s="669" t="s">
        <v>483</v>
      </c>
      <c r="I16" s="669" t="s">
        <v>482</v>
      </c>
      <c r="J16" s="669" t="s">
        <v>484</v>
      </c>
      <c r="K16" s="670" t="s">
        <v>311</v>
      </c>
      <c r="L16" s="670" t="s">
        <v>20</v>
      </c>
      <c r="M16" s="670" t="s">
        <v>21</v>
      </c>
      <c r="N16" s="670" t="s">
        <v>22</v>
      </c>
      <c r="O16" s="670" t="s">
        <v>23</v>
      </c>
      <c r="P16" s="670" t="s">
        <v>339</v>
      </c>
      <c r="Q16" s="670" t="s">
        <v>323</v>
      </c>
      <c r="R16" s="670" t="s">
        <v>337</v>
      </c>
      <c r="S16" s="670" t="s">
        <v>319</v>
      </c>
      <c r="T16" s="670" t="s">
        <v>338</v>
      </c>
      <c r="U16" s="670" t="s">
        <v>321</v>
      </c>
      <c r="V16" s="670" t="s">
        <v>322</v>
      </c>
      <c r="W16" s="670" t="s">
        <v>312</v>
      </c>
      <c r="X16" s="670" t="s">
        <v>340</v>
      </c>
      <c r="Y16" s="670" t="s">
        <v>341</v>
      </c>
      <c r="Z16" s="670" t="s">
        <v>327</v>
      </c>
      <c r="AA16" s="670" t="s">
        <v>328</v>
      </c>
      <c r="AB16" s="670" t="s">
        <v>317</v>
      </c>
      <c r="AC16" s="670" t="s">
        <v>342</v>
      </c>
      <c r="AD16" s="670" t="s">
        <v>318</v>
      </c>
      <c r="AE16" s="670" t="s">
        <v>343</v>
      </c>
      <c r="AF16" s="670" t="s">
        <v>320</v>
      </c>
      <c r="AG16" s="670" t="s">
        <v>321</v>
      </c>
      <c r="AH16" s="670" t="s">
        <v>344</v>
      </c>
    </row>
    <row r="17" spans="1:36">
      <c r="C17" s="993" t="s">
        <v>345</v>
      </c>
      <c r="D17" s="994"/>
      <c r="E17" s="689">
        <f t="shared" ref="E17:E25" si="11">F17/$F$8</f>
        <v>1</v>
      </c>
      <c r="F17" s="684">
        <f>SUM(F18:F25)</f>
        <v>1188.58</v>
      </c>
      <c r="G17" s="674">
        <f>SUM(G18:G25)</f>
        <v>1275.5</v>
      </c>
      <c r="H17" s="674">
        <f t="shared" ref="H17:J17" si="12">SUM(H18:H25)</f>
        <v>1221.5</v>
      </c>
      <c r="I17" s="674">
        <f t="shared" si="12"/>
        <v>1204.8333333333333</v>
      </c>
      <c r="J17" s="674">
        <f t="shared" si="12"/>
        <v>1138.2</v>
      </c>
      <c r="K17" s="671">
        <f t="shared" ref="K17:AH17" si="13">SUM(K18:K25)</f>
        <v>1414</v>
      </c>
      <c r="L17" s="671">
        <f t="shared" si="13"/>
        <v>1156</v>
      </c>
      <c r="M17" s="671">
        <f t="shared" si="13"/>
        <v>1394</v>
      </c>
      <c r="N17" s="671">
        <f t="shared" si="13"/>
        <v>1285</v>
      </c>
      <c r="O17" s="671">
        <f t="shared" si="13"/>
        <v>1283</v>
      </c>
      <c r="P17" s="671">
        <f t="shared" si="13"/>
        <v>1121</v>
      </c>
      <c r="Q17" s="671">
        <f t="shared" si="13"/>
        <v>1229</v>
      </c>
      <c r="R17" s="671">
        <f t="shared" si="13"/>
        <v>1278</v>
      </c>
      <c r="S17" s="671">
        <f t="shared" si="13"/>
        <v>951</v>
      </c>
      <c r="T17" s="671">
        <f t="shared" si="13"/>
        <v>1278</v>
      </c>
      <c r="U17" s="671">
        <f t="shared" si="13"/>
        <v>1307</v>
      </c>
      <c r="V17" s="671">
        <f t="shared" si="13"/>
        <v>1286</v>
      </c>
      <c r="W17" s="671">
        <f t="shared" si="13"/>
        <v>1325</v>
      </c>
      <c r="X17" s="671">
        <f t="shared" si="13"/>
        <v>1263</v>
      </c>
      <c r="Y17" s="671">
        <f t="shared" si="13"/>
        <v>1203</v>
      </c>
      <c r="Z17" s="671">
        <f t="shared" si="13"/>
        <v>958</v>
      </c>
      <c r="AA17" s="671">
        <f t="shared" si="13"/>
        <v>1248</v>
      </c>
      <c r="AB17" s="671">
        <f t="shared" si="13"/>
        <v>1232</v>
      </c>
      <c r="AC17" s="671">
        <f t="shared" si="13"/>
        <v>1144</v>
      </c>
      <c r="AD17" s="671">
        <f t="shared" si="13"/>
        <v>1324</v>
      </c>
      <c r="AE17" s="671">
        <f t="shared" si="13"/>
        <v>1205</v>
      </c>
      <c r="AF17" s="671">
        <f t="shared" si="13"/>
        <v>1073</v>
      </c>
      <c r="AG17" s="671">
        <f t="shared" si="13"/>
        <v>945</v>
      </c>
      <c r="AH17" s="671">
        <f t="shared" si="13"/>
        <v>0</v>
      </c>
    </row>
    <row r="18" spans="1:36">
      <c r="B18" s="658" t="s">
        <v>346</v>
      </c>
      <c r="C18" s="984" t="s">
        <v>331</v>
      </c>
      <c r="D18" s="985"/>
      <c r="E18" s="690">
        <f t="shared" si="11"/>
        <v>0.13912119223499192</v>
      </c>
      <c r="F18" s="683">
        <f t="shared" ref="F18:F25" si="14">G18*10%+H18*20%+I18*30%+J18*40%</f>
        <v>165.35666666666668</v>
      </c>
      <c r="G18" s="675">
        <f t="shared" ref="G18:G25" si="15">AVERAGE(K18:P18)</f>
        <v>177</v>
      </c>
      <c r="H18" s="675">
        <f t="shared" ref="H18:H25" si="16">AVERAGE(Q18:V18)</f>
        <v>164.83333333333334</v>
      </c>
      <c r="I18" s="675">
        <f t="shared" ref="I18:I25" si="17">AVERAGE(W18:AB18)</f>
        <v>186.83333333333334</v>
      </c>
      <c r="J18" s="675">
        <f t="shared" ref="J18:J25" si="18">AVERAGE(AC18:AG18)</f>
        <v>146.6</v>
      </c>
      <c r="K18" s="673">
        <f>SUMIF($B$31:$B$86,$C18,K$31:K$86)</f>
        <v>209</v>
      </c>
      <c r="L18" s="673">
        <f t="shared" ref="L18:AA25" si="19">SUMIF($B$31:$B$86,$C18,L$31:L$86)</f>
        <v>151</v>
      </c>
      <c r="M18" s="673">
        <f t="shared" si="19"/>
        <v>200</v>
      </c>
      <c r="N18" s="673">
        <f t="shared" si="19"/>
        <v>192</v>
      </c>
      <c r="O18" s="673">
        <f t="shared" si="19"/>
        <v>162</v>
      </c>
      <c r="P18" s="673">
        <f t="shared" si="19"/>
        <v>148</v>
      </c>
      <c r="Q18" s="673">
        <f t="shared" si="19"/>
        <v>169</v>
      </c>
      <c r="R18" s="673">
        <f t="shared" si="19"/>
        <v>187</v>
      </c>
      <c r="S18" s="673">
        <f t="shared" si="19"/>
        <v>124</v>
      </c>
      <c r="T18" s="673">
        <f t="shared" si="19"/>
        <v>168</v>
      </c>
      <c r="U18" s="673">
        <f t="shared" si="19"/>
        <v>162</v>
      </c>
      <c r="V18" s="673">
        <f t="shared" si="19"/>
        <v>179</v>
      </c>
      <c r="W18" s="673">
        <f t="shared" si="19"/>
        <v>204</v>
      </c>
      <c r="X18" s="673">
        <f t="shared" si="19"/>
        <v>198</v>
      </c>
      <c r="Y18" s="673">
        <f t="shared" si="19"/>
        <v>194</v>
      </c>
      <c r="Z18" s="673">
        <f t="shared" si="19"/>
        <v>139</v>
      </c>
      <c r="AA18" s="673">
        <f t="shared" si="19"/>
        <v>205</v>
      </c>
      <c r="AB18" s="673">
        <f t="shared" ref="AB18:AG25" si="20">SUMIF($B$31:$B$86,$C18,AB$31:AB$86)</f>
        <v>181</v>
      </c>
      <c r="AC18" s="673">
        <f t="shared" si="20"/>
        <v>154</v>
      </c>
      <c r="AD18" s="673">
        <f t="shared" si="20"/>
        <v>150</v>
      </c>
      <c r="AE18" s="673">
        <f t="shared" si="20"/>
        <v>152</v>
      </c>
      <c r="AF18" s="673">
        <f t="shared" si="20"/>
        <v>138</v>
      </c>
      <c r="AG18" s="673">
        <f t="shared" si="20"/>
        <v>139</v>
      </c>
      <c r="AH18" s="673"/>
      <c r="AJ18" s="664"/>
    </row>
    <row r="19" spans="1:36">
      <c r="B19" s="658" t="s">
        <v>346</v>
      </c>
      <c r="C19" s="984" t="s">
        <v>347</v>
      </c>
      <c r="D19" s="985"/>
      <c r="E19" s="690">
        <f t="shared" si="11"/>
        <v>4.9759657181959425E-2</v>
      </c>
      <c r="F19" s="683">
        <f t="shared" si="14"/>
        <v>59.143333333333331</v>
      </c>
      <c r="G19" s="675">
        <f t="shared" si="15"/>
        <v>50.166666666666664</v>
      </c>
      <c r="H19" s="675">
        <f t="shared" si="16"/>
        <v>48.333333333333336</v>
      </c>
      <c r="I19" s="675">
        <f t="shared" si="17"/>
        <v>67.666666666666671</v>
      </c>
      <c r="J19" s="675">
        <f t="shared" si="18"/>
        <v>60.4</v>
      </c>
      <c r="K19" s="673">
        <f t="shared" ref="K19:K25" si="21">SUMIF($B$31:$B$86,$C19,K$31:K$86)</f>
        <v>60</v>
      </c>
      <c r="L19" s="673">
        <f t="shared" si="19"/>
        <v>53</v>
      </c>
      <c r="M19" s="673">
        <f t="shared" si="19"/>
        <v>49</v>
      </c>
      <c r="N19" s="673">
        <f t="shared" si="19"/>
        <v>49</v>
      </c>
      <c r="O19" s="673">
        <f t="shared" si="19"/>
        <v>49</v>
      </c>
      <c r="P19" s="673">
        <f t="shared" si="19"/>
        <v>41</v>
      </c>
      <c r="Q19" s="673">
        <f t="shared" si="19"/>
        <v>32</v>
      </c>
      <c r="R19" s="673">
        <f t="shared" si="19"/>
        <v>45</v>
      </c>
      <c r="S19" s="673">
        <f t="shared" si="19"/>
        <v>54</v>
      </c>
      <c r="T19" s="673">
        <f t="shared" si="19"/>
        <v>54</v>
      </c>
      <c r="U19" s="673">
        <f t="shared" si="19"/>
        <v>56</v>
      </c>
      <c r="V19" s="673">
        <f t="shared" si="19"/>
        <v>49</v>
      </c>
      <c r="W19" s="673">
        <f t="shared" si="19"/>
        <v>68</v>
      </c>
      <c r="X19" s="673">
        <f t="shared" si="19"/>
        <v>76</v>
      </c>
      <c r="Y19" s="673">
        <f t="shared" si="19"/>
        <v>67</v>
      </c>
      <c r="Z19" s="673">
        <f t="shared" si="19"/>
        <v>58</v>
      </c>
      <c r="AA19" s="673">
        <f t="shared" si="19"/>
        <v>66</v>
      </c>
      <c r="AB19" s="673">
        <f t="shared" si="20"/>
        <v>71</v>
      </c>
      <c r="AC19" s="673">
        <f t="shared" si="20"/>
        <v>66</v>
      </c>
      <c r="AD19" s="673">
        <f t="shared" si="20"/>
        <v>69</v>
      </c>
      <c r="AE19" s="673">
        <f t="shared" si="20"/>
        <v>64</v>
      </c>
      <c r="AF19" s="673">
        <f t="shared" si="20"/>
        <v>55</v>
      </c>
      <c r="AG19" s="673">
        <f t="shared" si="20"/>
        <v>48</v>
      </c>
      <c r="AH19" s="673"/>
      <c r="AJ19" s="664"/>
    </row>
    <row r="20" spans="1:36">
      <c r="B20" s="658" t="s">
        <v>348</v>
      </c>
      <c r="C20" s="984" t="s">
        <v>349</v>
      </c>
      <c r="D20" s="985"/>
      <c r="E20" s="690">
        <f t="shared" si="11"/>
        <v>0.15474768210806172</v>
      </c>
      <c r="F20" s="683">
        <f t="shared" si="14"/>
        <v>183.93</v>
      </c>
      <c r="G20" s="675">
        <f t="shared" si="15"/>
        <v>203.83333333333334</v>
      </c>
      <c r="H20" s="675">
        <f t="shared" si="16"/>
        <v>179.83333333333334</v>
      </c>
      <c r="I20" s="675">
        <f t="shared" si="17"/>
        <v>191.66666666666666</v>
      </c>
      <c r="J20" s="675">
        <f t="shared" si="18"/>
        <v>175.2</v>
      </c>
      <c r="K20" s="673">
        <f t="shared" si="21"/>
        <v>208</v>
      </c>
      <c r="L20" s="673">
        <f t="shared" si="19"/>
        <v>178</v>
      </c>
      <c r="M20" s="673">
        <f t="shared" si="19"/>
        <v>236</v>
      </c>
      <c r="N20" s="673">
        <f t="shared" si="19"/>
        <v>201</v>
      </c>
      <c r="O20" s="673">
        <f t="shared" si="19"/>
        <v>219</v>
      </c>
      <c r="P20" s="673">
        <f t="shared" si="19"/>
        <v>181</v>
      </c>
      <c r="Q20" s="673">
        <f t="shared" si="19"/>
        <v>196</v>
      </c>
      <c r="R20" s="673">
        <f t="shared" si="19"/>
        <v>177</v>
      </c>
      <c r="S20" s="673">
        <f t="shared" si="19"/>
        <v>133</v>
      </c>
      <c r="T20" s="673">
        <f t="shared" si="19"/>
        <v>190</v>
      </c>
      <c r="U20" s="673">
        <f t="shared" si="19"/>
        <v>196</v>
      </c>
      <c r="V20" s="673">
        <f t="shared" si="19"/>
        <v>187</v>
      </c>
      <c r="W20" s="673">
        <f t="shared" si="19"/>
        <v>193</v>
      </c>
      <c r="X20" s="673">
        <f t="shared" si="19"/>
        <v>195</v>
      </c>
      <c r="Y20" s="673">
        <f t="shared" si="19"/>
        <v>204</v>
      </c>
      <c r="Z20" s="673">
        <f t="shared" si="19"/>
        <v>154</v>
      </c>
      <c r="AA20" s="673">
        <f t="shared" si="19"/>
        <v>189</v>
      </c>
      <c r="AB20" s="673">
        <f t="shared" si="20"/>
        <v>215</v>
      </c>
      <c r="AC20" s="673">
        <f t="shared" si="20"/>
        <v>187</v>
      </c>
      <c r="AD20" s="673">
        <f t="shared" si="20"/>
        <v>206</v>
      </c>
      <c r="AE20" s="673">
        <f t="shared" si="20"/>
        <v>192</v>
      </c>
      <c r="AF20" s="673">
        <f t="shared" si="20"/>
        <v>148</v>
      </c>
      <c r="AG20" s="673">
        <f t="shared" si="20"/>
        <v>143</v>
      </c>
      <c r="AH20" s="673"/>
      <c r="AJ20" s="664"/>
    </row>
    <row r="21" spans="1:36">
      <c r="B21" s="658" t="s">
        <v>348</v>
      </c>
      <c r="C21" s="984" t="s">
        <v>334</v>
      </c>
      <c r="D21" s="985"/>
      <c r="E21" s="690">
        <f t="shared" si="11"/>
        <v>0.15622563619332874</v>
      </c>
      <c r="F21" s="683">
        <f t="shared" si="14"/>
        <v>185.68666666666667</v>
      </c>
      <c r="G21" s="675">
        <f t="shared" si="15"/>
        <v>193</v>
      </c>
      <c r="H21" s="675">
        <f t="shared" si="16"/>
        <v>184.83333333333334</v>
      </c>
      <c r="I21" s="675">
        <f t="shared" si="17"/>
        <v>179.66666666666666</v>
      </c>
      <c r="J21" s="675">
        <f t="shared" si="18"/>
        <v>188.8</v>
      </c>
      <c r="K21" s="673">
        <f t="shared" si="21"/>
        <v>222</v>
      </c>
      <c r="L21" s="673">
        <f t="shared" si="19"/>
        <v>171</v>
      </c>
      <c r="M21" s="673">
        <f t="shared" si="19"/>
        <v>222</v>
      </c>
      <c r="N21" s="673">
        <f t="shared" si="19"/>
        <v>183</v>
      </c>
      <c r="O21" s="673">
        <f t="shared" si="19"/>
        <v>192</v>
      </c>
      <c r="P21" s="673">
        <f t="shared" si="19"/>
        <v>168</v>
      </c>
      <c r="Q21" s="673">
        <f t="shared" si="19"/>
        <v>197</v>
      </c>
      <c r="R21" s="673">
        <f t="shared" si="19"/>
        <v>199</v>
      </c>
      <c r="S21" s="673">
        <f t="shared" si="19"/>
        <v>133</v>
      </c>
      <c r="T21" s="673">
        <f t="shared" si="19"/>
        <v>202</v>
      </c>
      <c r="U21" s="673">
        <f t="shared" si="19"/>
        <v>196</v>
      </c>
      <c r="V21" s="673">
        <f t="shared" si="19"/>
        <v>182</v>
      </c>
      <c r="W21" s="673">
        <f t="shared" si="19"/>
        <v>214</v>
      </c>
      <c r="X21" s="673">
        <f t="shared" si="19"/>
        <v>160</v>
      </c>
      <c r="Y21" s="673">
        <f t="shared" si="19"/>
        <v>187</v>
      </c>
      <c r="Z21" s="673">
        <f t="shared" si="19"/>
        <v>130</v>
      </c>
      <c r="AA21" s="673">
        <f t="shared" si="19"/>
        <v>189</v>
      </c>
      <c r="AB21" s="673">
        <f t="shared" si="20"/>
        <v>198</v>
      </c>
      <c r="AC21" s="673">
        <f t="shared" si="20"/>
        <v>194</v>
      </c>
      <c r="AD21" s="673">
        <f t="shared" si="20"/>
        <v>246</v>
      </c>
      <c r="AE21" s="673">
        <f t="shared" si="20"/>
        <v>211</v>
      </c>
      <c r="AF21" s="673">
        <f t="shared" si="20"/>
        <v>156</v>
      </c>
      <c r="AG21" s="673">
        <f t="shared" si="20"/>
        <v>137</v>
      </c>
      <c r="AH21" s="673"/>
      <c r="AJ21" s="664"/>
    </row>
    <row r="22" spans="1:36">
      <c r="B22" s="658" t="s">
        <v>350</v>
      </c>
      <c r="C22" s="984" t="s">
        <v>351</v>
      </c>
      <c r="D22" s="985"/>
      <c r="E22" s="690">
        <f t="shared" si="11"/>
        <v>0.15017079203755743</v>
      </c>
      <c r="F22" s="683">
        <f t="shared" si="14"/>
        <v>178.49</v>
      </c>
      <c r="G22" s="675">
        <f t="shared" si="15"/>
        <v>188</v>
      </c>
      <c r="H22" s="675">
        <f t="shared" si="16"/>
        <v>179.5</v>
      </c>
      <c r="I22" s="675">
        <f t="shared" si="17"/>
        <v>170.5</v>
      </c>
      <c r="J22" s="675">
        <f t="shared" si="18"/>
        <v>181.6</v>
      </c>
      <c r="K22" s="673">
        <f t="shared" si="21"/>
        <v>201</v>
      </c>
      <c r="L22" s="673">
        <f t="shared" si="19"/>
        <v>182</v>
      </c>
      <c r="M22" s="673">
        <f t="shared" si="19"/>
        <v>202</v>
      </c>
      <c r="N22" s="673">
        <f t="shared" si="19"/>
        <v>187</v>
      </c>
      <c r="O22" s="673">
        <f t="shared" si="19"/>
        <v>193</v>
      </c>
      <c r="P22" s="673">
        <f t="shared" si="19"/>
        <v>163</v>
      </c>
      <c r="Q22" s="673">
        <f t="shared" si="19"/>
        <v>176</v>
      </c>
      <c r="R22" s="673">
        <f t="shared" si="19"/>
        <v>190</v>
      </c>
      <c r="S22" s="673">
        <f t="shared" si="19"/>
        <v>145</v>
      </c>
      <c r="T22" s="673">
        <f t="shared" si="19"/>
        <v>188</v>
      </c>
      <c r="U22" s="673">
        <f t="shared" si="19"/>
        <v>187</v>
      </c>
      <c r="V22" s="673">
        <f t="shared" si="19"/>
        <v>191</v>
      </c>
      <c r="W22" s="673">
        <f t="shared" si="19"/>
        <v>202</v>
      </c>
      <c r="X22" s="673">
        <f t="shared" si="19"/>
        <v>181</v>
      </c>
      <c r="Y22" s="673">
        <f t="shared" si="19"/>
        <v>157</v>
      </c>
      <c r="Z22" s="673">
        <f t="shared" si="19"/>
        <v>140</v>
      </c>
      <c r="AA22" s="673">
        <f t="shared" si="19"/>
        <v>176</v>
      </c>
      <c r="AB22" s="673">
        <f t="shared" si="20"/>
        <v>167</v>
      </c>
      <c r="AC22" s="673">
        <f t="shared" si="20"/>
        <v>176</v>
      </c>
      <c r="AD22" s="673">
        <f t="shared" si="20"/>
        <v>209</v>
      </c>
      <c r="AE22" s="673">
        <f t="shared" si="20"/>
        <v>189</v>
      </c>
      <c r="AF22" s="673">
        <f t="shared" si="20"/>
        <v>184</v>
      </c>
      <c r="AG22" s="673">
        <f t="shared" si="20"/>
        <v>150</v>
      </c>
      <c r="AH22" s="673"/>
      <c r="AJ22" s="664"/>
    </row>
    <row r="23" spans="1:36">
      <c r="B23" s="658" t="s">
        <v>350</v>
      </c>
      <c r="C23" s="984" t="s">
        <v>352</v>
      </c>
      <c r="D23" s="985"/>
      <c r="E23" s="690">
        <f t="shared" si="11"/>
        <v>0.11731926612708722</v>
      </c>
      <c r="F23" s="683">
        <f t="shared" si="14"/>
        <v>139.44333333333333</v>
      </c>
      <c r="G23" s="675">
        <f t="shared" si="15"/>
        <v>158.16666666666666</v>
      </c>
      <c r="H23" s="675">
        <f t="shared" si="16"/>
        <v>149.83333333333334</v>
      </c>
      <c r="I23" s="675">
        <f t="shared" si="17"/>
        <v>138.33333333333334</v>
      </c>
      <c r="J23" s="675">
        <f t="shared" si="18"/>
        <v>130.4</v>
      </c>
      <c r="K23" s="673">
        <f t="shared" si="21"/>
        <v>197</v>
      </c>
      <c r="L23" s="673">
        <f t="shared" si="19"/>
        <v>149</v>
      </c>
      <c r="M23" s="673">
        <f t="shared" si="19"/>
        <v>170</v>
      </c>
      <c r="N23" s="673">
        <f t="shared" si="19"/>
        <v>158</v>
      </c>
      <c r="O23" s="673">
        <f t="shared" si="19"/>
        <v>151</v>
      </c>
      <c r="P23" s="673">
        <f t="shared" si="19"/>
        <v>124</v>
      </c>
      <c r="Q23" s="673">
        <f t="shared" si="19"/>
        <v>147</v>
      </c>
      <c r="R23" s="673">
        <f t="shared" si="19"/>
        <v>153</v>
      </c>
      <c r="S23" s="673">
        <f t="shared" si="19"/>
        <v>115</v>
      </c>
      <c r="T23" s="673">
        <f t="shared" si="19"/>
        <v>156</v>
      </c>
      <c r="U23" s="673">
        <f t="shared" si="19"/>
        <v>170</v>
      </c>
      <c r="V23" s="673">
        <f t="shared" si="19"/>
        <v>158</v>
      </c>
      <c r="W23" s="673">
        <f t="shared" si="19"/>
        <v>150</v>
      </c>
      <c r="X23" s="673">
        <f t="shared" si="19"/>
        <v>144</v>
      </c>
      <c r="Y23" s="673">
        <f t="shared" si="19"/>
        <v>136</v>
      </c>
      <c r="Z23" s="673">
        <f t="shared" si="19"/>
        <v>122</v>
      </c>
      <c r="AA23" s="673">
        <f t="shared" si="19"/>
        <v>140</v>
      </c>
      <c r="AB23" s="673">
        <f t="shared" si="20"/>
        <v>138</v>
      </c>
      <c r="AC23" s="673">
        <f t="shared" si="20"/>
        <v>122</v>
      </c>
      <c r="AD23" s="673">
        <f t="shared" si="20"/>
        <v>152</v>
      </c>
      <c r="AE23" s="673">
        <f t="shared" si="20"/>
        <v>147</v>
      </c>
      <c r="AF23" s="673">
        <f t="shared" si="20"/>
        <v>115</v>
      </c>
      <c r="AG23" s="673">
        <f t="shared" si="20"/>
        <v>116</v>
      </c>
      <c r="AH23" s="673"/>
      <c r="AJ23" s="664"/>
    </row>
    <row r="24" spans="1:36">
      <c r="B24" s="658" t="s">
        <v>353</v>
      </c>
      <c r="C24" s="984" t="s">
        <v>354</v>
      </c>
      <c r="D24" s="985"/>
      <c r="E24" s="690">
        <f t="shared" si="11"/>
        <v>0.11961051562929434</v>
      </c>
      <c r="F24" s="683">
        <f t="shared" si="14"/>
        <v>142.16666666666666</v>
      </c>
      <c r="G24" s="675">
        <f t="shared" si="15"/>
        <v>164.66666666666666</v>
      </c>
      <c r="H24" s="675">
        <f t="shared" si="16"/>
        <v>165.5</v>
      </c>
      <c r="I24" s="675">
        <f t="shared" si="17"/>
        <v>136.66666666666666</v>
      </c>
      <c r="J24" s="675">
        <f t="shared" si="18"/>
        <v>129</v>
      </c>
      <c r="K24" s="673">
        <f t="shared" si="21"/>
        <v>173</v>
      </c>
      <c r="L24" s="673">
        <f t="shared" si="19"/>
        <v>145</v>
      </c>
      <c r="M24" s="673">
        <f t="shared" si="19"/>
        <v>170</v>
      </c>
      <c r="N24" s="673">
        <f t="shared" si="19"/>
        <v>162</v>
      </c>
      <c r="O24" s="673">
        <f t="shared" si="19"/>
        <v>169</v>
      </c>
      <c r="P24" s="673">
        <f t="shared" si="19"/>
        <v>169</v>
      </c>
      <c r="Q24" s="673">
        <f t="shared" si="19"/>
        <v>161</v>
      </c>
      <c r="R24" s="673">
        <f t="shared" si="19"/>
        <v>169</v>
      </c>
      <c r="S24" s="673">
        <f t="shared" si="19"/>
        <v>119</v>
      </c>
      <c r="T24" s="673">
        <f t="shared" si="19"/>
        <v>170</v>
      </c>
      <c r="U24" s="673">
        <f t="shared" si="19"/>
        <v>181</v>
      </c>
      <c r="V24" s="673">
        <f t="shared" si="19"/>
        <v>193</v>
      </c>
      <c r="W24" s="673">
        <f t="shared" si="19"/>
        <v>151</v>
      </c>
      <c r="X24" s="673">
        <f t="shared" si="19"/>
        <v>163</v>
      </c>
      <c r="Y24" s="673">
        <f t="shared" si="19"/>
        <v>136</v>
      </c>
      <c r="Z24" s="673">
        <f t="shared" si="19"/>
        <v>112</v>
      </c>
      <c r="AA24" s="673">
        <f t="shared" si="19"/>
        <v>129</v>
      </c>
      <c r="AB24" s="673">
        <f t="shared" si="20"/>
        <v>129</v>
      </c>
      <c r="AC24" s="673">
        <f t="shared" si="20"/>
        <v>124</v>
      </c>
      <c r="AD24" s="673">
        <f t="shared" si="20"/>
        <v>138</v>
      </c>
      <c r="AE24" s="673">
        <f t="shared" si="20"/>
        <v>124</v>
      </c>
      <c r="AF24" s="673">
        <f t="shared" si="20"/>
        <v>147</v>
      </c>
      <c r="AG24" s="673">
        <f t="shared" si="20"/>
        <v>112</v>
      </c>
      <c r="AH24" s="673"/>
      <c r="AJ24" s="664"/>
    </row>
    <row r="25" spans="1:36">
      <c r="B25" s="658" t="s">
        <v>353</v>
      </c>
      <c r="C25" s="984" t="s">
        <v>355</v>
      </c>
      <c r="D25" s="985"/>
      <c r="E25" s="690">
        <f t="shared" si="11"/>
        <v>0.11304525848771925</v>
      </c>
      <c r="F25" s="683">
        <f t="shared" si="14"/>
        <v>134.36333333333334</v>
      </c>
      <c r="G25" s="675">
        <f t="shared" si="15"/>
        <v>140.66666666666666</v>
      </c>
      <c r="H25" s="675">
        <f t="shared" si="16"/>
        <v>148.83333333333334</v>
      </c>
      <c r="I25" s="675">
        <f t="shared" si="17"/>
        <v>133.5</v>
      </c>
      <c r="J25" s="675">
        <f t="shared" si="18"/>
        <v>126.2</v>
      </c>
      <c r="K25" s="676">
        <f t="shared" si="21"/>
        <v>144</v>
      </c>
      <c r="L25" s="676">
        <f t="shared" si="19"/>
        <v>127</v>
      </c>
      <c r="M25" s="676">
        <f t="shared" si="19"/>
        <v>145</v>
      </c>
      <c r="N25" s="676">
        <f t="shared" si="19"/>
        <v>153</v>
      </c>
      <c r="O25" s="676">
        <f t="shared" si="19"/>
        <v>148</v>
      </c>
      <c r="P25" s="676">
        <f t="shared" si="19"/>
        <v>127</v>
      </c>
      <c r="Q25" s="676">
        <f t="shared" si="19"/>
        <v>151</v>
      </c>
      <c r="R25" s="676">
        <f t="shared" si="19"/>
        <v>158</v>
      </c>
      <c r="S25" s="676">
        <f t="shared" si="19"/>
        <v>128</v>
      </c>
      <c r="T25" s="676">
        <f t="shared" si="19"/>
        <v>150</v>
      </c>
      <c r="U25" s="676">
        <f t="shared" si="19"/>
        <v>159</v>
      </c>
      <c r="V25" s="676">
        <f t="shared" si="19"/>
        <v>147</v>
      </c>
      <c r="W25" s="676">
        <f t="shared" si="19"/>
        <v>143</v>
      </c>
      <c r="X25" s="676">
        <f t="shared" si="19"/>
        <v>146</v>
      </c>
      <c r="Y25" s="676">
        <f t="shared" si="19"/>
        <v>122</v>
      </c>
      <c r="Z25" s="676">
        <f t="shared" si="19"/>
        <v>103</v>
      </c>
      <c r="AA25" s="676">
        <f t="shared" si="19"/>
        <v>154</v>
      </c>
      <c r="AB25" s="676">
        <f t="shared" si="20"/>
        <v>133</v>
      </c>
      <c r="AC25" s="676">
        <f t="shared" si="20"/>
        <v>121</v>
      </c>
      <c r="AD25" s="676">
        <f t="shared" si="20"/>
        <v>154</v>
      </c>
      <c r="AE25" s="676">
        <f t="shared" si="20"/>
        <v>126</v>
      </c>
      <c r="AF25" s="676">
        <f t="shared" si="20"/>
        <v>130</v>
      </c>
      <c r="AG25" s="676">
        <f t="shared" si="20"/>
        <v>100</v>
      </c>
      <c r="AH25" s="676"/>
      <c r="AJ25" s="664"/>
    </row>
    <row r="27" spans="1:36" ht="17">
      <c r="C27" s="662" t="s">
        <v>481</v>
      </c>
      <c r="K27" s="677">
        <v>4</v>
      </c>
      <c r="L27" s="677">
        <v>5</v>
      </c>
      <c r="M27" s="677">
        <v>6</v>
      </c>
      <c r="N27" s="677"/>
      <c r="O27" s="677"/>
    </row>
    <row r="28" spans="1:36">
      <c r="C28" s="986" t="s">
        <v>316</v>
      </c>
      <c r="D28" s="986"/>
      <c r="E28" s="987" t="s">
        <v>488</v>
      </c>
      <c r="F28" s="989" t="s">
        <v>485</v>
      </c>
      <c r="G28" s="991">
        <v>2019</v>
      </c>
      <c r="H28" s="992"/>
      <c r="I28" s="992">
        <v>2020</v>
      </c>
      <c r="J28" s="992"/>
      <c r="K28" s="981">
        <v>2019</v>
      </c>
      <c r="L28" s="982"/>
      <c r="M28" s="982"/>
      <c r="N28" s="982"/>
      <c r="O28" s="982"/>
      <c r="P28" s="982"/>
      <c r="Q28" s="982"/>
      <c r="R28" s="982"/>
      <c r="S28" s="982"/>
      <c r="T28" s="982"/>
      <c r="U28" s="982"/>
      <c r="V28" s="982"/>
      <c r="W28" s="982">
        <v>2020</v>
      </c>
      <c r="X28" s="982"/>
      <c r="Y28" s="982"/>
      <c r="Z28" s="982"/>
      <c r="AA28" s="982"/>
      <c r="AB28" s="982"/>
      <c r="AC28" s="982"/>
      <c r="AD28" s="982"/>
      <c r="AE28" s="982"/>
      <c r="AF28" s="982"/>
      <c r="AG28" s="982"/>
      <c r="AH28" s="982"/>
    </row>
    <row r="29" spans="1:36">
      <c r="C29" s="986"/>
      <c r="D29" s="986"/>
      <c r="E29" s="988"/>
      <c r="F29" s="990"/>
      <c r="G29" s="669" t="s">
        <v>482</v>
      </c>
      <c r="H29" s="669" t="s">
        <v>483</v>
      </c>
      <c r="I29" s="669" t="s">
        <v>482</v>
      </c>
      <c r="J29" s="669" t="s">
        <v>484</v>
      </c>
      <c r="K29" s="670" t="s">
        <v>311</v>
      </c>
      <c r="L29" s="670" t="s">
        <v>20</v>
      </c>
      <c r="M29" s="670" t="s">
        <v>21</v>
      </c>
      <c r="N29" s="670" t="s">
        <v>22</v>
      </c>
      <c r="O29" s="670" t="s">
        <v>23</v>
      </c>
      <c r="P29" s="670" t="s">
        <v>317</v>
      </c>
      <c r="Q29" s="670" t="s">
        <v>323</v>
      </c>
      <c r="R29" s="670" t="s">
        <v>318</v>
      </c>
      <c r="S29" s="670" t="s">
        <v>319</v>
      </c>
      <c r="T29" s="670" t="s">
        <v>320</v>
      </c>
      <c r="U29" s="670" t="s">
        <v>321</v>
      </c>
      <c r="V29" s="670" t="s">
        <v>344</v>
      </c>
      <c r="W29" s="670" t="s">
        <v>312</v>
      </c>
      <c r="X29" s="670" t="s">
        <v>325</v>
      </c>
      <c r="Y29" s="670" t="s">
        <v>356</v>
      </c>
      <c r="Z29" s="670" t="s">
        <v>364</v>
      </c>
      <c r="AA29" s="670" t="s">
        <v>365</v>
      </c>
      <c r="AB29" s="670" t="s">
        <v>317</v>
      </c>
      <c r="AC29" s="670" t="s">
        <v>323</v>
      </c>
      <c r="AD29" s="670" t="s">
        <v>318</v>
      </c>
      <c r="AE29" s="670" t="s">
        <v>319</v>
      </c>
      <c r="AF29" s="670" t="s">
        <v>320</v>
      </c>
      <c r="AG29" s="670" t="s">
        <v>321</v>
      </c>
      <c r="AH29" s="670" t="s">
        <v>322</v>
      </c>
    </row>
    <row r="30" spans="1:36">
      <c r="C30" s="983" t="s">
        <v>363</v>
      </c>
      <c r="D30" s="983"/>
      <c r="E30" s="685">
        <f>F30/$F$30</f>
        <v>1</v>
      </c>
      <c r="F30" s="678">
        <f>SUM(F31:F86)</f>
        <v>1188.58</v>
      </c>
      <c r="G30" s="678">
        <f>SUM(G31:G86)</f>
        <v>1275.5000000000002</v>
      </c>
      <c r="H30" s="678">
        <f t="shared" ref="H30:J30" si="22">SUM(H31:H86)</f>
        <v>1221.5000000000002</v>
      </c>
      <c r="I30" s="678">
        <f t="shared" si="22"/>
        <v>1204.833333333333</v>
      </c>
      <c r="J30" s="678">
        <f t="shared" si="22"/>
        <v>1138.1999999999996</v>
      </c>
      <c r="K30" s="671">
        <f>SUM(K31:K86)</f>
        <v>1414</v>
      </c>
      <c r="L30" s="671">
        <f t="shared" ref="L30:AH30" si="23">SUM(L31:L86)</f>
        <v>1156</v>
      </c>
      <c r="M30" s="671">
        <f t="shared" si="23"/>
        <v>1394</v>
      </c>
      <c r="N30" s="671">
        <f t="shared" si="23"/>
        <v>1285</v>
      </c>
      <c r="O30" s="671">
        <f t="shared" si="23"/>
        <v>1283</v>
      </c>
      <c r="P30" s="671">
        <f t="shared" si="23"/>
        <v>1121</v>
      </c>
      <c r="Q30" s="671">
        <f t="shared" si="23"/>
        <v>1229</v>
      </c>
      <c r="R30" s="671">
        <f t="shared" si="23"/>
        <v>1278</v>
      </c>
      <c r="S30" s="671">
        <f t="shared" si="23"/>
        <v>951</v>
      </c>
      <c r="T30" s="671">
        <f t="shared" si="23"/>
        <v>1278</v>
      </c>
      <c r="U30" s="671">
        <f t="shared" si="23"/>
        <v>1307</v>
      </c>
      <c r="V30" s="671">
        <f t="shared" si="23"/>
        <v>1286</v>
      </c>
      <c r="W30" s="671">
        <f t="shared" si="23"/>
        <v>1325</v>
      </c>
      <c r="X30" s="671">
        <f t="shared" si="23"/>
        <v>1263</v>
      </c>
      <c r="Y30" s="671">
        <f t="shared" si="23"/>
        <v>1203</v>
      </c>
      <c r="Z30" s="671">
        <f t="shared" si="23"/>
        <v>958</v>
      </c>
      <c r="AA30" s="671">
        <f t="shared" si="23"/>
        <v>1248</v>
      </c>
      <c r="AB30" s="671">
        <f t="shared" si="23"/>
        <v>1232</v>
      </c>
      <c r="AC30" s="671">
        <f t="shared" si="23"/>
        <v>1144</v>
      </c>
      <c r="AD30" s="671">
        <f t="shared" si="23"/>
        <v>1324</v>
      </c>
      <c r="AE30" s="671">
        <f t="shared" si="23"/>
        <v>1205</v>
      </c>
      <c r="AF30" s="671">
        <f t="shared" si="23"/>
        <v>1073</v>
      </c>
      <c r="AG30" s="671">
        <f t="shared" si="23"/>
        <v>945</v>
      </c>
      <c r="AH30" s="671">
        <f t="shared" si="23"/>
        <v>0</v>
      </c>
    </row>
    <row r="31" spans="1:36">
      <c r="A31" s="658" t="s">
        <v>331</v>
      </c>
      <c r="B31" s="658" t="s">
        <v>346</v>
      </c>
      <c r="C31" s="681" t="s">
        <v>366</v>
      </c>
      <c r="D31" s="681" t="s">
        <v>367</v>
      </c>
      <c r="E31" s="691">
        <f>F31/VLOOKUP($B31,$C$18:$F$25,4,0)</f>
        <v>0.1104279637954321</v>
      </c>
      <c r="F31" s="680">
        <f>G31*10%+H31*20%+I31*30%+J31*40%</f>
        <v>18.260000000000002</v>
      </c>
      <c r="G31" s="680">
        <f>AVERAGE(K31:P31)</f>
        <v>21</v>
      </c>
      <c r="H31" s="679">
        <f>AVERAGE(Q31:V31)</f>
        <v>16</v>
      </c>
      <c r="I31" s="679">
        <f>AVERAGE(W31:AB31)</f>
        <v>22.666666666666668</v>
      </c>
      <c r="J31" s="679">
        <f>AVERAGE(AC31:AG31)</f>
        <v>15.4</v>
      </c>
      <c r="K31" s="673">
        <v>24</v>
      </c>
      <c r="L31" s="673">
        <v>19</v>
      </c>
      <c r="M31" s="673">
        <v>23</v>
      </c>
      <c r="N31" s="673">
        <v>22</v>
      </c>
      <c r="O31" s="673">
        <v>21</v>
      </c>
      <c r="P31" s="673">
        <v>17</v>
      </c>
      <c r="Q31" s="673">
        <v>15</v>
      </c>
      <c r="R31" s="673">
        <v>12</v>
      </c>
      <c r="S31" s="673">
        <v>14</v>
      </c>
      <c r="T31" s="673">
        <v>15</v>
      </c>
      <c r="U31" s="673">
        <v>16</v>
      </c>
      <c r="V31" s="665">
        <v>24</v>
      </c>
      <c r="W31" s="665">
        <v>23</v>
      </c>
      <c r="X31" s="665">
        <v>30</v>
      </c>
      <c r="Y31" s="665">
        <v>25</v>
      </c>
      <c r="Z31" s="665">
        <v>16</v>
      </c>
      <c r="AA31" s="665">
        <v>24</v>
      </c>
      <c r="AB31" s="665">
        <v>18</v>
      </c>
      <c r="AC31" s="665">
        <v>17</v>
      </c>
      <c r="AD31" s="665">
        <v>15</v>
      </c>
      <c r="AE31" s="665">
        <v>15</v>
      </c>
      <c r="AF31" s="665">
        <v>13</v>
      </c>
      <c r="AG31" s="665">
        <v>17</v>
      </c>
      <c r="AH31" s="665"/>
    </row>
    <row r="32" spans="1:36">
      <c r="A32" s="658" t="s">
        <v>331</v>
      </c>
      <c r="B32" s="658" t="s">
        <v>346</v>
      </c>
      <c r="C32" s="681" t="s">
        <v>368</v>
      </c>
      <c r="D32" s="681" t="s">
        <v>369</v>
      </c>
      <c r="E32" s="691">
        <f t="shared" ref="E32:E86" si="24">F32/VLOOKUP($B32,$C$18:$F$25,4,0)</f>
        <v>5.4185901183300744E-2</v>
      </c>
      <c r="F32" s="680">
        <f t="shared" ref="F32:F86" si="25">G32*10%+H32*20%+I32*30%+J32*40%</f>
        <v>8.9600000000000009</v>
      </c>
      <c r="G32" s="680">
        <f t="shared" ref="G32:G86" si="26">AVERAGE(K32:P32)</f>
        <v>12</v>
      </c>
      <c r="H32" s="679">
        <f t="shared" ref="H32:H86" si="27">AVERAGE(Q32:V32)</f>
        <v>9.5</v>
      </c>
      <c r="I32" s="679">
        <f t="shared" ref="I32:I86" si="28">AVERAGE(W32:AB32)</f>
        <v>11</v>
      </c>
      <c r="J32" s="679">
        <f t="shared" ref="J32:J86" si="29">AVERAGE(AC32:AG32)</f>
        <v>6.4</v>
      </c>
      <c r="K32" s="673">
        <v>8</v>
      </c>
      <c r="L32" s="673">
        <v>12</v>
      </c>
      <c r="M32" s="673">
        <v>19</v>
      </c>
      <c r="N32" s="673">
        <v>11</v>
      </c>
      <c r="O32" s="673">
        <v>11</v>
      </c>
      <c r="P32" s="673">
        <v>11</v>
      </c>
      <c r="Q32" s="673">
        <v>10</v>
      </c>
      <c r="R32" s="673">
        <v>10</v>
      </c>
      <c r="S32" s="673">
        <v>6</v>
      </c>
      <c r="T32" s="673">
        <v>14</v>
      </c>
      <c r="U32" s="673">
        <v>9</v>
      </c>
      <c r="V32" s="665">
        <v>8</v>
      </c>
      <c r="W32" s="665">
        <v>14</v>
      </c>
      <c r="X32" s="665">
        <v>10</v>
      </c>
      <c r="Y32" s="665">
        <v>10</v>
      </c>
      <c r="Z32" s="665">
        <v>9</v>
      </c>
      <c r="AA32" s="665">
        <v>10</v>
      </c>
      <c r="AB32" s="665">
        <v>13</v>
      </c>
      <c r="AC32" s="665">
        <v>6</v>
      </c>
      <c r="AD32" s="665">
        <v>5</v>
      </c>
      <c r="AE32" s="665">
        <v>7</v>
      </c>
      <c r="AF32" s="665">
        <v>8</v>
      </c>
      <c r="AG32" s="665">
        <v>6</v>
      </c>
      <c r="AH32" s="665"/>
    </row>
    <row r="33" spans="1:34">
      <c r="A33" s="658" t="s">
        <v>331</v>
      </c>
      <c r="B33" s="658" t="s">
        <v>346</v>
      </c>
      <c r="C33" s="681" t="s">
        <v>370</v>
      </c>
      <c r="D33" s="681" t="s">
        <v>371</v>
      </c>
      <c r="E33" s="691">
        <f t="shared" si="24"/>
        <v>0.14118975144636847</v>
      </c>
      <c r="F33" s="680">
        <f t="shared" si="25"/>
        <v>23.346666666666671</v>
      </c>
      <c r="G33" s="680">
        <f t="shared" si="26"/>
        <v>26</v>
      </c>
      <c r="H33" s="679">
        <f t="shared" si="27"/>
        <v>23.833333333333332</v>
      </c>
      <c r="I33" s="679">
        <f t="shared" si="28"/>
        <v>23.666666666666668</v>
      </c>
      <c r="J33" s="679">
        <f t="shared" si="29"/>
        <v>22.2</v>
      </c>
      <c r="K33" s="673">
        <v>30</v>
      </c>
      <c r="L33" s="673">
        <v>16</v>
      </c>
      <c r="M33" s="673">
        <v>36</v>
      </c>
      <c r="N33" s="673">
        <v>30</v>
      </c>
      <c r="O33" s="673">
        <v>27</v>
      </c>
      <c r="P33" s="673">
        <v>17</v>
      </c>
      <c r="Q33" s="673">
        <v>18</v>
      </c>
      <c r="R33" s="673">
        <v>37</v>
      </c>
      <c r="S33" s="673">
        <v>20</v>
      </c>
      <c r="T33" s="673">
        <v>25</v>
      </c>
      <c r="U33" s="673">
        <v>21</v>
      </c>
      <c r="V33" s="665">
        <v>22</v>
      </c>
      <c r="W33" s="665">
        <v>26</v>
      </c>
      <c r="X33" s="665">
        <v>22</v>
      </c>
      <c r="Y33" s="665">
        <v>23</v>
      </c>
      <c r="Z33" s="665">
        <v>14</v>
      </c>
      <c r="AA33" s="665">
        <v>30</v>
      </c>
      <c r="AB33" s="665">
        <v>27</v>
      </c>
      <c r="AC33" s="665">
        <v>21</v>
      </c>
      <c r="AD33" s="665">
        <v>17</v>
      </c>
      <c r="AE33" s="665">
        <v>28</v>
      </c>
      <c r="AF33" s="665">
        <v>20</v>
      </c>
      <c r="AG33" s="665">
        <v>25</v>
      </c>
      <c r="AH33" s="665"/>
    </row>
    <row r="34" spans="1:34">
      <c r="A34" s="658" t="s">
        <v>331</v>
      </c>
      <c r="B34" s="658" t="s">
        <v>346</v>
      </c>
      <c r="C34" s="681" t="s">
        <v>372</v>
      </c>
      <c r="D34" s="681" t="s">
        <v>373</v>
      </c>
      <c r="E34" s="691">
        <f t="shared" si="24"/>
        <v>8.3435805430685184E-2</v>
      </c>
      <c r="F34" s="680">
        <f t="shared" si="25"/>
        <v>13.796666666666667</v>
      </c>
      <c r="G34" s="680">
        <f t="shared" si="26"/>
        <v>18.5</v>
      </c>
      <c r="H34" s="679">
        <f t="shared" si="27"/>
        <v>15.833333333333334</v>
      </c>
      <c r="I34" s="679">
        <f t="shared" si="28"/>
        <v>15.666666666666666</v>
      </c>
      <c r="J34" s="679">
        <f t="shared" si="29"/>
        <v>10.199999999999999</v>
      </c>
      <c r="K34" s="673">
        <v>19</v>
      </c>
      <c r="L34" s="673">
        <v>18</v>
      </c>
      <c r="M34" s="673">
        <v>18</v>
      </c>
      <c r="N34" s="673">
        <v>20</v>
      </c>
      <c r="O34" s="673">
        <v>17</v>
      </c>
      <c r="P34" s="673">
        <v>19</v>
      </c>
      <c r="Q34" s="673">
        <v>17</v>
      </c>
      <c r="R34" s="673">
        <v>15</v>
      </c>
      <c r="S34" s="673">
        <v>13</v>
      </c>
      <c r="T34" s="673">
        <v>15</v>
      </c>
      <c r="U34" s="673">
        <v>15</v>
      </c>
      <c r="V34" s="665">
        <v>20</v>
      </c>
      <c r="W34" s="665">
        <v>16</v>
      </c>
      <c r="X34" s="665">
        <v>19</v>
      </c>
      <c r="Y34" s="665">
        <v>17</v>
      </c>
      <c r="Z34" s="665">
        <v>14</v>
      </c>
      <c r="AA34" s="665">
        <v>16</v>
      </c>
      <c r="AB34" s="665">
        <v>12</v>
      </c>
      <c r="AC34" s="665">
        <v>9</v>
      </c>
      <c r="AD34" s="665">
        <v>14</v>
      </c>
      <c r="AE34" s="665">
        <v>10</v>
      </c>
      <c r="AF34" s="665">
        <v>8</v>
      </c>
      <c r="AG34" s="665">
        <v>10</v>
      </c>
      <c r="AH34" s="665"/>
    </row>
    <row r="35" spans="1:34">
      <c r="A35" s="658" t="s">
        <v>331</v>
      </c>
      <c r="B35" s="658" t="s">
        <v>346</v>
      </c>
      <c r="C35" s="681" t="s">
        <v>374</v>
      </c>
      <c r="D35" s="681" t="s">
        <v>375</v>
      </c>
      <c r="E35" s="691">
        <f t="shared" si="24"/>
        <v>0.22117846271695524</v>
      </c>
      <c r="F35" s="680">
        <f t="shared" si="25"/>
        <v>36.573333333333331</v>
      </c>
      <c r="G35" s="680">
        <f t="shared" si="26"/>
        <v>40</v>
      </c>
      <c r="H35" s="679">
        <f t="shared" si="27"/>
        <v>34.166666666666664</v>
      </c>
      <c r="I35" s="679">
        <f t="shared" si="28"/>
        <v>39.666666666666664</v>
      </c>
      <c r="J35" s="679">
        <f t="shared" si="29"/>
        <v>34.6</v>
      </c>
      <c r="K35" s="673">
        <v>42</v>
      </c>
      <c r="L35" s="673">
        <v>40</v>
      </c>
      <c r="M35" s="673">
        <v>40</v>
      </c>
      <c r="N35" s="673">
        <v>45</v>
      </c>
      <c r="O35" s="673">
        <v>36</v>
      </c>
      <c r="P35" s="673">
        <v>37</v>
      </c>
      <c r="Q35" s="673">
        <v>42</v>
      </c>
      <c r="R35" s="673">
        <v>38</v>
      </c>
      <c r="S35" s="673">
        <v>21</v>
      </c>
      <c r="T35" s="673">
        <v>36</v>
      </c>
      <c r="U35" s="673">
        <v>35</v>
      </c>
      <c r="V35" s="665">
        <v>33</v>
      </c>
      <c r="W35" s="665">
        <v>37</v>
      </c>
      <c r="X35" s="665">
        <v>41</v>
      </c>
      <c r="Y35" s="665">
        <v>42</v>
      </c>
      <c r="Z35" s="665">
        <v>31</v>
      </c>
      <c r="AA35" s="665">
        <v>43</v>
      </c>
      <c r="AB35" s="665">
        <v>44</v>
      </c>
      <c r="AC35" s="665">
        <v>37</v>
      </c>
      <c r="AD35" s="665">
        <v>41</v>
      </c>
      <c r="AE35" s="665">
        <v>32</v>
      </c>
      <c r="AF35" s="665">
        <v>35</v>
      </c>
      <c r="AG35" s="665">
        <v>28</v>
      </c>
      <c r="AH35" s="665"/>
    </row>
    <row r="36" spans="1:34">
      <c r="A36" s="658" t="s">
        <v>376</v>
      </c>
      <c r="B36" s="658" t="s">
        <v>346</v>
      </c>
      <c r="C36" s="681" t="s">
        <v>377</v>
      </c>
      <c r="D36" s="681" t="s">
        <v>378</v>
      </c>
      <c r="E36" s="691">
        <f t="shared" si="24"/>
        <v>0.12907452577257242</v>
      </c>
      <c r="F36" s="680">
        <f t="shared" si="25"/>
        <v>21.343333333333334</v>
      </c>
      <c r="G36" s="680">
        <f t="shared" si="26"/>
        <v>17.333333333333332</v>
      </c>
      <c r="H36" s="679">
        <f t="shared" si="27"/>
        <v>23.5</v>
      </c>
      <c r="I36" s="679">
        <f t="shared" si="28"/>
        <v>23.833333333333332</v>
      </c>
      <c r="J36" s="679">
        <f t="shared" si="29"/>
        <v>19.399999999999999</v>
      </c>
      <c r="K36" s="673">
        <v>28</v>
      </c>
      <c r="L36" s="673">
        <v>13</v>
      </c>
      <c r="M36" s="673">
        <v>18</v>
      </c>
      <c r="N36" s="673">
        <v>19</v>
      </c>
      <c r="O36" s="673">
        <v>12</v>
      </c>
      <c r="P36" s="673">
        <v>14</v>
      </c>
      <c r="Q36" s="673">
        <v>27</v>
      </c>
      <c r="R36" s="673">
        <v>28</v>
      </c>
      <c r="S36" s="673">
        <v>18</v>
      </c>
      <c r="T36" s="673">
        <v>18</v>
      </c>
      <c r="U36" s="673">
        <v>26</v>
      </c>
      <c r="V36" s="665">
        <v>24</v>
      </c>
      <c r="W36" s="665">
        <v>32</v>
      </c>
      <c r="X36" s="665">
        <v>26</v>
      </c>
      <c r="Y36" s="665">
        <v>21</v>
      </c>
      <c r="Z36" s="665">
        <v>18</v>
      </c>
      <c r="AA36" s="665">
        <v>23</v>
      </c>
      <c r="AB36" s="665">
        <v>23</v>
      </c>
      <c r="AC36" s="665">
        <v>25</v>
      </c>
      <c r="AD36" s="665">
        <v>16</v>
      </c>
      <c r="AE36" s="665">
        <v>23</v>
      </c>
      <c r="AF36" s="665">
        <v>12</v>
      </c>
      <c r="AG36" s="665">
        <v>21</v>
      </c>
      <c r="AH36" s="665"/>
    </row>
    <row r="37" spans="1:34">
      <c r="A37" s="658" t="s">
        <v>331</v>
      </c>
      <c r="B37" s="658" t="s">
        <v>346</v>
      </c>
      <c r="C37" s="681" t="s">
        <v>379</v>
      </c>
      <c r="D37" s="681" t="s">
        <v>380</v>
      </c>
      <c r="E37" s="691">
        <f t="shared" si="24"/>
        <v>9.768782631483458E-2</v>
      </c>
      <c r="F37" s="680">
        <f t="shared" si="25"/>
        <v>16.153333333333332</v>
      </c>
      <c r="G37" s="680">
        <f t="shared" si="26"/>
        <v>19</v>
      </c>
      <c r="H37" s="679">
        <f t="shared" si="27"/>
        <v>16.666666666666668</v>
      </c>
      <c r="I37" s="679">
        <f t="shared" si="28"/>
        <v>18</v>
      </c>
      <c r="J37" s="679">
        <f t="shared" si="29"/>
        <v>13.8</v>
      </c>
      <c r="K37" s="673">
        <v>22</v>
      </c>
      <c r="L37" s="673">
        <v>19</v>
      </c>
      <c r="M37" s="673">
        <v>23</v>
      </c>
      <c r="N37" s="673">
        <v>21</v>
      </c>
      <c r="O37" s="673">
        <v>16</v>
      </c>
      <c r="P37" s="673">
        <v>13</v>
      </c>
      <c r="Q37" s="673">
        <v>19</v>
      </c>
      <c r="R37" s="673">
        <v>17</v>
      </c>
      <c r="S37" s="673">
        <v>10</v>
      </c>
      <c r="T37" s="673">
        <v>19</v>
      </c>
      <c r="U37" s="673">
        <v>16</v>
      </c>
      <c r="V37" s="665">
        <v>19</v>
      </c>
      <c r="W37" s="665">
        <v>19</v>
      </c>
      <c r="X37" s="665">
        <v>18</v>
      </c>
      <c r="Y37" s="665">
        <v>21</v>
      </c>
      <c r="Z37" s="665">
        <v>9</v>
      </c>
      <c r="AA37" s="665">
        <v>24</v>
      </c>
      <c r="AB37" s="665">
        <v>17</v>
      </c>
      <c r="AC37" s="665">
        <v>16</v>
      </c>
      <c r="AD37" s="665">
        <v>12</v>
      </c>
      <c r="AE37" s="665">
        <v>16</v>
      </c>
      <c r="AF37" s="665">
        <v>16</v>
      </c>
      <c r="AG37" s="665">
        <v>9</v>
      </c>
      <c r="AH37" s="665"/>
    </row>
    <row r="38" spans="1:34">
      <c r="A38" s="658" t="s">
        <v>331</v>
      </c>
      <c r="B38" s="658" t="s">
        <v>346</v>
      </c>
      <c r="C38" s="681" t="s">
        <v>381</v>
      </c>
      <c r="D38" s="681" t="s">
        <v>382</v>
      </c>
      <c r="E38" s="691">
        <f t="shared" si="24"/>
        <v>0.16281976333985124</v>
      </c>
      <c r="F38" s="680">
        <f t="shared" si="25"/>
        <v>26.923333333333339</v>
      </c>
      <c r="G38" s="680">
        <f t="shared" si="26"/>
        <v>23.166666666666668</v>
      </c>
      <c r="H38" s="679">
        <f t="shared" si="27"/>
        <v>25.333333333333332</v>
      </c>
      <c r="I38" s="679">
        <f t="shared" si="28"/>
        <v>32.333333333333336</v>
      </c>
      <c r="J38" s="679">
        <f t="shared" si="29"/>
        <v>24.6</v>
      </c>
      <c r="K38" s="673">
        <v>36</v>
      </c>
      <c r="L38" s="673">
        <v>14</v>
      </c>
      <c r="M38" s="673">
        <v>23</v>
      </c>
      <c r="N38" s="673">
        <v>24</v>
      </c>
      <c r="O38" s="673">
        <v>22</v>
      </c>
      <c r="P38" s="673">
        <v>20</v>
      </c>
      <c r="Q38" s="673">
        <v>21</v>
      </c>
      <c r="R38" s="673">
        <v>30</v>
      </c>
      <c r="S38" s="673">
        <v>22</v>
      </c>
      <c r="T38" s="673">
        <v>26</v>
      </c>
      <c r="U38" s="673">
        <v>24</v>
      </c>
      <c r="V38" s="665">
        <v>29</v>
      </c>
      <c r="W38" s="665">
        <v>37</v>
      </c>
      <c r="X38" s="665">
        <v>32</v>
      </c>
      <c r="Y38" s="665">
        <v>35</v>
      </c>
      <c r="Z38" s="665">
        <v>28</v>
      </c>
      <c r="AA38" s="665">
        <v>35</v>
      </c>
      <c r="AB38" s="665">
        <v>27</v>
      </c>
      <c r="AC38" s="665">
        <v>23</v>
      </c>
      <c r="AD38" s="665">
        <v>30</v>
      </c>
      <c r="AE38" s="665">
        <v>21</v>
      </c>
      <c r="AF38" s="665">
        <v>26</v>
      </c>
      <c r="AG38" s="665">
        <v>23</v>
      </c>
      <c r="AH38" s="665"/>
    </row>
    <row r="39" spans="1:34">
      <c r="A39" s="658" t="s">
        <v>331</v>
      </c>
      <c r="B39" s="658" t="s">
        <v>357</v>
      </c>
      <c r="C39" s="681" t="s">
        <v>383</v>
      </c>
      <c r="D39" s="681" t="s">
        <v>384</v>
      </c>
      <c r="E39" s="691">
        <f t="shared" si="24"/>
        <v>0.3438539142196923</v>
      </c>
      <c r="F39" s="680">
        <f t="shared" si="25"/>
        <v>20.336666666666666</v>
      </c>
      <c r="G39" s="680">
        <f t="shared" si="26"/>
        <v>17.166666666666668</v>
      </c>
      <c r="H39" s="679">
        <f t="shared" si="27"/>
        <v>16.5</v>
      </c>
      <c r="I39" s="679">
        <f t="shared" si="28"/>
        <v>22</v>
      </c>
      <c r="J39" s="679">
        <f t="shared" si="29"/>
        <v>21.8</v>
      </c>
      <c r="K39" s="673">
        <v>21</v>
      </c>
      <c r="L39" s="673">
        <v>12</v>
      </c>
      <c r="M39" s="673">
        <v>17</v>
      </c>
      <c r="N39" s="673">
        <v>17</v>
      </c>
      <c r="O39" s="673">
        <v>20</v>
      </c>
      <c r="P39" s="673">
        <v>16</v>
      </c>
      <c r="Q39" s="673">
        <v>13</v>
      </c>
      <c r="R39" s="673">
        <v>15</v>
      </c>
      <c r="S39" s="673">
        <v>19</v>
      </c>
      <c r="T39" s="673">
        <v>18</v>
      </c>
      <c r="U39" s="673">
        <v>17</v>
      </c>
      <c r="V39" s="665">
        <v>17</v>
      </c>
      <c r="W39" s="665">
        <v>22</v>
      </c>
      <c r="X39" s="665">
        <v>19</v>
      </c>
      <c r="Y39" s="665">
        <v>26</v>
      </c>
      <c r="Z39" s="665">
        <v>17</v>
      </c>
      <c r="AA39" s="665">
        <v>25</v>
      </c>
      <c r="AB39" s="665">
        <v>23</v>
      </c>
      <c r="AC39" s="665">
        <v>23</v>
      </c>
      <c r="AD39" s="665">
        <v>25</v>
      </c>
      <c r="AE39" s="665">
        <v>24</v>
      </c>
      <c r="AF39" s="665">
        <v>16</v>
      </c>
      <c r="AG39" s="665">
        <v>21</v>
      </c>
      <c r="AH39" s="665"/>
    </row>
    <row r="40" spans="1:34">
      <c r="A40" s="658" t="s">
        <v>331</v>
      </c>
      <c r="B40" s="658" t="s">
        <v>357</v>
      </c>
      <c r="C40" s="681" t="s">
        <v>385</v>
      </c>
      <c r="D40" s="681" t="s">
        <v>386</v>
      </c>
      <c r="E40" s="691">
        <f t="shared" si="24"/>
        <v>0.29842754889252099</v>
      </c>
      <c r="F40" s="680">
        <f t="shared" si="25"/>
        <v>17.649999999999999</v>
      </c>
      <c r="G40" s="680">
        <f t="shared" si="26"/>
        <v>16.666666666666668</v>
      </c>
      <c r="H40" s="679">
        <f t="shared" si="27"/>
        <v>14.666666666666666</v>
      </c>
      <c r="I40" s="679">
        <f t="shared" si="28"/>
        <v>19.5</v>
      </c>
      <c r="J40" s="679">
        <f t="shared" si="29"/>
        <v>18</v>
      </c>
      <c r="K40" s="673">
        <v>18</v>
      </c>
      <c r="L40" s="673">
        <v>21</v>
      </c>
      <c r="M40" s="673">
        <v>18</v>
      </c>
      <c r="N40" s="673">
        <v>16</v>
      </c>
      <c r="O40" s="673">
        <v>14</v>
      </c>
      <c r="P40" s="673">
        <v>13</v>
      </c>
      <c r="Q40" s="673">
        <v>10</v>
      </c>
      <c r="R40" s="673">
        <v>14</v>
      </c>
      <c r="S40" s="673">
        <v>16</v>
      </c>
      <c r="T40" s="673">
        <v>16</v>
      </c>
      <c r="U40" s="673">
        <v>18</v>
      </c>
      <c r="V40" s="665">
        <v>14</v>
      </c>
      <c r="W40" s="665">
        <v>18</v>
      </c>
      <c r="X40" s="665">
        <v>21</v>
      </c>
      <c r="Y40" s="665">
        <v>18</v>
      </c>
      <c r="Z40" s="665">
        <v>16</v>
      </c>
      <c r="AA40" s="665">
        <v>22</v>
      </c>
      <c r="AB40" s="665">
        <v>22</v>
      </c>
      <c r="AC40" s="665">
        <v>23</v>
      </c>
      <c r="AD40" s="665">
        <v>17</v>
      </c>
      <c r="AE40" s="665">
        <v>20</v>
      </c>
      <c r="AF40" s="665">
        <v>15</v>
      </c>
      <c r="AG40" s="665">
        <v>15</v>
      </c>
      <c r="AH40" s="665"/>
    </row>
    <row r="41" spans="1:34">
      <c r="A41" s="658" t="s">
        <v>331</v>
      </c>
      <c r="B41" s="658" t="s">
        <v>357</v>
      </c>
      <c r="C41" s="681" t="s">
        <v>387</v>
      </c>
      <c r="D41" s="681" t="s">
        <v>388</v>
      </c>
      <c r="E41" s="691">
        <f t="shared" si="24"/>
        <v>0.35771853688778676</v>
      </c>
      <c r="F41" s="680">
        <f t="shared" si="25"/>
        <v>21.156666666666666</v>
      </c>
      <c r="G41" s="680">
        <f t="shared" si="26"/>
        <v>16.333333333333332</v>
      </c>
      <c r="H41" s="679">
        <f t="shared" si="27"/>
        <v>17.166666666666668</v>
      </c>
      <c r="I41" s="679">
        <f t="shared" si="28"/>
        <v>26.166666666666668</v>
      </c>
      <c r="J41" s="679">
        <f t="shared" si="29"/>
        <v>20.6</v>
      </c>
      <c r="K41" s="673">
        <v>21</v>
      </c>
      <c r="L41" s="673">
        <v>20</v>
      </c>
      <c r="M41" s="673">
        <v>14</v>
      </c>
      <c r="N41" s="673">
        <v>16</v>
      </c>
      <c r="O41" s="673">
        <v>15</v>
      </c>
      <c r="P41" s="673">
        <v>12</v>
      </c>
      <c r="Q41" s="673">
        <v>9</v>
      </c>
      <c r="R41" s="673">
        <v>16</v>
      </c>
      <c r="S41" s="673">
        <v>19</v>
      </c>
      <c r="T41" s="673">
        <v>20</v>
      </c>
      <c r="U41" s="673">
        <v>21</v>
      </c>
      <c r="V41" s="665">
        <v>18</v>
      </c>
      <c r="W41" s="665">
        <v>28</v>
      </c>
      <c r="X41" s="665">
        <v>36</v>
      </c>
      <c r="Y41" s="665">
        <v>23</v>
      </c>
      <c r="Z41" s="665">
        <v>25</v>
      </c>
      <c r="AA41" s="665">
        <v>19</v>
      </c>
      <c r="AB41" s="665">
        <v>26</v>
      </c>
      <c r="AC41" s="665">
        <v>20</v>
      </c>
      <c r="AD41" s="665">
        <v>27</v>
      </c>
      <c r="AE41" s="665">
        <v>20</v>
      </c>
      <c r="AF41" s="665">
        <v>24</v>
      </c>
      <c r="AG41" s="665">
        <v>12</v>
      </c>
      <c r="AH41" s="665"/>
    </row>
    <row r="42" spans="1:34">
      <c r="A42" s="658" t="s">
        <v>332</v>
      </c>
      <c r="B42" s="658" t="s">
        <v>358</v>
      </c>
      <c r="C42" s="681" t="s">
        <v>389</v>
      </c>
      <c r="D42" s="681" t="s">
        <v>348</v>
      </c>
      <c r="E42" s="691">
        <f t="shared" si="24"/>
        <v>0.16522590115804925</v>
      </c>
      <c r="F42" s="680">
        <f t="shared" si="25"/>
        <v>30.39</v>
      </c>
      <c r="G42" s="680">
        <f t="shared" si="26"/>
        <v>33.5</v>
      </c>
      <c r="H42" s="679">
        <f t="shared" si="27"/>
        <v>31.5</v>
      </c>
      <c r="I42" s="679">
        <f t="shared" si="28"/>
        <v>31</v>
      </c>
      <c r="J42" s="679">
        <f t="shared" si="29"/>
        <v>28.6</v>
      </c>
      <c r="K42" s="673">
        <v>36</v>
      </c>
      <c r="L42" s="673">
        <v>26</v>
      </c>
      <c r="M42" s="673">
        <v>38</v>
      </c>
      <c r="N42" s="673">
        <v>34</v>
      </c>
      <c r="O42" s="673">
        <v>36</v>
      </c>
      <c r="P42" s="673">
        <v>31</v>
      </c>
      <c r="Q42" s="673">
        <v>36</v>
      </c>
      <c r="R42" s="673">
        <v>33</v>
      </c>
      <c r="S42" s="673">
        <v>26</v>
      </c>
      <c r="T42" s="673">
        <v>32</v>
      </c>
      <c r="U42" s="673">
        <v>33</v>
      </c>
      <c r="V42" s="665">
        <v>29</v>
      </c>
      <c r="W42" s="665">
        <v>34</v>
      </c>
      <c r="X42" s="665">
        <v>29</v>
      </c>
      <c r="Y42" s="665">
        <v>37</v>
      </c>
      <c r="Z42" s="665">
        <v>24</v>
      </c>
      <c r="AA42" s="665">
        <v>27</v>
      </c>
      <c r="AB42" s="665">
        <v>35</v>
      </c>
      <c r="AC42" s="665">
        <v>30</v>
      </c>
      <c r="AD42" s="665">
        <v>34</v>
      </c>
      <c r="AE42" s="665">
        <v>34</v>
      </c>
      <c r="AF42" s="665">
        <v>23</v>
      </c>
      <c r="AG42" s="665">
        <v>22</v>
      </c>
      <c r="AH42" s="665"/>
    </row>
    <row r="43" spans="1:34">
      <c r="A43" s="658" t="s">
        <v>332</v>
      </c>
      <c r="B43" s="658" t="s">
        <v>358</v>
      </c>
      <c r="C43" s="681" t="s">
        <v>390</v>
      </c>
      <c r="D43" s="681" t="s">
        <v>391</v>
      </c>
      <c r="E43" s="691">
        <f t="shared" si="24"/>
        <v>0.11741785824317222</v>
      </c>
      <c r="F43" s="680">
        <f t="shared" si="25"/>
        <v>21.596666666666668</v>
      </c>
      <c r="G43" s="680">
        <f t="shared" si="26"/>
        <v>23</v>
      </c>
      <c r="H43" s="679">
        <f t="shared" si="27"/>
        <v>23.333333333333332</v>
      </c>
      <c r="I43" s="679">
        <f t="shared" si="28"/>
        <v>23.166666666666668</v>
      </c>
      <c r="J43" s="679">
        <f t="shared" si="29"/>
        <v>19.2</v>
      </c>
      <c r="K43" s="673">
        <v>29</v>
      </c>
      <c r="L43" s="673">
        <v>18</v>
      </c>
      <c r="M43" s="673">
        <v>25</v>
      </c>
      <c r="N43" s="673">
        <v>20</v>
      </c>
      <c r="O43" s="673">
        <v>25</v>
      </c>
      <c r="P43" s="673">
        <v>21</v>
      </c>
      <c r="Q43" s="673">
        <v>29</v>
      </c>
      <c r="R43" s="673">
        <v>23</v>
      </c>
      <c r="S43" s="673">
        <v>18</v>
      </c>
      <c r="T43" s="673">
        <v>22</v>
      </c>
      <c r="U43" s="673">
        <v>23</v>
      </c>
      <c r="V43" s="665">
        <v>25</v>
      </c>
      <c r="W43" s="665">
        <v>23</v>
      </c>
      <c r="X43" s="665">
        <v>24</v>
      </c>
      <c r="Y43" s="665">
        <v>25</v>
      </c>
      <c r="Z43" s="665">
        <v>22</v>
      </c>
      <c r="AA43" s="665">
        <v>21</v>
      </c>
      <c r="AB43" s="665">
        <v>24</v>
      </c>
      <c r="AC43" s="665">
        <v>20</v>
      </c>
      <c r="AD43" s="665">
        <v>23</v>
      </c>
      <c r="AE43" s="665">
        <v>18</v>
      </c>
      <c r="AF43" s="665">
        <v>20</v>
      </c>
      <c r="AG43" s="665">
        <v>15</v>
      </c>
      <c r="AH43" s="665"/>
    </row>
    <row r="44" spans="1:34">
      <c r="A44" s="658" t="s">
        <v>332</v>
      </c>
      <c r="B44" s="658" t="s">
        <v>358</v>
      </c>
      <c r="C44" s="681" t="s">
        <v>392</v>
      </c>
      <c r="D44" s="681" t="s">
        <v>393</v>
      </c>
      <c r="E44" s="691">
        <f t="shared" si="24"/>
        <v>0.15346418021348704</v>
      </c>
      <c r="F44" s="680">
        <f t="shared" si="25"/>
        <v>28.22666666666667</v>
      </c>
      <c r="G44" s="680">
        <f t="shared" si="26"/>
        <v>35.333333333333336</v>
      </c>
      <c r="H44" s="679">
        <f t="shared" si="27"/>
        <v>27.666666666666668</v>
      </c>
      <c r="I44" s="679">
        <f t="shared" si="28"/>
        <v>30</v>
      </c>
      <c r="J44" s="679">
        <f t="shared" si="29"/>
        <v>25.4</v>
      </c>
      <c r="K44" s="673">
        <v>32</v>
      </c>
      <c r="L44" s="673">
        <v>35</v>
      </c>
      <c r="M44" s="673">
        <v>42</v>
      </c>
      <c r="N44" s="673">
        <v>33</v>
      </c>
      <c r="O44" s="673">
        <v>40</v>
      </c>
      <c r="P44" s="673">
        <v>30</v>
      </c>
      <c r="Q44" s="673">
        <v>27</v>
      </c>
      <c r="R44" s="673">
        <v>24</v>
      </c>
      <c r="S44" s="673">
        <v>18</v>
      </c>
      <c r="T44" s="673">
        <v>34</v>
      </c>
      <c r="U44" s="673">
        <v>35</v>
      </c>
      <c r="V44" s="665">
        <v>28</v>
      </c>
      <c r="W44" s="665">
        <v>24</v>
      </c>
      <c r="X44" s="665">
        <v>34</v>
      </c>
      <c r="Y44" s="665">
        <v>33</v>
      </c>
      <c r="Z44" s="665">
        <v>23</v>
      </c>
      <c r="AA44" s="665">
        <v>32</v>
      </c>
      <c r="AB44" s="665">
        <v>34</v>
      </c>
      <c r="AC44" s="665">
        <v>31</v>
      </c>
      <c r="AD44" s="665">
        <v>24</v>
      </c>
      <c r="AE44" s="665">
        <v>28</v>
      </c>
      <c r="AF44" s="665">
        <v>21</v>
      </c>
      <c r="AG44" s="665">
        <v>23</v>
      </c>
      <c r="AH44" s="665"/>
    </row>
    <row r="45" spans="1:34">
      <c r="A45" s="658" t="s">
        <v>394</v>
      </c>
      <c r="B45" s="658" t="s">
        <v>358</v>
      </c>
      <c r="C45" s="681" t="s">
        <v>395</v>
      </c>
      <c r="D45" s="681" t="s">
        <v>396</v>
      </c>
      <c r="E45" s="691">
        <f t="shared" si="24"/>
        <v>0.12031751209699343</v>
      </c>
      <c r="F45" s="680">
        <f t="shared" si="25"/>
        <v>22.130000000000003</v>
      </c>
      <c r="G45" s="680">
        <f t="shared" si="26"/>
        <v>20.833333333333332</v>
      </c>
      <c r="H45" s="679">
        <f t="shared" si="27"/>
        <v>20.333333333333332</v>
      </c>
      <c r="I45" s="679">
        <f t="shared" si="28"/>
        <v>23.666666666666668</v>
      </c>
      <c r="J45" s="679">
        <f t="shared" si="29"/>
        <v>22.2</v>
      </c>
      <c r="K45" s="673">
        <v>18</v>
      </c>
      <c r="L45" s="673">
        <v>20</v>
      </c>
      <c r="M45" s="673">
        <v>28</v>
      </c>
      <c r="N45" s="673">
        <v>17</v>
      </c>
      <c r="O45" s="673">
        <v>21</v>
      </c>
      <c r="P45" s="673">
        <v>21</v>
      </c>
      <c r="Q45" s="673">
        <v>24</v>
      </c>
      <c r="R45" s="673">
        <v>22</v>
      </c>
      <c r="S45" s="673">
        <v>14</v>
      </c>
      <c r="T45" s="673">
        <v>20</v>
      </c>
      <c r="U45" s="673">
        <v>21</v>
      </c>
      <c r="V45" s="665">
        <v>21</v>
      </c>
      <c r="W45" s="665">
        <v>23</v>
      </c>
      <c r="X45" s="665">
        <v>28</v>
      </c>
      <c r="Y45" s="665">
        <v>29</v>
      </c>
      <c r="Z45" s="665">
        <v>18</v>
      </c>
      <c r="AA45" s="665">
        <v>21</v>
      </c>
      <c r="AB45" s="665">
        <v>23</v>
      </c>
      <c r="AC45" s="665">
        <v>23</v>
      </c>
      <c r="AD45" s="665">
        <v>27</v>
      </c>
      <c r="AE45" s="665">
        <v>25</v>
      </c>
      <c r="AF45" s="665">
        <v>20</v>
      </c>
      <c r="AG45" s="665">
        <v>16</v>
      </c>
      <c r="AH45" s="665"/>
    </row>
    <row r="46" spans="1:34">
      <c r="A46" s="658" t="s">
        <v>332</v>
      </c>
      <c r="B46" s="658" t="s">
        <v>358</v>
      </c>
      <c r="C46" s="681" t="s">
        <v>397</v>
      </c>
      <c r="D46" s="681" t="s">
        <v>398</v>
      </c>
      <c r="E46" s="691">
        <f t="shared" si="24"/>
        <v>0.11319523731854511</v>
      </c>
      <c r="F46" s="680">
        <f t="shared" si="25"/>
        <v>20.820000000000004</v>
      </c>
      <c r="G46" s="680">
        <f t="shared" si="26"/>
        <v>22.666666666666668</v>
      </c>
      <c r="H46" s="679">
        <f t="shared" si="27"/>
        <v>22.166666666666668</v>
      </c>
      <c r="I46" s="679">
        <f t="shared" si="28"/>
        <v>20.666666666666668</v>
      </c>
      <c r="J46" s="679">
        <f t="shared" si="29"/>
        <v>19.8</v>
      </c>
      <c r="K46" s="673">
        <v>18</v>
      </c>
      <c r="L46" s="673">
        <v>22</v>
      </c>
      <c r="M46" s="673">
        <v>27</v>
      </c>
      <c r="N46" s="673">
        <v>25</v>
      </c>
      <c r="O46" s="673">
        <v>24</v>
      </c>
      <c r="P46" s="673">
        <v>20</v>
      </c>
      <c r="Q46" s="673">
        <v>18</v>
      </c>
      <c r="R46" s="673">
        <v>22</v>
      </c>
      <c r="S46" s="673">
        <v>16</v>
      </c>
      <c r="T46" s="673">
        <v>26</v>
      </c>
      <c r="U46" s="673">
        <v>26</v>
      </c>
      <c r="V46" s="665">
        <v>25</v>
      </c>
      <c r="W46" s="665">
        <v>23</v>
      </c>
      <c r="X46" s="665">
        <v>20</v>
      </c>
      <c r="Y46" s="665">
        <v>16</v>
      </c>
      <c r="Z46" s="665">
        <v>16</v>
      </c>
      <c r="AA46" s="665">
        <v>20</v>
      </c>
      <c r="AB46" s="665">
        <v>29</v>
      </c>
      <c r="AC46" s="665">
        <v>26</v>
      </c>
      <c r="AD46" s="665">
        <v>24</v>
      </c>
      <c r="AE46" s="665">
        <v>23</v>
      </c>
      <c r="AF46" s="665">
        <v>15</v>
      </c>
      <c r="AG46" s="665">
        <v>11</v>
      </c>
      <c r="AH46" s="665"/>
    </row>
    <row r="47" spans="1:34">
      <c r="A47" s="658" t="s">
        <v>332</v>
      </c>
      <c r="B47" s="658" t="s">
        <v>358</v>
      </c>
      <c r="C47" s="681" t="s">
        <v>399</v>
      </c>
      <c r="D47" s="681" t="s">
        <v>400</v>
      </c>
      <c r="E47" s="691">
        <f t="shared" si="24"/>
        <v>0.15437032204280612</v>
      </c>
      <c r="F47" s="680">
        <f t="shared" si="25"/>
        <v>28.393333333333331</v>
      </c>
      <c r="G47" s="680">
        <f t="shared" si="26"/>
        <v>35.666666666666664</v>
      </c>
      <c r="H47" s="679">
        <f t="shared" si="27"/>
        <v>27.833333333333332</v>
      </c>
      <c r="I47" s="679">
        <f t="shared" si="28"/>
        <v>26.333333333333332</v>
      </c>
      <c r="J47" s="679">
        <f t="shared" si="29"/>
        <v>28.4</v>
      </c>
      <c r="K47" s="673">
        <v>42</v>
      </c>
      <c r="L47" s="673">
        <v>30</v>
      </c>
      <c r="M47" s="673">
        <v>37</v>
      </c>
      <c r="N47" s="673">
        <v>42</v>
      </c>
      <c r="O47" s="673">
        <v>36</v>
      </c>
      <c r="P47" s="673">
        <v>27</v>
      </c>
      <c r="Q47" s="673">
        <v>34</v>
      </c>
      <c r="R47" s="673">
        <v>31</v>
      </c>
      <c r="S47" s="673">
        <v>19</v>
      </c>
      <c r="T47" s="673">
        <v>30</v>
      </c>
      <c r="U47" s="673">
        <v>26</v>
      </c>
      <c r="V47" s="665">
        <v>27</v>
      </c>
      <c r="W47" s="665">
        <v>24</v>
      </c>
      <c r="X47" s="665">
        <v>29</v>
      </c>
      <c r="Y47" s="665">
        <v>29</v>
      </c>
      <c r="Z47" s="665">
        <v>24</v>
      </c>
      <c r="AA47" s="665">
        <v>24</v>
      </c>
      <c r="AB47" s="665">
        <v>28</v>
      </c>
      <c r="AC47" s="665">
        <v>27</v>
      </c>
      <c r="AD47" s="665">
        <v>33</v>
      </c>
      <c r="AE47" s="665">
        <v>32</v>
      </c>
      <c r="AF47" s="665">
        <v>23</v>
      </c>
      <c r="AG47" s="665">
        <v>27</v>
      </c>
      <c r="AH47" s="665"/>
    </row>
    <row r="48" spans="1:34">
      <c r="A48" s="658" t="s">
        <v>332</v>
      </c>
      <c r="B48" s="658" t="s">
        <v>358</v>
      </c>
      <c r="C48" s="681" t="s">
        <v>401</v>
      </c>
      <c r="D48" s="681" t="s">
        <v>402</v>
      </c>
      <c r="E48" s="691">
        <f t="shared" si="24"/>
        <v>0.10844705413291288</v>
      </c>
      <c r="F48" s="680">
        <f t="shared" si="25"/>
        <v>19.946666666666665</v>
      </c>
      <c r="G48" s="680">
        <f t="shared" si="26"/>
        <v>21.666666666666668</v>
      </c>
      <c r="H48" s="679">
        <f t="shared" si="27"/>
        <v>16</v>
      </c>
      <c r="I48" s="679">
        <f t="shared" si="28"/>
        <v>21.666666666666668</v>
      </c>
      <c r="J48" s="679">
        <f t="shared" si="29"/>
        <v>20.2</v>
      </c>
      <c r="K48" s="673">
        <v>24</v>
      </c>
      <c r="L48" s="673">
        <v>16</v>
      </c>
      <c r="M48" s="673">
        <v>25</v>
      </c>
      <c r="N48" s="673">
        <v>18</v>
      </c>
      <c r="O48" s="673">
        <v>26</v>
      </c>
      <c r="P48" s="673">
        <v>21</v>
      </c>
      <c r="Q48" s="673">
        <v>18</v>
      </c>
      <c r="R48" s="673">
        <v>11</v>
      </c>
      <c r="S48" s="673">
        <v>16</v>
      </c>
      <c r="T48" s="673">
        <v>15</v>
      </c>
      <c r="U48" s="673">
        <v>18</v>
      </c>
      <c r="V48" s="665">
        <v>18</v>
      </c>
      <c r="W48" s="665">
        <v>17</v>
      </c>
      <c r="X48" s="665">
        <v>17</v>
      </c>
      <c r="Y48" s="665">
        <v>24</v>
      </c>
      <c r="Z48" s="665">
        <v>17</v>
      </c>
      <c r="AA48" s="665">
        <v>26</v>
      </c>
      <c r="AB48" s="665">
        <v>29</v>
      </c>
      <c r="AC48" s="665">
        <v>19</v>
      </c>
      <c r="AD48" s="665">
        <v>27</v>
      </c>
      <c r="AE48" s="665">
        <v>18</v>
      </c>
      <c r="AF48" s="665">
        <v>15</v>
      </c>
      <c r="AG48" s="665">
        <v>22</v>
      </c>
      <c r="AH48" s="665"/>
    </row>
    <row r="49" spans="1:34">
      <c r="A49" s="658" t="s">
        <v>332</v>
      </c>
      <c r="B49" s="658" t="s">
        <v>358</v>
      </c>
      <c r="C49" s="681" t="s">
        <v>403</v>
      </c>
      <c r="D49" s="681" t="s">
        <v>404</v>
      </c>
      <c r="E49" s="691">
        <f t="shared" si="24"/>
        <v>6.7561934794033968E-2</v>
      </c>
      <c r="F49" s="680">
        <f t="shared" si="25"/>
        <v>12.426666666666668</v>
      </c>
      <c r="G49" s="680">
        <f t="shared" si="26"/>
        <v>11.166666666666666</v>
      </c>
      <c r="H49" s="679">
        <f t="shared" si="27"/>
        <v>11</v>
      </c>
      <c r="I49" s="679">
        <f t="shared" si="28"/>
        <v>15.166666666666666</v>
      </c>
      <c r="J49" s="679">
        <f t="shared" si="29"/>
        <v>11.4</v>
      </c>
      <c r="K49" s="673">
        <v>9</v>
      </c>
      <c r="L49" s="673">
        <v>11</v>
      </c>
      <c r="M49" s="673">
        <v>14</v>
      </c>
      <c r="N49" s="673">
        <v>12</v>
      </c>
      <c r="O49" s="673">
        <v>11</v>
      </c>
      <c r="P49" s="673">
        <v>10</v>
      </c>
      <c r="Q49" s="673">
        <v>10</v>
      </c>
      <c r="R49" s="673">
        <v>11</v>
      </c>
      <c r="S49" s="673">
        <v>6</v>
      </c>
      <c r="T49" s="673">
        <v>11</v>
      </c>
      <c r="U49" s="673">
        <v>14</v>
      </c>
      <c r="V49" s="665">
        <v>14</v>
      </c>
      <c r="W49" s="665">
        <v>25</v>
      </c>
      <c r="X49" s="665">
        <v>14</v>
      </c>
      <c r="Y49" s="665">
        <v>11</v>
      </c>
      <c r="Z49" s="665">
        <v>10</v>
      </c>
      <c r="AA49" s="665">
        <v>18</v>
      </c>
      <c r="AB49" s="665">
        <v>13</v>
      </c>
      <c r="AC49" s="665">
        <v>11</v>
      </c>
      <c r="AD49" s="665">
        <v>14</v>
      </c>
      <c r="AE49" s="665">
        <v>14</v>
      </c>
      <c r="AF49" s="665">
        <v>11</v>
      </c>
      <c r="AG49" s="665">
        <v>7</v>
      </c>
      <c r="AH49" s="665"/>
    </row>
    <row r="50" spans="1:34">
      <c r="A50" s="658" t="s">
        <v>332</v>
      </c>
      <c r="B50" s="658" t="s">
        <v>353</v>
      </c>
      <c r="C50" s="681" t="s">
        <v>405</v>
      </c>
      <c r="D50" s="681" t="s">
        <v>406</v>
      </c>
      <c r="E50" s="691">
        <f t="shared" si="24"/>
        <v>0.11799447097260621</v>
      </c>
      <c r="F50" s="680">
        <f t="shared" si="25"/>
        <v>21.910000000000004</v>
      </c>
      <c r="G50" s="680">
        <f t="shared" si="26"/>
        <v>20.166666666666668</v>
      </c>
      <c r="H50" s="679">
        <f t="shared" si="27"/>
        <v>21.666666666666668</v>
      </c>
      <c r="I50" s="679">
        <f t="shared" si="28"/>
        <v>23.333333333333332</v>
      </c>
      <c r="J50" s="679">
        <f t="shared" si="29"/>
        <v>21.4</v>
      </c>
      <c r="K50" s="673">
        <v>28</v>
      </c>
      <c r="L50" s="673">
        <v>19</v>
      </c>
      <c r="M50" s="673">
        <v>22</v>
      </c>
      <c r="N50" s="673">
        <v>17</v>
      </c>
      <c r="O50" s="673">
        <v>21</v>
      </c>
      <c r="P50" s="673">
        <v>14</v>
      </c>
      <c r="Q50" s="673">
        <v>25</v>
      </c>
      <c r="R50" s="673">
        <v>18</v>
      </c>
      <c r="S50" s="673">
        <v>19</v>
      </c>
      <c r="T50" s="673">
        <v>22</v>
      </c>
      <c r="U50" s="673">
        <v>23</v>
      </c>
      <c r="V50" s="665">
        <v>23</v>
      </c>
      <c r="W50" s="665">
        <v>24</v>
      </c>
      <c r="X50" s="665">
        <v>22</v>
      </c>
      <c r="Y50" s="665">
        <v>33</v>
      </c>
      <c r="Z50" s="665">
        <v>16</v>
      </c>
      <c r="AA50" s="665">
        <v>20</v>
      </c>
      <c r="AB50" s="665">
        <v>25</v>
      </c>
      <c r="AC50" s="665">
        <v>24</v>
      </c>
      <c r="AD50" s="665">
        <v>25</v>
      </c>
      <c r="AE50" s="665">
        <v>28</v>
      </c>
      <c r="AF50" s="665">
        <v>17</v>
      </c>
      <c r="AG50" s="665">
        <v>13</v>
      </c>
      <c r="AH50" s="665"/>
    </row>
    <row r="51" spans="1:34">
      <c r="A51" s="658" t="s">
        <v>332</v>
      </c>
      <c r="B51" s="658" t="s">
        <v>353</v>
      </c>
      <c r="C51" s="681" t="s">
        <v>407</v>
      </c>
      <c r="D51" s="681" t="s">
        <v>408</v>
      </c>
      <c r="E51" s="691">
        <f t="shared" si="24"/>
        <v>0.12208738735504256</v>
      </c>
      <c r="F51" s="680">
        <f t="shared" si="25"/>
        <v>22.67</v>
      </c>
      <c r="G51" s="680">
        <f t="shared" si="26"/>
        <v>16.5</v>
      </c>
      <c r="H51" s="679">
        <f t="shared" si="27"/>
        <v>19</v>
      </c>
      <c r="I51" s="679">
        <f t="shared" si="28"/>
        <v>21.666666666666668</v>
      </c>
      <c r="J51" s="679">
        <f t="shared" si="29"/>
        <v>26.8</v>
      </c>
      <c r="K51" s="673">
        <v>16</v>
      </c>
      <c r="L51" s="673">
        <v>17</v>
      </c>
      <c r="M51" s="673">
        <v>19</v>
      </c>
      <c r="N51" s="673">
        <v>19</v>
      </c>
      <c r="O51" s="673">
        <v>15</v>
      </c>
      <c r="P51" s="673">
        <v>13</v>
      </c>
      <c r="Q51" s="673">
        <v>24</v>
      </c>
      <c r="R51" s="673">
        <v>22</v>
      </c>
      <c r="S51" s="673">
        <v>11</v>
      </c>
      <c r="T51" s="673">
        <v>19</v>
      </c>
      <c r="U51" s="673">
        <v>21</v>
      </c>
      <c r="V51" s="665">
        <v>17</v>
      </c>
      <c r="W51" s="665">
        <v>27</v>
      </c>
      <c r="X51" s="665">
        <v>17</v>
      </c>
      <c r="Y51" s="665">
        <v>23</v>
      </c>
      <c r="Z51" s="665">
        <v>22</v>
      </c>
      <c r="AA51" s="665">
        <v>16</v>
      </c>
      <c r="AB51" s="665">
        <v>25</v>
      </c>
      <c r="AC51" s="665">
        <v>23</v>
      </c>
      <c r="AD51" s="665">
        <v>43</v>
      </c>
      <c r="AE51" s="665">
        <v>26</v>
      </c>
      <c r="AF51" s="665">
        <v>20</v>
      </c>
      <c r="AG51" s="665">
        <v>22</v>
      </c>
      <c r="AH51" s="665"/>
    </row>
    <row r="52" spans="1:34">
      <c r="A52" s="658" t="s">
        <v>332</v>
      </c>
      <c r="B52" s="658" t="s">
        <v>353</v>
      </c>
      <c r="C52" s="681" t="s">
        <v>409</v>
      </c>
      <c r="D52" s="681" t="s">
        <v>410</v>
      </c>
      <c r="E52" s="691">
        <f t="shared" si="24"/>
        <v>0.12526478296772339</v>
      </c>
      <c r="F52" s="680">
        <f t="shared" si="25"/>
        <v>23.259999999999998</v>
      </c>
      <c r="G52" s="680">
        <f t="shared" si="26"/>
        <v>18.166666666666668</v>
      </c>
      <c r="H52" s="679">
        <f t="shared" si="27"/>
        <v>23.166666666666668</v>
      </c>
      <c r="I52" s="679">
        <f t="shared" si="28"/>
        <v>23.5</v>
      </c>
      <c r="J52" s="679">
        <f t="shared" si="29"/>
        <v>24.4</v>
      </c>
      <c r="K52" s="673">
        <v>23</v>
      </c>
      <c r="L52" s="673">
        <v>12</v>
      </c>
      <c r="M52" s="673">
        <v>20</v>
      </c>
      <c r="N52" s="673">
        <v>14</v>
      </c>
      <c r="O52" s="673">
        <v>20</v>
      </c>
      <c r="P52" s="673">
        <v>20</v>
      </c>
      <c r="Q52" s="673">
        <v>25</v>
      </c>
      <c r="R52" s="673">
        <v>29</v>
      </c>
      <c r="S52" s="673">
        <v>20</v>
      </c>
      <c r="T52" s="673">
        <v>25</v>
      </c>
      <c r="U52" s="673">
        <v>19</v>
      </c>
      <c r="V52" s="665">
        <v>21</v>
      </c>
      <c r="W52" s="665">
        <v>23</v>
      </c>
      <c r="X52" s="665">
        <v>19</v>
      </c>
      <c r="Y52" s="665">
        <v>26</v>
      </c>
      <c r="Z52" s="665">
        <v>18</v>
      </c>
      <c r="AA52" s="665">
        <v>27</v>
      </c>
      <c r="AB52" s="665">
        <v>28</v>
      </c>
      <c r="AC52" s="665">
        <v>24</v>
      </c>
      <c r="AD52" s="665">
        <v>26</v>
      </c>
      <c r="AE52" s="665">
        <v>29</v>
      </c>
      <c r="AF52" s="665">
        <v>24</v>
      </c>
      <c r="AG52" s="665">
        <v>19</v>
      </c>
      <c r="AH52" s="665"/>
    </row>
    <row r="53" spans="1:34">
      <c r="A53" s="658" t="s">
        <v>394</v>
      </c>
      <c r="B53" s="658" t="s">
        <v>353</v>
      </c>
      <c r="C53" s="681" t="s">
        <v>411</v>
      </c>
      <c r="D53" s="681" t="s">
        <v>412</v>
      </c>
      <c r="E53" s="691">
        <f t="shared" si="24"/>
        <v>9.4262736509532208E-2</v>
      </c>
      <c r="F53" s="680">
        <f t="shared" si="25"/>
        <v>17.503333333333337</v>
      </c>
      <c r="G53" s="680">
        <f t="shared" si="26"/>
        <v>19.666666666666668</v>
      </c>
      <c r="H53" s="679">
        <f t="shared" si="27"/>
        <v>13.833333333333334</v>
      </c>
      <c r="I53" s="679">
        <f t="shared" si="28"/>
        <v>16.166666666666668</v>
      </c>
      <c r="J53" s="679">
        <f t="shared" si="29"/>
        <v>19.8</v>
      </c>
      <c r="K53" s="673">
        <v>25</v>
      </c>
      <c r="L53" s="673">
        <v>15</v>
      </c>
      <c r="M53" s="673">
        <v>22</v>
      </c>
      <c r="N53" s="673">
        <v>23</v>
      </c>
      <c r="O53" s="673">
        <v>16</v>
      </c>
      <c r="P53" s="673">
        <v>17</v>
      </c>
      <c r="Q53" s="673">
        <v>12</v>
      </c>
      <c r="R53" s="673">
        <v>13</v>
      </c>
      <c r="S53" s="673">
        <v>8</v>
      </c>
      <c r="T53" s="673">
        <v>14</v>
      </c>
      <c r="U53" s="673">
        <v>16</v>
      </c>
      <c r="V53" s="665">
        <v>20</v>
      </c>
      <c r="W53" s="665">
        <v>20</v>
      </c>
      <c r="X53" s="665">
        <v>13</v>
      </c>
      <c r="Y53" s="665">
        <v>17</v>
      </c>
      <c r="Z53" s="665">
        <v>8</v>
      </c>
      <c r="AA53" s="665">
        <v>19</v>
      </c>
      <c r="AB53" s="665">
        <v>20</v>
      </c>
      <c r="AC53" s="665">
        <v>26</v>
      </c>
      <c r="AD53" s="665">
        <v>26</v>
      </c>
      <c r="AE53" s="665">
        <v>17</v>
      </c>
      <c r="AF53" s="665">
        <v>13</v>
      </c>
      <c r="AG53" s="665">
        <v>17</v>
      </c>
      <c r="AH53" s="665"/>
    </row>
    <row r="54" spans="1:34">
      <c r="A54" s="658" t="s">
        <v>332</v>
      </c>
      <c r="B54" s="658" t="s">
        <v>353</v>
      </c>
      <c r="C54" s="681" t="s">
        <v>413</v>
      </c>
      <c r="D54" s="681" t="s">
        <v>414</v>
      </c>
      <c r="E54" s="691">
        <f t="shared" si="24"/>
        <v>0.13510214339568449</v>
      </c>
      <c r="F54" s="680">
        <f t="shared" si="25"/>
        <v>25.086666666666666</v>
      </c>
      <c r="G54" s="680">
        <f t="shared" si="26"/>
        <v>29.666666666666668</v>
      </c>
      <c r="H54" s="679">
        <f t="shared" si="27"/>
        <v>25.5</v>
      </c>
      <c r="I54" s="679">
        <f t="shared" si="28"/>
        <v>19.666666666666668</v>
      </c>
      <c r="J54" s="679">
        <f t="shared" si="29"/>
        <v>27.8</v>
      </c>
      <c r="K54" s="673">
        <v>32</v>
      </c>
      <c r="L54" s="673">
        <v>21</v>
      </c>
      <c r="M54" s="673">
        <v>35</v>
      </c>
      <c r="N54" s="673">
        <v>33</v>
      </c>
      <c r="O54" s="673">
        <v>34</v>
      </c>
      <c r="P54" s="673">
        <v>23</v>
      </c>
      <c r="Q54" s="673">
        <v>30</v>
      </c>
      <c r="R54" s="673">
        <v>28</v>
      </c>
      <c r="S54" s="673">
        <v>14</v>
      </c>
      <c r="T54" s="673">
        <v>24</v>
      </c>
      <c r="U54" s="673">
        <v>32</v>
      </c>
      <c r="V54" s="665">
        <v>25</v>
      </c>
      <c r="W54" s="665">
        <v>32</v>
      </c>
      <c r="X54" s="665">
        <v>24</v>
      </c>
      <c r="Y54" s="665">
        <v>14</v>
      </c>
      <c r="Z54" s="665">
        <v>12</v>
      </c>
      <c r="AA54" s="665">
        <v>23</v>
      </c>
      <c r="AB54" s="665">
        <v>13</v>
      </c>
      <c r="AC54" s="665">
        <v>30</v>
      </c>
      <c r="AD54" s="665">
        <v>32</v>
      </c>
      <c r="AE54" s="665">
        <v>31</v>
      </c>
      <c r="AF54" s="665">
        <v>25</v>
      </c>
      <c r="AG54" s="665">
        <v>21</v>
      </c>
      <c r="AH54" s="665"/>
    </row>
    <row r="55" spans="1:34">
      <c r="A55" s="658" t="s">
        <v>332</v>
      </c>
      <c r="B55" s="658" t="s">
        <v>353</v>
      </c>
      <c r="C55" s="681" t="s">
        <v>415</v>
      </c>
      <c r="D55" s="681" t="s">
        <v>416</v>
      </c>
      <c r="E55" s="691">
        <f t="shared" si="24"/>
        <v>0.13303773381682404</v>
      </c>
      <c r="F55" s="680">
        <f t="shared" si="25"/>
        <v>24.703333333333333</v>
      </c>
      <c r="G55" s="680">
        <f t="shared" si="26"/>
        <v>31.333333333333332</v>
      </c>
      <c r="H55" s="679">
        <f t="shared" si="27"/>
        <v>24</v>
      </c>
      <c r="I55" s="679">
        <f t="shared" si="28"/>
        <v>24.166666666666668</v>
      </c>
      <c r="J55" s="679">
        <f t="shared" si="29"/>
        <v>23.8</v>
      </c>
      <c r="K55" s="673">
        <v>31</v>
      </c>
      <c r="L55" s="673">
        <v>33</v>
      </c>
      <c r="M55" s="673">
        <v>40</v>
      </c>
      <c r="N55" s="673">
        <v>28</v>
      </c>
      <c r="O55" s="673">
        <v>28</v>
      </c>
      <c r="P55" s="673">
        <v>28</v>
      </c>
      <c r="Q55" s="673">
        <v>27</v>
      </c>
      <c r="R55" s="673">
        <v>30</v>
      </c>
      <c r="S55" s="673">
        <v>21</v>
      </c>
      <c r="T55" s="673">
        <v>20</v>
      </c>
      <c r="U55" s="673">
        <v>21</v>
      </c>
      <c r="V55" s="665">
        <v>25</v>
      </c>
      <c r="W55" s="665">
        <v>30</v>
      </c>
      <c r="X55" s="665">
        <v>17</v>
      </c>
      <c r="Y55" s="665">
        <v>27</v>
      </c>
      <c r="Z55" s="665">
        <v>23</v>
      </c>
      <c r="AA55" s="665">
        <v>23</v>
      </c>
      <c r="AB55" s="665">
        <v>25</v>
      </c>
      <c r="AC55" s="665">
        <v>19</v>
      </c>
      <c r="AD55" s="665">
        <v>31</v>
      </c>
      <c r="AE55" s="665">
        <v>32</v>
      </c>
      <c r="AF55" s="665">
        <v>23</v>
      </c>
      <c r="AG55" s="665">
        <v>14</v>
      </c>
      <c r="AH55" s="665"/>
    </row>
    <row r="56" spans="1:34">
      <c r="A56" s="658" t="s">
        <v>332</v>
      </c>
      <c r="B56" s="658" t="s">
        <v>353</v>
      </c>
      <c r="C56" s="681" t="s">
        <v>417</v>
      </c>
      <c r="D56" s="681" t="s">
        <v>418</v>
      </c>
      <c r="E56" s="691">
        <f t="shared" si="24"/>
        <v>0.12711377589487668</v>
      </c>
      <c r="F56" s="680">
        <f t="shared" si="25"/>
        <v>23.603333333333335</v>
      </c>
      <c r="G56" s="680">
        <f t="shared" si="26"/>
        <v>27.166666666666668</v>
      </c>
      <c r="H56" s="679">
        <f t="shared" si="27"/>
        <v>29.333333333333332</v>
      </c>
      <c r="I56" s="679">
        <f t="shared" si="28"/>
        <v>23.666666666666668</v>
      </c>
      <c r="J56" s="679">
        <f t="shared" si="29"/>
        <v>19.8</v>
      </c>
      <c r="K56" s="673">
        <v>33</v>
      </c>
      <c r="L56" s="673">
        <v>28</v>
      </c>
      <c r="M56" s="673">
        <v>29</v>
      </c>
      <c r="N56" s="673">
        <v>21</v>
      </c>
      <c r="O56" s="673">
        <v>29</v>
      </c>
      <c r="P56" s="673">
        <v>23</v>
      </c>
      <c r="Q56" s="673">
        <v>27</v>
      </c>
      <c r="R56" s="673">
        <v>27</v>
      </c>
      <c r="S56" s="673">
        <v>22</v>
      </c>
      <c r="T56" s="673">
        <v>34</v>
      </c>
      <c r="U56" s="673">
        <v>38</v>
      </c>
      <c r="V56" s="665">
        <v>28</v>
      </c>
      <c r="W56" s="665">
        <v>28</v>
      </c>
      <c r="X56" s="665">
        <v>17</v>
      </c>
      <c r="Y56" s="665">
        <v>22</v>
      </c>
      <c r="Z56" s="665">
        <v>13</v>
      </c>
      <c r="AA56" s="665">
        <v>31</v>
      </c>
      <c r="AB56" s="665">
        <v>31</v>
      </c>
      <c r="AC56" s="665">
        <v>20</v>
      </c>
      <c r="AD56" s="665">
        <v>30</v>
      </c>
      <c r="AE56" s="665">
        <v>27</v>
      </c>
      <c r="AF56" s="665">
        <v>9</v>
      </c>
      <c r="AG56" s="665">
        <v>13</v>
      </c>
      <c r="AH56" s="665"/>
    </row>
    <row r="57" spans="1:34">
      <c r="A57" s="658" t="s">
        <v>332</v>
      </c>
      <c r="B57" s="658" t="s">
        <v>353</v>
      </c>
      <c r="C57" s="681" t="s">
        <v>419</v>
      </c>
      <c r="D57" s="681" t="s">
        <v>420</v>
      </c>
      <c r="E57" s="691">
        <f t="shared" si="24"/>
        <v>0.14513696908771048</v>
      </c>
      <c r="F57" s="680">
        <f t="shared" si="25"/>
        <v>26.95</v>
      </c>
      <c r="G57" s="680">
        <f t="shared" si="26"/>
        <v>30.333333333333332</v>
      </c>
      <c r="H57" s="679">
        <f t="shared" si="27"/>
        <v>28.333333333333332</v>
      </c>
      <c r="I57" s="679">
        <f t="shared" si="28"/>
        <v>27.5</v>
      </c>
      <c r="J57" s="679">
        <f t="shared" si="29"/>
        <v>25</v>
      </c>
      <c r="K57" s="673">
        <v>34</v>
      </c>
      <c r="L57" s="673">
        <v>26</v>
      </c>
      <c r="M57" s="673">
        <v>35</v>
      </c>
      <c r="N57" s="673">
        <v>28</v>
      </c>
      <c r="O57" s="673">
        <v>29</v>
      </c>
      <c r="P57" s="673">
        <v>30</v>
      </c>
      <c r="Q57" s="673">
        <v>27</v>
      </c>
      <c r="R57" s="673">
        <v>32</v>
      </c>
      <c r="S57" s="673">
        <v>18</v>
      </c>
      <c r="T57" s="673">
        <v>44</v>
      </c>
      <c r="U57" s="673">
        <v>26</v>
      </c>
      <c r="V57" s="665">
        <v>23</v>
      </c>
      <c r="W57" s="665">
        <v>30</v>
      </c>
      <c r="X57" s="665">
        <v>31</v>
      </c>
      <c r="Y57" s="665">
        <v>25</v>
      </c>
      <c r="Z57" s="665">
        <v>18</v>
      </c>
      <c r="AA57" s="665">
        <v>30</v>
      </c>
      <c r="AB57" s="665">
        <v>31</v>
      </c>
      <c r="AC57" s="665">
        <v>28</v>
      </c>
      <c r="AD57" s="665">
        <v>33</v>
      </c>
      <c r="AE57" s="665">
        <v>21</v>
      </c>
      <c r="AF57" s="665">
        <v>25</v>
      </c>
      <c r="AG57" s="665">
        <v>18</v>
      </c>
      <c r="AH57" s="665"/>
    </row>
    <row r="58" spans="1:34">
      <c r="A58" s="658" t="s">
        <v>333</v>
      </c>
      <c r="B58" s="658" t="s">
        <v>359</v>
      </c>
      <c r="C58" s="681" t="s">
        <v>421</v>
      </c>
      <c r="D58" s="681" t="s">
        <v>422</v>
      </c>
      <c r="E58" s="691">
        <f t="shared" si="24"/>
        <v>0.13167871215941138</v>
      </c>
      <c r="F58" s="680">
        <f t="shared" si="25"/>
        <v>23.503333333333337</v>
      </c>
      <c r="G58" s="680">
        <f t="shared" si="26"/>
        <v>22.5</v>
      </c>
      <c r="H58" s="679">
        <f t="shared" si="27"/>
        <v>21.166666666666668</v>
      </c>
      <c r="I58" s="679">
        <f t="shared" si="28"/>
        <v>23.666666666666668</v>
      </c>
      <c r="J58" s="679">
        <f t="shared" si="29"/>
        <v>24.8</v>
      </c>
      <c r="K58" s="673">
        <v>25</v>
      </c>
      <c r="L58" s="673">
        <v>21</v>
      </c>
      <c r="M58" s="673">
        <v>22</v>
      </c>
      <c r="N58" s="673">
        <v>23</v>
      </c>
      <c r="O58" s="673">
        <v>23</v>
      </c>
      <c r="P58" s="673">
        <v>21</v>
      </c>
      <c r="Q58" s="673">
        <v>20</v>
      </c>
      <c r="R58" s="673">
        <v>24</v>
      </c>
      <c r="S58" s="673">
        <v>14</v>
      </c>
      <c r="T58" s="673">
        <v>24</v>
      </c>
      <c r="U58" s="673">
        <v>21</v>
      </c>
      <c r="V58" s="665">
        <v>24</v>
      </c>
      <c r="W58" s="665">
        <v>28</v>
      </c>
      <c r="X58" s="665">
        <v>26</v>
      </c>
      <c r="Y58" s="665">
        <v>25</v>
      </c>
      <c r="Z58" s="665">
        <v>19</v>
      </c>
      <c r="AA58" s="665">
        <v>23</v>
      </c>
      <c r="AB58" s="665">
        <v>21</v>
      </c>
      <c r="AC58" s="665">
        <v>26</v>
      </c>
      <c r="AD58" s="665">
        <v>23</v>
      </c>
      <c r="AE58" s="665">
        <v>24</v>
      </c>
      <c r="AF58" s="665">
        <v>29</v>
      </c>
      <c r="AG58" s="665">
        <v>22</v>
      </c>
      <c r="AH58" s="665"/>
    </row>
    <row r="59" spans="1:34">
      <c r="A59" s="658" t="s">
        <v>333</v>
      </c>
      <c r="B59" s="658" t="s">
        <v>359</v>
      </c>
      <c r="C59" s="681" t="s">
        <v>423</v>
      </c>
      <c r="D59" s="681" t="s">
        <v>424</v>
      </c>
      <c r="E59" s="691">
        <f t="shared" si="24"/>
        <v>0.11246194931555456</v>
      </c>
      <c r="F59" s="680">
        <f t="shared" si="25"/>
        <v>20.073333333333334</v>
      </c>
      <c r="G59" s="680">
        <f t="shared" si="26"/>
        <v>17.5</v>
      </c>
      <c r="H59" s="679">
        <f t="shared" si="27"/>
        <v>20.166666666666668</v>
      </c>
      <c r="I59" s="679">
        <f t="shared" si="28"/>
        <v>20.166666666666668</v>
      </c>
      <c r="J59" s="679">
        <f t="shared" si="29"/>
        <v>20.6</v>
      </c>
      <c r="K59" s="673">
        <v>19</v>
      </c>
      <c r="L59" s="673">
        <v>16</v>
      </c>
      <c r="M59" s="673">
        <v>18</v>
      </c>
      <c r="N59" s="673">
        <v>21</v>
      </c>
      <c r="O59" s="673">
        <v>15</v>
      </c>
      <c r="P59" s="673">
        <v>16</v>
      </c>
      <c r="Q59" s="673">
        <v>21</v>
      </c>
      <c r="R59" s="673">
        <v>23</v>
      </c>
      <c r="S59" s="673">
        <v>16</v>
      </c>
      <c r="T59" s="673">
        <v>19</v>
      </c>
      <c r="U59" s="673">
        <v>20</v>
      </c>
      <c r="V59" s="665">
        <v>22</v>
      </c>
      <c r="W59" s="665">
        <v>23</v>
      </c>
      <c r="X59" s="665">
        <v>24</v>
      </c>
      <c r="Y59" s="665">
        <v>17</v>
      </c>
      <c r="Z59" s="665">
        <v>16</v>
      </c>
      <c r="AA59" s="665">
        <v>22</v>
      </c>
      <c r="AB59" s="665">
        <v>19</v>
      </c>
      <c r="AC59" s="665">
        <v>17</v>
      </c>
      <c r="AD59" s="665">
        <v>26</v>
      </c>
      <c r="AE59" s="665">
        <v>24</v>
      </c>
      <c r="AF59" s="665">
        <v>21</v>
      </c>
      <c r="AG59" s="665">
        <v>15</v>
      </c>
      <c r="AH59" s="665"/>
    </row>
    <row r="60" spans="1:34">
      <c r="A60" s="658" t="s">
        <v>333</v>
      </c>
      <c r="B60" s="658" t="s">
        <v>359</v>
      </c>
      <c r="C60" s="681" t="s">
        <v>425</v>
      </c>
      <c r="D60" s="681" t="s">
        <v>426</v>
      </c>
      <c r="E60" s="691">
        <f t="shared" si="24"/>
        <v>0.10368461351709712</v>
      </c>
      <c r="F60" s="680">
        <f t="shared" si="25"/>
        <v>18.506666666666668</v>
      </c>
      <c r="G60" s="680">
        <f t="shared" si="26"/>
        <v>20.333333333333332</v>
      </c>
      <c r="H60" s="679">
        <f t="shared" si="27"/>
        <v>17.666666666666668</v>
      </c>
      <c r="I60" s="679">
        <f t="shared" si="28"/>
        <v>15.666666666666666</v>
      </c>
      <c r="J60" s="679">
        <f t="shared" si="29"/>
        <v>20.6</v>
      </c>
      <c r="K60" s="673">
        <v>20</v>
      </c>
      <c r="L60" s="673">
        <v>19</v>
      </c>
      <c r="M60" s="673">
        <v>22</v>
      </c>
      <c r="N60" s="673">
        <v>21</v>
      </c>
      <c r="O60" s="673">
        <v>19</v>
      </c>
      <c r="P60" s="673">
        <v>21</v>
      </c>
      <c r="Q60" s="673">
        <v>15</v>
      </c>
      <c r="R60" s="673">
        <v>24</v>
      </c>
      <c r="S60" s="673">
        <v>17</v>
      </c>
      <c r="T60" s="673">
        <v>16</v>
      </c>
      <c r="U60" s="673">
        <v>16</v>
      </c>
      <c r="V60" s="665">
        <v>18</v>
      </c>
      <c r="W60" s="665">
        <v>20</v>
      </c>
      <c r="X60" s="665">
        <v>15</v>
      </c>
      <c r="Y60" s="665">
        <v>15</v>
      </c>
      <c r="Z60" s="665">
        <v>14</v>
      </c>
      <c r="AA60" s="665">
        <v>14</v>
      </c>
      <c r="AB60" s="665">
        <v>16</v>
      </c>
      <c r="AC60" s="665">
        <v>12</v>
      </c>
      <c r="AD60" s="665">
        <v>22</v>
      </c>
      <c r="AE60" s="665">
        <v>21</v>
      </c>
      <c r="AF60" s="665">
        <v>27</v>
      </c>
      <c r="AG60" s="665">
        <v>21</v>
      </c>
      <c r="AH60" s="665"/>
    </row>
    <row r="61" spans="1:34">
      <c r="A61" s="658" t="s">
        <v>333</v>
      </c>
      <c r="B61" s="658" t="s">
        <v>359</v>
      </c>
      <c r="C61" s="681" t="s">
        <v>427</v>
      </c>
      <c r="D61" s="681" t="s">
        <v>428</v>
      </c>
      <c r="E61" s="691">
        <f t="shared" si="24"/>
        <v>0.14209946402226081</v>
      </c>
      <c r="F61" s="680">
        <f t="shared" si="25"/>
        <v>25.363333333333333</v>
      </c>
      <c r="G61" s="680">
        <f t="shared" si="26"/>
        <v>26.166666666666668</v>
      </c>
      <c r="H61" s="679">
        <f t="shared" si="27"/>
        <v>27.333333333333332</v>
      </c>
      <c r="I61" s="679">
        <f t="shared" si="28"/>
        <v>24</v>
      </c>
      <c r="J61" s="679">
        <f t="shared" si="29"/>
        <v>25.2</v>
      </c>
      <c r="K61" s="673">
        <v>25</v>
      </c>
      <c r="L61" s="673">
        <v>20</v>
      </c>
      <c r="M61" s="673">
        <v>34</v>
      </c>
      <c r="N61" s="673">
        <v>25</v>
      </c>
      <c r="O61" s="673">
        <v>29</v>
      </c>
      <c r="P61" s="673">
        <v>24</v>
      </c>
      <c r="Q61" s="673">
        <v>31</v>
      </c>
      <c r="R61" s="673">
        <v>30</v>
      </c>
      <c r="S61" s="673">
        <v>23</v>
      </c>
      <c r="T61" s="673">
        <v>27</v>
      </c>
      <c r="U61" s="673">
        <v>28</v>
      </c>
      <c r="V61" s="665">
        <v>25</v>
      </c>
      <c r="W61" s="665">
        <v>26</v>
      </c>
      <c r="X61" s="665">
        <v>28</v>
      </c>
      <c r="Y61" s="665">
        <v>26</v>
      </c>
      <c r="Z61" s="665">
        <v>18</v>
      </c>
      <c r="AA61" s="665">
        <v>24</v>
      </c>
      <c r="AB61" s="665">
        <v>22</v>
      </c>
      <c r="AC61" s="665">
        <v>26</v>
      </c>
      <c r="AD61" s="665">
        <v>32</v>
      </c>
      <c r="AE61" s="665">
        <v>24</v>
      </c>
      <c r="AF61" s="665">
        <v>20</v>
      </c>
      <c r="AG61" s="665">
        <v>24</v>
      </c>
      <c r="AH61" s="665"/>
    </row>
    <row r="62" spans="1:34">
      <c r="A62" s="658" t="s">
        <v>333</v>
      </c>
      <c r="B62" s="658" t="s">
        <v>359</v>
      </c>
      <c r="C62" s="681" t="s">
        <v>429</v>
      </c>
      <c r="D62" s="681" t="s">
        <v>430</v>
      </c>
      <c r="E62" s="691">
        <f t="shared" si="24"/>
        <v>0.13828972678207929</v>
      </c>
      <c r="F62" s="680">
        <f t="shared" si="25"/>
        <v>24.683333333333334</v>
      </c>
      <c r="G62" s="680">
        <f t="shared" si="26"/>
        <v>26.833333333333332</v>
      </c>
      <c r="H62" s="679">
        <f t="shared" si="27"/>
        <v>27.5</v>
      </c>
      <c r="I62" s="679">
        <f t="shared" si="28"/>
        <v>25.666666666666668</v>
      </c>
      <c r="J62" s="679">
        <f t="shared" si="29"/>
        <v>22</v>
      </c>
      <c r="K62" s="673">
        <v>28</v>
      </c>
      <c r="L62" s="673">
        <v>24</v>
      </c>
      <c r="M62" s="673">
        <v>28</v>
      </c>
      <c r="N62" s="673">
        <v>27</v>
      </c>
      <c r="O62" s="673">
        <v>27</v>
      </c>
      <c r="P62" s="673">
        <v>27</v>
      </c>
      <c r="Q62" s="673">
        <v>23</v>
      </c>
      <c r="R62" s="673">
        <v>28</v>
      </c>
      <c r="S62" s="673">
        <v>23</v>
      </c>
      <c r="T62" s="673">
        <v>25</v>
      </c>
      <c r="U62" s="673">
        <v>30</v>
      </c>
      <c r="V62" s="665">
        <v>36</v>
      </c>
      <c r="W62" s="665">
        <v>35</v>
      </c>
      <c r="X62" s="665">
        <v>25</v>
      </c>
      <c r="Y62" s="665">
        <v>24</v>
      </c>
      <c r="Z62" s="665">
        <v>20</v>
      </c>
      <c r="AA62" s="665">
        <v>25</v>
      </c>
      <c r="AB62" s="665">
        <v>25</v>
      </c>
      <c r="AC62" s="665">
        <v>20</v>
      </c>
      <c r="AD62" s="665">
        <v>31</v>
      </c>
      <c r="AE62" s="665">
        <v>23</v>
      </c>
      <c r="AF62" s="665">
        <v>18</v>
      </c>
      <c r="AG62" s="665">
        <v>18</v>
      </c>
      <c r="AH62" s="665"/>
    </row>
    <row r="63" spans="1:34">
      <c r="A63" s="658" t="s">
        <v>333</v>
      </c>
      <c r="B63" s="658" t="s">
        <v>359</v>
      </c>
      <c r="C63" s="681" t="s">
        <v>431</v>
      </c>
      <c r="D63" s="681" t="s">
        <v>432</v>
      </c>
      <c r="E63" s="691">
        <f t="shared" si="24"/>
        <v>8.2562982053149575E-2</v>
      </c>
      <c r="F63" s="680">
        <f t="shared" si="25"/>
        <v>14.736666666666668</v>
      </c>
      <c r="G63" s="680">
        <f t="shared" si="26"/>
        <v>19</v>
      </c>
      <c r="H63" s="679">
        <f t="shared" si="27"/>
        <v>14.333333333333334</v>
      </c>
      <c r="I63" s="679">
        <f t="shared" si="28"/>
        <v>12.166666666666666</v>
      </c>
      <c r="J63" s="679">
        <f t="shared" si="29"/>
        <v>15.8</v>
      </c>
      <c r="K63" s="673">
        <v>23</v>
      </c>
      <c r="L63" s="673">
        <v>19</v>
      </c>
      <c r="M63" s="673">
        <v>20</v>
      </c>
      <c r="N63" s="673">
        <v>16</v>
      </c>
      <c r="O63" s="673">
        <v>21</v>
      </c>
      <c r="P63" s="673">
        <v>15</v>
      </c>
      <c r="Q63" s="673">
        <v>16</v>
      </c>
      <c r="R63" s="673">
        <v>14</v>
      </c>
      <c r="S63" s="673">
        <v>12</v>
      </c>
      <c r="T63" s="673">
        <v>11</v>
      </c>
      <c r="U63" s="673">
        <v>16</v>
      </c>
      <c r="V63" s="665">
        <v>17</v>
      </c>
      <c r="W63" s="665">
        <v>15</v>
      </c>
      <c r="X63" s="665">
        <v>14</v>
      </c>
      <c r="Y63" s="665">
        <v>13</v>
      </c>
      <c r="Z63" s="665">
        <v>8</v>
      </c>
      <c r="AA63" s="665">
        <v>13</v>
      </c>
      <c r="AB63" s="665">
        <v>10</v>
      </c>
      <c r="AC63" s="665">
        <v>12</v>
      </c>
      <c r="AD63" s="665">
        <v>15</v>
      </c>
      <c r="AE63" s="665">
        <v>24</v>
      </c>
      <c r="AF63" s="665">
        <v>17</v>
      </c>
      <c r="AG63" s="665">
        <v>11</v>
      </c>
      <c r="AH63" s="665"/>
    </row>
    <row r="64" spans="1:34">
      <c r="A64" s="658" t="s">
        <v>333</v>
      </c>
      <c r="B64" s="658" t="s">
        <v>359</v>
      </c>
      <c r="C64" s="681" t="s">
        <v>433</v>
      </c>
      <c r="D64" s="681" t="s">
        <v>434</v>
      </c>
      <c r="E64" s="691">
        <f t="shared" si="24"/>
        <v>8.2843109791398223E-2</v>
      </c>
      <c r="F64" s="680">
        <f t="shared" si="25"/>
        <v>14.786666666666669</v>
      </c>
      <c r="G64" s="680">
        <f t="shared" si="26"/>
        <v>14</v>
      </c>
      <c r="H64" s="679">
        <f t="shared" si="27"/>
        <v>14.833333333333334</v>
      </c>
      <c r="I64" s="679">
        <f t="shared" si="28"/>
        <v>15</v>
      </c>
      <c r="J64" s="679">
        <f t="shared" si="29"/>
        <v>14.8</v>
      </c>
      <c r="K64" s="673">
        <v>12</v>
      </c>
      <c r="L64" s="673">
        <v>15</v>
      </c>
      <c r="M64" s="673">
        <v>14</v>
      </c>
      <c r="N64" s="673">
        <v>13</v>
      </c>
      <c r="O64" s="673">
        <v>17</v>
      </c>
      <c r="P64" s="673">
        <v>13</v>
      </c>
      <c r="Q64" s="673">
        <v>11</v>
      </c>
      <c r="R64" s="673">
        <v>10</v>
      </c>
      <c r="S64" s="673">
        <v>12</v>
      </c>
      <c r="T64" s="673">
        <v>21</v>
      </c>
      <c r="U64" s="673">
        <v>17</v>
      </c>
      <c r="V64" s="665">
        <v>18</v>
      </c>
      <c r="W64" s="665">
        <v>15</v>
      </c>
      <c r="X64" s="665">
        <v>14</v>
      </c>
      <c r="Y64" s="665">
        <v>12</v>
      </c>
      <c r="Z64" s="665">
        <v>14</v>
      </c>
      <c r="AA64" s="665">
        <v>18</v>
      </c>
      <c r="AB64" s="665">
        <v>17</v>
      </c>
      <c r="AC64" s="665">
        <v>21</v>
      </c>
      <c r="AD64" s="665">
        <v>13</v>
      </c>
      <c r="AE64" s="665">
        <v>13</v>
      </c>
      <c r="AF64" s="665">
        <v>17</v>
      </c>
      <c r="AG64" s="665">
        <v>10</v>
      </c>
      <c r="AH64" s="665"/>
    </row>
    <row r="65" spans="1:34">
      <c r="A65" s="658" t="s">
        <v>333</v>
      </c>
      <c r="B65" s="658" t="s">
        <v>359</v>
      </c>
      <c r="C65" s="681" t="s">
        <v>435</v>
      </c>
      <c r="D65" s="681" t="s">
        <v>436</v>
      </c>
      <c r="E65" s="691">
        <f t="shared" si="24"/>
        <v>0.11066913179076325</v>
      </c>
      <c r="F65" s="680">
        <f t="shared" si="25"/>
        <v>19.753333333333334</v>
      </c>
      <c r="G65" s="680">
        <f t="shared" si="26"/>
        <v>24.833333333333332</v>
      </c>
      <c r="H65" s="679">
        <f t="shared" si="27"/>
        <v>23</v>
      </c>
      <c r="I65" s="679">
        <f t="shared" si="28"/>
        <v>18.5</v>
      </c>
      <c r="J65" s="679">
        <f t="shared" si="29"/>
        <v>17.8</v>
      </c>
      <c r="K65" s="673">
        <v>29</v>
      </c>
      <c r="L65" s="673">
        <v>27</v>
      </c>
      <c r="M65" s="673">
        <v>25</v>
      </c>
      <c r="N65" s="673">
        <v>22</v>
      </c>
      <c r="O65" s="673">
        <v>29</v>
      </c>
      <c r="P65" s="673">
        <v>17</v>
      </c>
      <c r="Q65" s="673">
        <v>19</v>
      </c>
      <c r="R65" s="673">
        <v>27</v>
      </c>
      <c r="S65" s="673">
        <v>22</v>
      </c>
      <c r="T65" s="673">
        <v>28</v>
      </c>
      <c r="U65" s="673">
        <v>20</v>
      </c>
      <c r="V65" s="665">
        <v>22</v>
      </c>
      <c r="W65" s="665">
        <v>24</v>
      </c>
      <c r="X65" s="665">
        <v>18</v>
      </c>
      <c r="Y65" s="665">
        <v>13</v>
      </c>
      <c r="Z65" s="665">
        <v>15</v>
      </c>
      <c r="AA65" s="665">
        <v>18</v>
      </c>
      <c r="AB65" s="665">
        <v>23</v>
      </c>
      <c r="AC65" s="665">
        <v>25</v>
      </c>
      <c r="AD65" s="665">
        <v>19</v>
      </c>
      <c r="AE65" s="665">
        <v>17</v>
      </c>
      <c r="AF65" s="665">
        <v>15</v>
      </c>
      <c r="AG65" s="665">
        <v>13</v>
      </c>
      <c r="AH65" s="665"/>
    </row>
    <row r="66" spans="1:34">
      <c r="A66" s="658" t="s">
        <v>437</v>
      </c>
      <c r="B66" s="658" t="s">
        <v>359</v>
      </c>
      <c r="C66" s="681" t="s">
        <v>438</v>
      </c>
      <c r="D66" s="681" t="s">
        <v>439</v>
      </c>
      <c r="E66" s="691">
        <f t="shared" si="24"/>
        <v>9.57103105682858E-2</v>
      </c>
      <c r="F66" s="680">
        <f t="shared" si="25"/>
        <v>17.083333333333332</v>
      </c>
      <c r="G66" s="680">
        <f t="shared" si="26"/>
        <v>16.833333333333332</v>
      </c>
      <c r="H66" s="679">
        <f t="shared" si="27"/>
        <v>13.5</v>
      </c>
      <c r="I66" s="679">
        <f t="shared" si="28"/>
        <v>15.666666666666666</v>
      </c>
      <c r="J66" s="679">
        <f t="shared" si="29"/>
        <v>20</v>
      </c>
      <c r="K66" s="673">
        <v>20</v>
      </c>
      <c r="L66" s="673">
        <v>21</v>
      </c>
      <c r="M66" s="673">
        <v>19</v>
      </c>
      <c r="N66" s="673">
        <v>19</v>
      </c>
      <c r="O66" s="673">
        <v>13</v>
      </c>
      <c r="P66" s="673">
        <v>9</v>
      </c>
      <c r="Q66" s="673">
        <v>20</v>
      </c>
      <c r="R66" s="673">
        <v>10</v>
      </c>
      <c r="S66" s="673">
        <v>6</v>
      </c>
      <c r="T66" s="673">
        <v>17</v>
      </c>
      <c r="U66" s="673">
        <v>19</v>
      </c>
      <c r="V66" s="665">
        <v>9</v>
      </c>
      <c r="W66" s="665">
        <v>16</v>
      </c>
      <c r="X66" s="665">
        <v>17</v>
      </c>
      <c r="Y66" s="665">
        <v>12</v>
      </c>
      <c r="Z66" s="665">
        <v>16</v>
      </c>
      <c r="AA66" s="665">
        <v>19</v>
      </c>
      <c r="AB66" s="665">
        <v>14</v>
      </c>
      <c r="AC66" s="665">
        <v>17</v>
      </c>
      <c r="AD66" s="665">
        <v>28</v>
      </c>
      <c r="AE66" s="665">
        <v>19</v>
      </c>
      <c r="AF66" s="665">
        <v>20</v>
      </c>
      <c r="AG66" s="665">
        <v>16</v>
      </c>
      <c r="AH66" s="665"/>
    </row>
    <row r="67" spans="1:34">
      <c r="A67" s="658" t="s">
        <v>333</v>
      </c>
      <c r="B67" s="658" t="s">
        <v>360</v>
      </c>
      <c r="C67" s="681" t="s">
        <v>440</v>
      </c>
      <c r="D67" s="681" t="s">
        <v>441</v>
      </c>
      <c r="E67" s="691">
        <f t="shared" si="24"/>
        <v>0.17655917577032484</v>
      </c>
      <c r="F67" s="680">
        <f t="shared" si="25"/>
        <v>24.619999999999997</v>
      </c>
      <c r="G67" s="680">
        <f t="shared" si="26"/>
        <v>25.333333333333332</v>
      </c>
      <c r="H67" s="679">
        <f t="shared" si="27"/>
        <v>23.833333333333332</v>
      </c>
      <c r="I67" s="679">
        <f t="shared" si="28"/>
        <v>23.333333333333332</v>
      </c>
      <c r="J67" s="679">
        <f t="shared" si="29"/>
        <v>25.8</v>
      </c>
      <c r="K67" s="673">
        <v>32</v>
      </c>
      <c r="L67" s="673">
        <v>24</v>
      </c>
      <c r="M67" s="673">
        <v>26</v>
      </c>
      <c r="N67" s="673">
        <v>24</v>
      </c>
      <c r="O67" s="673">
        <v>28</v>
      </c>
      <c r="P67" s="673">
        <v>18</v>
      </c>
      <c r="Q67" s="673">
        <v>23</v>
      </c>
      <c r="R67" s="673">
        <v>24</v>
      </c>
      <c r="S67" s="673">
        <v>18</v>
      </c>
      <c r="T67" s="673">
        <v>25</v>
      </c>
      <c r="U67" s="673">
        <v>27</v>
      </c>
      <c r="V67" s="665">
        <v>26</v>
      </c>
      <c r="W67" s="665">
        <v>22</v>
      </c>
      <c r="X67" s="665">
        <v>24</v>
      </c>
      <c r="Y67" s="665">
        <v>26</v>
      </c>
      <c r="Z67" s="665">
        <v>23</v>
      </c>
      <c r="AA67" s="665">
        <v>26</v>
      </c>
      <c r="AB67" s="665">
        <v>19</v>
      </c>
      <c r="AC67" s="665">
        <v>23</v>
      </c>
      <c r="AD67" s="665">
        <v>31</v>
      </c>
      <c r="AE67" s="665">
        <v>32</v>
      </c>
      <c r="AF67" s="665">
        <v>22</v>
      </c>
      <c r="AG67" s="665">
        <v>21</v>
      </c>
      <c r="AH67" s="665"/>
    </row>
    <row r="68" spans="1:34">
      <c r="A68" s="658" t="s">
        <v>333</v>
      </c>
      <c r="B68" s="658" t="s">
        <v>360</v>
      </c>
      <c r="C68" s="681" t="s">
        <v>442</v>
      </c>
      <c r="D68" s="681" t="s">
        <v>443</v>
      </c>
      <c r="E68" s="691">
        <f t="shared" si="24"/>
        <v>0.16262280974350393</v>
      </c>
      <c r="F68" s="680">
        <f t="shared" si="25"/>
        <v>22.676666666666666</v>
      </c>
      <c r="G68" s="680">
        <f t="shared" si="26"/>
        <v>33.166666666666664</v>
      </c>
      <c r="H68" s="679">
        <f t="shared" si="27"/>
        <v>26</v>
      </c>
      <c r="I68" s="679">
        <f t="shared" si="28"/>
        <v>22.666666666666668</v>
      </c>
      <c r="J68" s="679">
        <f t="shared" si="29"/>
        <v>18.399999999999999</v>
      </c>
      <c r="K68" s="673">
        <v>51</v>
      </c>
      <c r="L68" s="673">
        <v>28</v>
      </c>
      <c r="M68" s="673">
        <v>37</v>
      </c>
      <c r="N68" s="673">
        <v>33</v>
      </c>
      <c r="O68" s="673">
        <v>25</v>
      </c>
      <c r="P68" s="673">
        <v>25</v>
      </c>
      <c r="Q68" s="673">
        <v>30</v>
      </c>
      <c r="R68" s="673">
        <v>23</v>
      </c>
      <c r="S68" s="673">
        <v>20</v>
      </c>
      <c r="T68" s="673">
        <v>31</v>
      </c>
      <c r="U68" s="673">
        <v>26</v>
      </c>
      <c r="V68" s="665">
        <v>26</v>
      </c>
      <c r="W68" s="665">
        <v>27</v>
      </c>
      <c r="X68" s="665">
        <v>23</v>
      </c>
      <c r="Y68" s="665">
        <v>23</v>
      </c>
      <c r="Z68" s="665">
        <v>19</v>
      </c>
      <c r="AA68" s="665">
        <v>23</v>
      </c>
      <c r="AB68" s="665">
        <v>21</v>
      </c>
      <c r="AC68" s="665">
        <v>16</v>
      </c>
      <c r="AD68" s="665">
        <v>21</v>
      </c>
      <c r="AE68" s="665">
        <v>19</v>
      </c>
      <c r="AF68" s="665">
        <v>14</v>
      </c>
      <c r="AG68" s="665">
        <v>22</v>
      </c>
      <c r="AH68" s="665"/>
    </row>
    <row r="69" spans="1:34">
      <c r="A69" s="658" t="s">
        <v>333</v>
      </c>
      <c r="B69" s="658" t="s">
        <v>360</v>
      </c>
      <c r="C69" s="681" t="s">
        <v>444</v>
      </c>
      <c r="D69" s="681" t="s">
        <v>445</v>
      </c>
      <c r="E69" s="691">
        <f t="shared" si="24"/>
        <v>0.13147515119642389</v>
      </c>
      <c r="F69" s="680">
        <f t="shared" si="25"/>
        <v>18.333333333333336</v>
      </c>
      <c r="G69" s="680">
        <f t="shared" si="26"/>
        <v>21</v>
      </c>
      <c r="H69" s="679">
        <f t="shared" si="27"/>
        <v>20.666666666666668</v>
      </c>
      <c r="I69" s="679">
        <f t="shared" si="28"/>
        <v>17.666666666666668</v>
      </c>
      <c r="J69" s="679">
        <f t="shared" si="29"/>
        <v>17</v>
      </c>
      <c r="K69" s="673">
        <v>24</v>
      </c>
      <c r="L69" s="673">
        <v>22</v>
      </c>
      <c r="M69" s="673">
        <v>23</v>
      </c>
      <c r="N69" s="673">
        <v>19</v>
      </c>
      <c r="O69" s="673">
        <v>16</v>
      </c>
      <c r="P69" s="673">
        <v>22</v>
      </c>
      <c r="Q69" s="673">
        <v>19</v>
      </c>
      <c r="R69" s="673">
        <v>21</v>
      </c>
      <c r="S69" s="673">
        <v>14</v>
      </c>
      <c r="T69" s="673">
        <v>21</v>
      </c>
      <c r="U69" s="673">
        <v>26</v>
      </c>
      <c r="V69" s="665">
        <v>23</v>
      </c>
      <c r="W69" s="665">
        <v>22</v>
      </c>
      <c r="X69" s="665">
        <v>17</v>
      </c>
      <c r="Y69" s="665">
        <v>18</v>
      </c>
      <c r="Z69" s="665">
        <v>19</v>
      </c>
      <c r="AA69" s="665">
        <v>14</v>
      </c>
      <c r="AB69" s="665">
        <v>16</v>
      </c>
      <c r="AC69" s="665">
        <v>14</v>
      </c>
      <c r="AD69" s="665">
        <v>16</v>
      </c>
      <c r="AE69" s="665">
        <v>20</v>
      </c>
      <c r="AF69" s="665">
        <v>15</v>
      </c>
      <c r="AG69" s="665">
        <v>20</v>
      </c>
      <c r="AH69" s="665"/>
    </row>
    <row r="70" spans="1:34">
      <c r="A70" s="658" t="s">
        <v>333</v>
      </c>
      <c r="B70" s="658" t="s">
        <v>360</v>
      </c>
      <c r="C70" s="681" t="s">
        <v>446</v>
      </c>
      <c r="D70" s="681" t="s">
        <v>447</v>
      </c>
      <c r="E70" s="691">
        <f t="shared" si="24"/>
        <v>0.15138766045944591</v>
      </c>
      <c r="F70" s="680">
        <f t="shared" si="25"/>
        <v>21.11</v>
      </c>
      <c r="G70" s="680">
        <f t="shared" si="26"/>
        <v>27.666666666666668</v>
      </c>
      <c r="H70" s="679">
        <f t="shared" si="27"/>
        <v>22.666666666666668</v>
      </c>
      <c r="I70" s="679">
        <f t="shared" si="28"/>
        <v>20.166666666666668</v>
      </c>
      <c r="J70" s="679">
        <f t="shared" si="29"/>
        <v>19.399999999999999</v>
      </c>
      <c r="K70" s="673">
        <v>31</v>
      </c>
      <c r="L70" s="673">
        <v>30</v>
      </c>
      <c r="M70" s="673">
        <v>29</v>
      </c>
      <c r="N70" s="673">
        <v>28</v>
      </c>
      <c r="O70" s="673">
        <v>30</v>
      </c>
      <c r="P70" s="673">
        <v>18</v>
      </c>
      <c r="Q70" s="673">
        <v>21</v>
      </c>
      <c r="R70" s="673">
        <v>28</v>
      </c>
      <c r="S70" s="673">
        <v>16</v>
      </c>
      <c r="T70" s="673">
        <v>24</v>
      </c>
      <c r="U70" s="673">
        <v>20</v>
      </c>
      <c r="V70" s="665">
        <v>27</v>
      </c>
      <c r="W70" s="665">
        <v>24</v>
      </c>
      <c r="X70" s="665">
        <v>22</v>
      </c>
      <c r="Y70" s="665">
        <v>16</v>
      </c>
      <c r="Z70" s="665">
        <v>16</v>
      </c>
      <c r="AA70" s="665">
        <v>23</v>
      </c>
      <c r="AB70" s="665">
        <v>20</v>
      </c>
      <c r="AC70" s="665">
        <v>17</v>
      </c>
      <c r="AD70" s="665">
        <v>22</v>
      </c>
      <c r="AE70" s="665">
        <v>22</v>
      </c>
      <c r="AF70" s="665">
        <v>21</v>
      </c>
      <c r="AG70" s="665">
        <v>15</v>
      </c>
      <c r="AH70" s="665"/>
    </row>
    <row r="71" spans="1:34">
      <c r="A71" s="658" t="s">
        <v>333</v>
      </c>
      <c r="B71" s="658" t="s">
        <v>360</v>
      </c>
      <c r="C71" s="681" t="s">
        <v>448</v>
      </c>
      <c r="D71" s="681" t="s">
        <v>449</v>
      </c>
      <c r="E71" s="691">
        <f t="shared" si="24"/>
        <v>0.18860708053450628</v>
      </c>
      <c r="F71" s="680">
        <f t="shared" si="25"/>
        <v>26.300000000000004</v>
      </c>
      <c r="G71" s="680">
        <f t="shared" si="26"/>
        <v>27.666666666666668</v>
      </c>
      <c r="H71" s="679">
        <f t="shared" si="27"/>
        <v>29.166666666666668</v>
      </c>
      <c r="I71" s="679">
        <f t="shared" si="28"/>
        <v>27</v>
      </c>
      <c r="J71" s="679">
        <f t="shared" si="29"/>
        <v>24</v>
      </c>
      <c r="K71" s="673">
        <v>31</v>
      </c>
      <c r="L71" s="673">
        <v>26</v>
      </c>
      <c r="M71" s="673">
        <v>33</v>
      </c>
      <c r="N71" s="673">
        <v>30</v>
      </c>
      <c r="O71" s="673">
        <v>23</v>
      </c>
      <c r="P71" s="673">
        <v>23</v>
      </c>
      <c r="Q71" s="673">
        <v>25</v>
      </c>
      <c r="R71" s="673">
        <v>28</v>
      </c>
      <c r="S71" s="673">
        <v>24</v>
      </c>
      <c r="T71" s="673">
        <v>28</v>
      </c>
      <c r="U71" s="673">
        <v>43</v>
      </c>
      <c r="V71" s="665">
        <v>27</v>
      </c>
      <c r="W71" s="665">
        <v>29</v>
      </c>
      <c r="X71" s="665">
        <v>29</v>
      </c>
      <c r="Y71" s="665">
        <v>24</v>
      </c>
      <c r="Z71" s="665">
        <v>25</v>
      </c>
      <c r="AA71" s="665">
        <v>24</v>
      </c>
      <c r="AB71" s="665">
        <v>31</v>
      </c>
      <c r="AC71" s="665">
        <v>23</v>
      </c>
      <c r="AD71" s="665">
        <v>29</v>
      </c>
      <c r="AE71" s="665">
        <v>28</v>
      </c>
      <c r="AF71" s="665">
        <v>22</v>
      </c>
      <c r="AG71" s="665">
        <v>18</v>
      </c>
      <c r="AH71" s="665"/>
    </row>
    <row r="72" spans="1:34">
      <c r="A72" s="658" t="s">
        <v>333</v>
      </c>
      <c r="B72" s="658" t="s">
        <v>360</v>
      </c>
      <c r="C72" s="681" t="s">
        <v>450</v>
      </c>
      <c r="D72" s="681" t="s">
        <v>451</v>
      </c>
      <c r="E72" s="691">
        <f t="shared" si="24"/>
        <v>0.1893481222957952</v>
      </c>
      <c r="F72" s="680">
        <f t="shared" si="25"/>
        <v>26.403333333333336</v>
      </c>
      <c r="G72" s="680">
        <f t="shared" si="26"/>
        <v>23.333333333333332</v>
      </c>
      <c r="H72" s="679">
        <f t="shared" si="27"/>
        <v>27.5</v>
      </c>
      <c r="I72" s="679">
        <f t="shared" si="28"/>
        <v>27.5</v>
      </c>
      <c r="J72" s="679">
        <f t="shared" si="29"/>
        <v>25.8</v>
      </c>
      <c r="K72" s="673">
        <v>28</v>
      </c>
      <c r="L72" s="673">
        <v>19</v>
      </c>
      <c r="M72" s="673">
        <v>22</v>
      </c>
      <c r="N72" s="673">
        <v>24</v>
      </c>
      <c r="O72" s="673">
        <v>29</v>
      </c>
      <c r="P72" s="673">
        <v>18</v>
      </c>
      <c r="Q72" s="673">
        <v>29</v>
      </c>
      <c r="R72" s="673">
        <v>29</v>
      </c>
      <c r="S72" s="673">
        <v>23</v>
      </c>
      <c r="T72" s="673">
        <v>27</v>
      </c>
      <c r="U72" s="673">
        <v>28</v>
      </c>
      <c r="V72" s="665">
        <v>29</v>
      </c>
      <c r="W72" s="665">
        <v>26</v>
      </c>
      <c r="X72" s="665">
        <v>29</v>
      </c>
      <c r="Y72" s="665">
        <v>29</v>
      </c>
      <c r="Z72" s="665">
        <v>20</v>
      </c>
      <c r="AA72" s="665">
        <v>30</v>
      </c>
      <c r="AB72" s="665">
        <v>31</v>
      </c>
      <c r="AC72" s="665">
        <v>29</v>
      </c>
      <c r="AD72" s="665">
        <v>33</v>
      </c>
      <c r="AE72" s="665">
        <v>26</v>
      </c>
      <c r="AF72" s="665">
        <v>21</v>
      </c>
      <c r="AG72" s="665">
        <v>20</v>
      </c>
      <c r="AH72" s="665"/>
    </row>
    <row r="73" spans="1:34">
      <c r="A73" s="658" t="s">
        <v>334</v>
      </c>
      <c r="B73" s="658" t="s">
        <v>361</v>
      </c>
      <c r="C73" s="681" t="s">
        <v>452</v>
      </c>
      <c r="D73" s="681" t="s">
        <v>453</v>
      </c>
      <c r="E73" s="691">
        <f t="shared" si="24"/>
        <v>6.4056271981242682E-2</v>
      </c>
      <c r="F73" s="680">
        <f t="shared" si="25"/>
        <v>9.1066666666666674</v>
      </c>
      <c r="G73" s="680">
        <f t="shared" si="26"/>
        <v>11.5</v>
      </c>
      <c r="H73" s="679">
        <f t="shared" si="27"/>
        <v>11.333333333333334</v>
      </c>
      <c r="I73" s="679">
        <f t="shared" si="28"/>
        <v>7.5</v>
      </c>
      <c r="J73" s="679">
        <f t="shared" si="29"/>
        <v>8.6</v>
      </c>
      <c r="K73" s="673">
        <v>10</v>
      </c>
      <c r="L73" s="673">
        <v>8</v>
      </c>
      <c r="M73" s="673">
        <v>7</v>
      </c>
      <c r="N73" s="673">
        <v>13</v>
      </c>
      <c r="O73" s="673">
        <v>14</v>
      </c>
      <c r="P73" s="673">
        <v>17</v>
      </c>
      <c r="Q73" s="673">
        <v>16</v>
      </c>
      <c r="R73" s="673">
        <v>11</v>
      </c>
      <c r="S73" s="673">
        <v>8</v>
      </c>
      <c r="T73" s="673">
        <v>16</v>
      </c>
      <c r="U73" s="673">
        <v>9</v>
      </c>
      <c r="V73" s="665">
        <v>8</v>
      </c>
      <c r="W73" s="665">
        <v>7</v>
      </c>
      <c r="X73" s="665">
        <v>8</v>
      </c>
      <c r="Y73" s="665">
        <v>11</v>
      </c>
      <c r="Z73" s="665">
        <v>5</v>
      </c>
      <c r="AA73" s="665">
        <v>4</v>
      </c>
      <c r="AB73" s="665">
        <v>10</v>
      </c>
      <c r="AC73" s="665">
        <v>8</v>
      </c>
      <c r="AD73" s="665">
        <v>7</v>
      </c>
      <c r="AE73" s="665">
        <v>10</v>
      </c>
      <c r="AF73" s="665">
        <v>11</v>
      </c>
      <c r="AG73" s="665">
        <v>7</v>
      </c>
      <c r="AH73" s="665"/>
    </row>
    <row r="74" spans="1:34">
      <c r="A74" s="658" t="s">
        <v>454</v>
      </c>
      <c r="B74" s="658" t="s">
        <v>361</v>
      </c>
      <c r="C74" s="681" t="s">
        <v>455</v>
      </c>
      <c r="D74" s="681" t="s">
        <v>456</v>
      </c>
      <c r="E74" s="691">
        <f t="shared" si="24"/>
        <v>0.157725674091442</v>
      </c>
      <c r="F74" s="680">
        <f t="shared" si="25"/>
        <v>22.423333333333336</v>
      </c>
      <c r="G74" s="680">
        <f t="shared" si="26"/>
        <v>28</v>
      </c>
      <c r="H74" s="679">
        <f t="shared" si="27"/>
        <v>25.166666666666668</v>
      </c>
      <c r="I74" s="679">
        <f t="shared" si="28"/>
        <v>22.5</v>
      </c>
      <c r="J74" s="679">
        <f t="shared" si="29"/>
        <v>19.600000000000001</v>
      </c>
      <c r="K74" s="673">
        <v>25</v>
      </c>
      <c r="L74" s="673">
        <v>26</v>
      </c>
      <c r="M74" s="673">
        <v>32</v>
      </c>
      <c r="N74" s="673">
        <v>27</v>
      </c>
      <c r="O74" s="673">
        <v>33</v>
      </c>
      <c r="P74" s="673">
        <v>25</v>
      </c>
      <c r="Q74" s="673">
        <v>30</v>
      </c>
      <c r="R74" s="673">
        <v>28</v>
      </c>
      <c r="S74" s="673">
        <v>17</v>
      </c>
      <c r="T74" s="673">
        <v>24</v>
      </c>
      <c r="U74" s="673">
        <v>25</v>
      </c>
      <c r="V74" s="665">
        <v>27</v>
      </c>
      <c r="W74" s="665">
        <v>24</v>
      </c>
      <c r="X74" s="665">
        <v>23</v>
      </c>
      <c r="Y74" s="665">
        <v>19</v>
      </c>
      <c r="Z74" s="665">
        <v>23</v>
      </c>
      <c r="AA74" s="665">
        <v>26</v>
      </c>
      <c r="AB74" s="665">
        <v>20</v>
      </c>
      <c r="AC74" s="665">
        <v>17</v>
      </c>
      <c r="AD74" s="665">
        <v>23</v>
      </c>
      <c r="AE74" s="665">
        <v>16</v>
      </c>
      <c r="AF74" s="665">
        <v>20</v>
      </c>
      <c r="AG74" s="665">
        <v>22</v>
      </c>
      <c r="AH74" s="665"/>
    </row>
    <row r="75" spans="1:34">
      <c r="A75" s="658" t="s">
        <v>334</v>
      </c>
      <c r="B75" s="658" t="s">
        <v>361</v>
      </c>
      <c r="C75" s="681" t="s">
        <v>457</v>
      </c>
      <c r="D75" s="681" t="s">
        <v>458</v>
      </c>
      <c r="E75" s="691">
        <f t="shared" si="24"/>
        <v>0.12790152403282534</v>
      </c>
      <c r="F75" s="680">
        <f t="shared" si="25"/>
        <v>18.183333333333334</v>
      </c>
      <c r="G75" s="680">
        <f t="shared" si="26"/>
        <v>22.333333333333332</v>
      </c>
      <c r="H75" s="679">
        <f t="shared" si="27"/>
        <v>21.5</v>
      </c>
      <c r="I75" s="679">
        <f t="shared" si="28"/>
        <v>16.166666666666668</v>
      </c>
      <c r="J75" s="679">
        <f t="shared" si="29"/>
        <v>17</v>
      </c>
      <c r="K75" s="673">
        <v>33</v>
      </c>
      <c r="L75" s="673">
        <v>18</v>
      </c>
      <c r="M75" s="673">
        <v>23</v>
      </c>
      <c r="N75" s="673">
        <v>23</v>
      </c>
      <c r="O75" s="673">
        <v>20</v>
      </c>
      <c r="P75" s="673">
        <v>17</v>
      </c>
      <c r="Q75" s="673">
        <v>22</v>
      </c>
      <c r="R75" s="673">
        <v>21</v>
      </c>
      <c r="S75" s="673">
        <v>18</v>
      </c>
      <c r="T75" s="673">
        <v>18</v>
      </c>
      <c r="U75" s="673">
        <v>24</v>
      </c>
      <c r="V75" s="665">
        <v>26</v>
      </c>
      <c r="W75" s="665">
        <v>18</v>
      </c>
      <c r="X75" s="665">
        <v>23</v>
      </c>
      <c r="Y75" s="665">
        <v>17</v>
      </c>
      <c r="Z75" s="665">
        <v>13</v>
      </c>
      <c r="AA75" s="665">
        <v>12</v>
      </c>
      <c r="AB75" s="665">
        <v>14</v>
      </c>
      <c r="AC75" s="665">
        <v>15</v>
      </c>
      <c r="AD75" s="665">
        <v>20</v>
      </c>
      <c r="AE75" s="665">
        <v>18</v>
      </c>
      <c r="AF75" s="665">
        <v>15</v>
      </c>
      <c r="AG75" s="665">
        <v>17</v>
      </c>
      <c r="AH75" s="665"/>
    </row>
    <row r="76" spans="1:34">
      <c r="A76" s="658" t="s">
        <v>334</v>
      </c>
      <c r="B76" s="658" t="s">
        <v>361</v>
      </c>
      <c r="C76" s="681" t="s">
        <v>459</v>
      </c>
      <c r="D76" s="681" t="s">
        <v>460</v>
      </c>
      <c r="E76" s="691">
        <f t="shared" si="24"/>
        <v>0.14947245017584995</v>
      </c>
      <c r="F76" s="680">
        <f t="shared" si="25"/>
        <v>21.25</v>
      </c>
      <c r="G76" s="680">
        <f t="shared" si="26"/>
        <v>18.666666666666668</v>
      </c>
      <c r="H76" s="679">
        <f t="shared" si="27"/>
        <v>20.666666666666668</v>
      </c>
      <c r="I76" s="679">
        <f t="shared" si="28"/>
        <v>20.166666666666668</v>
      </c>
      <c r="J76" s="679">
        <f t="shared" si="29"/>
        <v>23</v>
      </c>
      <c r="K76" s="673">
        <v>19</v>
      </c>
      <c r="L76" s="673">
        <v>16</v>
      </c>
      <c r="M76" s="673">
        <v>17</v>
      </c>
      <c r="N76" s="673">
        <v>18</v>
      </c>
      <c r="O76" s="673">
        <v>19</v>
      </c>
      <c r="P76" s="673">
        <v>23</v>
      </c>
      <c r="Q76" s="673">
        <v>13</v>
      </c>
      <c r="R76" s="673">
        <v>18</v>
      </c>
      <c r="S76" s="673">
        <v>15</v>
      </c>
      <c r="T76" s="673">
        <v>24</v>
      </c>
      <c r="U76" s="673">
        <v>27</v>
      </c>
      <c r="V76" s="665">
        <v>27</v>
      </c>
      <c r="W76" s="665">
        <v>21</v>
      </c>
      <c r="X76" s="665">
        <v>23</v>
      </c>
      <c r="Y76" s="665">
        <v>18</v>
      </c>
      <c r="Z76" s="665">
        <v>20</v>
      </c>
      <c r="AA76" s="665">
        <v>20</v>
      </c>
      <c r="AB76" s="665">
        <v>19</v>
      </c>
      <c r="AC76" s="665">
        <v>22</v>
      </c>
      <c r="AD76" s="665">
        <v>27</v>
      </c>
      <c r="AE76" s="665">
        <v>20</v>
      </c>
      <c r="AF76" s="665">
        <v>30</v>
      </c>
      <c r="AG76" s="665">
        <v>16</v>
      </c>
      <c r="AH76" s="665"/>
    </row>
    <row r="77" spans="1:34">
      <c r="A77" s="658" t="s">
        <v>334</v>
      </c>
      <c r="B77" s="658" t="s">
        <v>361</v>
      </c>
      <c r="C77" s="681" t="s">
        <v>461</v>
      </c>
      <c r="D77" s="681" t="s">
        <v>462</v>
      </c>
      <c r="E77" s="691">
        <f t="shared" si="24"/>
        <v>0.21226260257913251</v>
      </c>
      <c r="F77" s="680">
        <f t="shared" si="25"/>
        <v>30.176666666666669</v>
      </c>
      <c r="G77" s="680">
        <f t="shared" si="26"/>
        <v>31.833333333333332</v>
      </c>
      <c r="H77" s="679">
        <f t="shared" si="27"/>
        <v>36.166666666666664</v>
      </c>
      <c r="I77" s="679">
        <f t="shared" si="28"/>
        <v>28</v>
      </c>
      <c r="J77" s="679">
        <f t="shared" si="29"/>
        <v>28.4</v>
      </c>
      <c r="K77" s="673">
        <v>37</v>
      </c>
      <c r="L77" s="673">
        <v>28</v>
      </c>
      <c r="M77" s="673">
        <v>30</v>
      </c>
      <c r="N77" s="673">
        <v>26</v>
      </c>
      <c r="O77" s="673">
        <v>35</v>
      </c>
      <c r="P77" s="673">
        <v>35</v>
      </c>
      <c r="Q77" s="673">
        <v>36</v>
      </c>
      <c r="R77" s="673">
        <v>39</v>
      </c>
      <c r="S77" s="673">
        <v>21</v>
      </c>
      <c r="T77" s="673">
        <v>35</v>
      </c>
      <c r="U77" s="673">
        <v>43</v>
      </c>
      <c r="V77" s="665">
        <v>43</v>
      </c>
      <c r="W77" s="665">
        <v>32</v>
      </c>
      <c r="X77" s="665">
        <v>35</v>
      </c>
      <c r="Y77" s="665">
        <v>27</v>
      </c>
      <c r="Z77" s="665">
        <v>22</v>
      </c>
      <c r="AA77" s="665">
        <v>26</v>
      </c>
      <c r="AB77" s="665">
        <v>26</v>
      </c>
      <c r="AC77" s="665">
        <v>29</v>
      </c>
      <c r="AD77" s="665">
        <v>31</v>
      </c>
      <c r="AE77" s="665">
        <v>23</v>
      </c>
      <c r="AF77" s="665">
        <v>34</v>
      </c>
      <c r="AG77" s="665">
        <v>25</v>
      </c>
      <c r="AH77" s="665"/>
    </row>
    <row r="78" spans="1:34">
      <c r="A78" s="658" t="s">
        <v>334</v>
      </c>
      <c r="B78" s="658" t="s">
        <v>361</v>
      </c>
      <c r="C78" s="681" t="s">
        <v>463</v>
      </c>
      <c r="D78" s="681" t="s">
        <v>464</v>
      </c>
      <c r="E78" s="691">
        <f t="shared" si="24"/>
        <v>0.16647127784290741</v>
      </c>
      <c r="F78" s="680">
        <f t="shared" si="25"/>
        <v>23.666666666666668</v>
      </c>
      <c r="G78" s="680">
        <f t="shared" si="26"/>
        <v>30.166666666666668</v>
      </c>
      <c r="H78" s="679">
        <f t="shared" si="27"/>
        <v>29</v>
      </c>
      <c r="I78" s="679">
        <f t="shared" si="28"/>
        <v>22.833333333333332</v>
      </c>
      <c r="J78" s="679">
        <f t="shared" si="29"/>
        <v>20</v>
      </c>
      <c r="K78" s="673">
        <v>28</v>
      </c>
      <c r="L78" s="673">
        <v>30</v>
      </c>
      <c r="M78" s="673">
        <v>35</v>
      </c>
      <c r="N78" s="673">
        <v>32</v>
      </c>
      <c r="O78" s="673">
        <v>26</v>
      </c>
      <c r="P78" s="673">
        <v>30</v>
      </c>
      <c r="Q78" s="673">
        <v>25</v>
      </c>
      <c r="R78" s="673">
        <v>32</v>
      </c>
      <c r="S78" s="673">
        <v>27</v>
      </c>
      <c r="T78" s="673">
        <v>30</v>
      </c>
      <c r="U78" s="673">
        <v>26</v>
      </c>
      <c r="V78" s="665">
        <v>34</v>
      </c>
      <c r="W78" s="665">
        <v>25</v>
      </c>
      <c r="X78" s="665">
        <v>29</v>
      </c>
      <c r="Y78" s="665">
        <v>25</v>
      </c>
      <c r="Z78" s="665">
        <v>20</v>
      </c>
      <c r="AA78" s="665">
        <v>22</v>
      </c>
      <c r="AB78" s="665">
        <v>16</v>
      </c>
      <c r="AC78" s="665">
        <v>19</v>
      </c>
      <c r="AD78" s="665">
        <v>21</v>
      </c>
      <c r="AE78" s="665">
        <v>25</v>
      </c>
      <c r="AF78" s="665">
        <v>17</v>
      </c>
      <c r="AG78" s="665">
        <v>18</v>
      </c>
      <c r="AH78" s="665"/>
    </row>
    <row r="79" spans="1:34">
      <c r="A79" s="658" t="s">
        <v>454</v>
      </c>
      <c r="B79" s="658" t="s">
        <v>361</v>
      </c>
      <c r="C79" s="681" t="s">
        <v>465</v>
      </c>
      <c r="D79" s="681" t="s">
        <v>466</v>
      </c>
      <c r="E79" s="691">
        <f t="shared" si="24"/>
        <v>0.12211019929660023</v>
      </c>
      <c r="F79" s="680">
        <f t="shared" si="25"/>
        <v>17.36</v>
      </c>
      <c r="G79" s="680">
        <f t="shared" si="26"/>
        <v>22.166666666666668</v>
      </c>
      <c r="H79" s="679">
        <f t="shared" si="27"/>
        <v>21.666666666666668</v>
      </c>
      <c r="I79" s="679">
        <f t="shared" si="28"/>
        <v>19.5</v>
      </c>
      <c r="J79" s="679">
        <f t="shared" si="29"/>
        <v>12.4</v>
      </c>
      <c r="K79" s="673">
        <v>21</v>
      </c>
      <c r="L79" s="673">
        <v>19</v>
      </c>
      <c r="M79" s="673">
        <v>26</v>
      </c>
      <c r="N79" s="673">
        <v>23</v>
      </c>
      <c r="O79" s="673">
        <v>22</v>
      </c>
      <c r="P79" s="673">
        <v>22</v>
      </c>
      <c r="Q79" s="673">
        <v>19</v>
      </c>
      <c r="R79" s="673">
        <v>20</v>
      </c>
      <c r="S79" s="673">
        <v>13</v>
      </c>
      <c r="T79" s="673">
        <v>23</v>
      </c>
      <c r="U79" s="673">
        <v>27</v>
      </c>
      <c r="V79" s="665">
        <v>28</v>
      </c>
      <c r="W79" s="665">
        <v>24</v>
      </c>
      <c r="X79" s="665">
        <v>22</v>
      </c>
      <c r="Y79" s="665">
        <v>19</v>
      </c>
      <c r="Z79" s="665">
        <v>9</v>
      </c>
      <c r="AA79" s="665">
        <v>19</v>
      </c>
      <c r="AB79" s="665">
        <v>24</v>
      </c>
      <c r="AC79" s="665">
        <v>14</v>
      </c>
      <c r="AD79" s="665">
        <v>9</v>
      </c>
      <c r="AE79" s="665">
        <v>12</v>
      </c>
      <c r="AF79" s="665">
        <v>20</v>
      </c>
      <c r="AG79" s="665">
        <v>7</v>
      </c>
      <c r="AH79" s="665"/>
    </row>
    <row r="80" spans="1:34">
      <c r="A80" s="658" t="s">
        <v>334</v>
      </c>
      <c r="B80" s="658" t="s">
        <v>362</v>
      </c>
      <c r="C80" s="681" t="s">
        <v>467</v>
      </c>
      <c r="D80" s="681" t="s">
        <v>468</v>
      </c>
      <c r="E80" s="691">
        <f t="shared" si="24"/>
        <v>9.7819345555583123E-2</v>
      </c>
      <c r="F80" s="680">
        <f t="shared" si="25"/>
        <v>13.143333333333334</v>
      </c>
      <c r="G80" s="680">
        <f t="shared" si="26"/>
        <v>15.166666666666666</v>
      </c>
      <c r="H80" s="679">
        <f t="shared" si="27"/>
        <v>14.833333333333334</v>
      </c>
      <c r="I80" s="679">
        <f t="shared" si="28"/>
        <v>9.6666666666666661</v>
      </c>
      <c r="J80" s="679">
        <f t="shared" si="29"/>
        <v>14.4</v>
      </c>
      <c r="K80" s="673">
        <v>18</v>
      </c>
      <c r="L80" s="673">
        <v>15</v>
      </c>
      <c r="M80" s="673">
        <v>14</v>
      </c>
      <c r="N80" s="673">
        <v>14</v>
      </c>
      <c r="O80" s="673">
        <v>16</v>
      </c>
      <c r="P80" s="673">
        <v>14</v>
      </c>
      <c r="Q80" s="673">
        <v>14</v>
      </c>
      <c r="R80" s="673">
        <v>16</v>
      </c>
      <c r="S80" s="673">
        <v>10</v>
      </c>
      <c r="T80" s="673">
        <v>19</v>
      </c>
      <c r="U80" s="673">
        <v>15</v>
      </c>
      <c r="V80" s="665">
        <v>15</v>
      </c>
      <c r="W80" s="665">
        <v>12</v>
      </c>
      <c r="X80" s="665">
        <v>10</v>
      </c>
      <c r="Y80" s="665">
        <v>7</v>
      </c>
      <c r="Z80" s="665">
        <v>8</v>
      </c>
      <c r="AA80" s="665">
        <v>10</v>
      </c>
      <c r="AB80" s="665">
        <v>11</v>
      </c>
      <c r="AC80" s="665">
        <v>13</v>
      </c>
      <c r="AD80" s="665">
        <v>12</v>
      </c>
      <c r="AE80" s="665">
        <v>16</v>
      </c>
      <c r="AF80" s="665">
        <v>16</v>
      </c>
      <c r="AG80" s="665">
        <v>15</v>
      </c>
      <c r="AH80" s="665"/>
    </row>
    <row r="81" spans="1:34">
      <c r="A81" s="658" t="s">
        <v>334</v>
      </c>
      <c r="B81" s="658" t="s">
        <v>362</v>
      </c>
      <c r="C81" s="681" t="s">
        <v>469</v>
      </c>
      <c r="D81" s="681" t="s">
        <v>470</v>
      </c>
      <c r="E81" s="691">
        <f t="shared" si="24"/>
        <v>0.13458532833858444</v>
      </c>
      <c r="F81" s="680">
        <f t="shared" si="25"/>
        <v>18.083333333333336</v>
      </c>
      <c r="G81" s="680">
        <f t="shared" si="26"/>
        <v>18</v>
      </c>
      <c r="H81" s="679">
        <f t="shared" si="27"/>
        <v>20.166666666666668</v>
      </c>
      <c r="I81" s="679">
        <f t="shared" si="28"/>
        <v>18.166666666666668</v>
      </c>
      <c r="J81" s="679">
        <f t="shared" si="29"/>
        <v>17</v>
      </c>
      <c r="K81" s="673">
        <v>21</v>
      </c>
      <c r="L81" s="673">
        <v>18</v>
      </c>
      <c r="M81" s="673">
        <v>22</v>
      </c>
      <c r="N81" s="673">
        <v>18</v>
      </c>
      <c r="O81" s="673">
        <v>14</v>
      </c>
      <c r="P81" s="673">
        <v>15</v>
      </c>
      <c r="Q81" s="673">
        <v>18</v>
      </c>
      <c r="R81" s="673">
        <v>19</v>
      </c>
      <c r="S81" s="673">
        <v>20</v>
      </c>
      <c r="T81" s="673">
        <v>20</v>
      </c>
      <c r="U81" s="673">
        <v>25</v>
      </c>
      <c r="V81" s="665">
        <v>19</v>
      </c>
      <c r="W81" s="665">
        <v>16</v>
      </c>
      <c r="X81" s="665">
        <v>23</v>
      </c>
      <c r="Y81" s="665">
        <v>17</v>
      </c>
      <c r="Z81" s="665">
        <v>18</v>
      </c>
      <c r="AA81" s="665">
        <v>23</v>
      </c>
      <c r="AB81" s="665">
        <v>12</v>
      </c>
      <c r="AC81" s="665">
        <v>12</v>
      </c>
      <c r="AD81" s="665">
        <v>22</v>
      </c>
      <c r="AE81" s="665">
        <v>16</v>
      </c>
      <c r="AF81" s="665">
        <v>19</v>
      </c>
      <c r="AG81" s="665">
        <v>16</v>
      </c>
      <c r="AH81" s="665"/>
    </row>
    <row r="82" spans="1:34">
      <c r="A82" s="658" t="s">
        <v>334</v>
      </c>
      <c r="B82" s="658" t="s">
        <v>362</v>
      </c>
      <c r="C82" s="681" t="s">
        <v>471</v>
      </c>
      <c r="D82" s="681" t="s">
        <v>472</v>
      </c>
      <c r="E82" s="691">
        <f t="shared" si="24"/>
        <v>0.13967104120667842</v>
      </c>
      <c r="F82" s="680">
        <f t="shared" si="25"/>
        <v>18.766666666666669</v>
      </c>
      <c r="G82" s="680">
        <f t="shared" si="26"/>
        <v>15.833333333333334</v>
      </c>
      <c r="H82" s="679">
        <f t="shared" si="27"/>
        <v>19.166666666666668</v>
      </c>
      <c r="I82" s="679">
        <f t="shared" si="28"/>
        <v>19.166666666666668</v>
      </c>
      <c r="J82" s="679">
        <f t="shared" si="29"/>
        <v>19</v>
      </c>
      <c r="K82" s="673">
        <v>17</v>
      </c>
      <c r="L82" s="673">
        <v>16</v>
      </c>
      <c r="M82" s="673">
        <v>14</v>
      </c>
      <c r="N82" s="673">
        <v>21</v>
      </c>
      <c r="O82" s="673">
        <v>17</v>
      </c>
      <c r="P82" s="673">
        <v>10</v>
      </c>
      <c r="Q82" s="673">
        <v>17</v>
      </c>
      <c r="R82" s="673">
        <v>27</v>
      </c>
      <c r="S82" s="673">
        <v>14</v>
      </c>
      <c r="T82" s="673">
        <v>16</v>
      </c>
      <c r="U82" s="673">
        <v>20</v>
      </c>
      <c r="V82" s="665">
        <v>21</v>
      </c>
      <c r="W82" s="665">
        <v>16</v>
      </c>
      <c r="X82" s="665">
        <v>25</v>
      </c>
      <c r="Y82" s="665">
        <v>18</v>
      </c>
      <c r="Z82" s="665">
        <v>18</v>
      </c>
      <c r="AA82" s="665">
        <v>19</v>
      </c>
      <c r="AB82" s="665">
        <v>19</v>
      </c>
      <c r="AC82" s="665">
        <v>15</v>
      </c>
      <c r="AD82" s="665">
        <v>21</v>
      </c>
      <c r="AE82" s="665">
        <v>18</v>
      </c>
      <c r="AF82" s="665">
        <v>19</v>
      </c>
      <c r="AG82" s="665">
        <v>22</v>
      </c>
      <c r="AH82" s="665"/>
    </row>
    <row r="83" spans="1:34">
      <c r="A83" s="658" t="s">
        <v>334</v>
      </c>
      <c r="B83" s="658" t="s">
        <v>362</v>
      </c>
      <c r="C83" s="681" t="s">
        <v>473</v>
      </c>
      <c r="D83" s="681" t="s">
        <v>474</v>
      </c>
      <c r="E83" s="691">
        <f t="shared" si="24"/>
        <v>9.9952864124637164E-2</v>
      </c>
      <c r="F83" s="680">
        <f t="shared" si="25"/>
        <v>13.43</v>
      </c>
      <c r="G83" s="680">
        <f t="shared" si="26"/>
        <v>14.666666666666666</v>
      </c>
      <c r="H83" s="679">
        <f t="shared" si="27"/>
        <v>11.166666666666666</v>
      </c>
      <c r="I83" s="679">
        <f t="shared" si="28"/>
        <v>12.166666666666666</v>
      </c>
      <c r="J83" s="679">
        <f t="shared" si="29"/>
        <v>15.2</v>
      </c>
      <c r="K83" s="673">
        <v>14</v>
      </c>
      <c r="L83" s="673">
        <v>19</v>
      </c>
      <c r="M83" s="673">
        <v>16</v>
      </c>
      <c r="N83" s="673">
        <v>12</v>
      </c>
      <c r="O83" s="673">
        <v>17</v>
      </c>
      <c r="P83" s="673">
        <v>10</v>
      </c>
      <c r="Q83" s="673">
        <v>9</v>
      </c>
      <c r="R83" s="673">
        <v>9</v>
      </c>
      <c r="S83" s="673">
        <v>9</v>
      </c>
      <c r="T83" s="673">
        <v>14</v>
      </c>
      <c r="U83" s="673">
        <v>14</v>
      </c>
      <c r="V83" s="665">
        <v>12</v>
      </c>
      <c r="W83" s="665">
        <v>10</v>
      </c>
      <c r="X83" s="665">
        <v>14</v>
      </c>
      <c r="Y83" s="665">
        <v>16</v>
      </c>
      <c r="Z83" s="665">
        <v>5</v>
      </c>
      <c r="AA83" s="665">
        <v>16</v>
      </c>
      <c r="AB83" s="665">
        <v>12</v>
      </c>
      <c r="AC83" s="665">
        <v>17</v>
      </c>
      <c r="AD83" s="665">
        <v>15</v>
      </c>
      <c r="AE83" s="665">
        <v>11</v>
      </c>
      <c r="AF83" s="665">
        <v>23</v>
      </c>
      <c r="AG83" s="665">
        <v>10</v>
      </c>
      <c r="AH83" s="665"/>
    </row>
    <row r="84" spans="1:34">
      <c r="A84" s="658" t="s">
        <v>334</v>
      </c>
      <c r="B84" s="658" t="s">
        <v>362</v>
      </c>
      <c r="C84" s="681" t="s">
        <v>475</v>
      </c>
      <c r="D84" s="681" t="s">
        <v>476</v>
      </c>
      <c r="E84" s="691">
        <f t="shared" si="24"/>
        <v>0.1789178595350914</v>
      </c>
      <c r="F84" s="680">
        <f t="shared" si="25"/>
        <v>24.04</v>
      </c>
      <c r="G84" s="680">
        <f t="shared" si="26"/>
        <v>22.333333333333332</v>
      </c>
      <c r="H84" s="679">
        <f t="shared" si="27"/>
        <v>30.333333333333332</v>
      </c>
      <c r="I84" s="679">
        <f t="shared" si="28"/>
        <v>25</v>
      </c>
      <c r="J84" s="679">
        <f t="shared" si="29"/>
        <v>20.6</v>
      </c>
      <c r="K84" s="673">
        <v>20</v>
      </c>
      <c r="L84" s="673">
        <v>15</v>
      </c>
      <c r="M84" s="673">
        <v>24</v>
      </c>
      <c r="N84" s="673">
        <v>28</v>
      </c>
      <c r="O84" s="673">
        <v>25</v>
      </c>
      <c r="P84" s="673">
        <v>22</v>
      </c>
      <c r="Q84" s="673">
        <v>31</v>
      </c>
      <c r="R84" s="673">
        <v>27</v>
      </c>
      <c r="S84" s="673">
        <v>23</v>
      </c>
      <c r="T84" s="673">
        <v>33</v>
      </c>
      <c r="U84" s="673">
        <v>35</v>
      </c>
      <c r="V84" s="665">
        <v>33</v>
      </c>
      <c r="W84" s="665">
        <v>35</v>
      </c>
      <c r="X84" s="665">
        <v>24</v>
      </c>
      <c r="Y84" s="665">
        <v>20</v>
      </c>
      <c r="Z84" s="665">
        <v>16</v>
      </c>
      <c r="AA84" s="665">
        <v>31</v>
      </c>
      <c r="AB84" s="665">
        <v>24</v>
      </c>
      <c r="AC84" s="665">
        <v>18</v>
      </c>
      <c r="AD84" s="665">
        <v>32</v>
      </c>
      <c r="AE84" s="665">
        <v>18</v>
      </c>
      <c r="AF84" s="665">
        <v>20</v>
      </c>
      <c r="AG84" s="665">
        <v>15</v>
      </c>
      <c r="AH84" s="665"/>
    </row>
    <row r="85" spans="1:34">
      <c r="A85" s="658" t="s">
        <v>334</v>
      </c>
      <c r="B85" s="658" t="s">
        <v>362</v>
      </c>
      <c r="C85" s="681" t="s">
        <v>477</v>
      </c>
      <c r="D85" s="681" t="s">
        <v>478</v>
      </c>
      <c r="E85" s="691">
        <f t="shared" si="24"/>
        <v>0.14388846163387828</v>
      </c>
      <c r="F85" s="680">
        <f t="shared" si="25"/>
        <v>19.333333333333332</v>
      </c>
      <c r="G85" s="680">
        <f t="shared" si="26"/>
        <v>21.333333333333332</v>
      </c>
      <c r="H85" s="679">
        <f t="shared" si="27"/>
        <v>21</v>
      </c>
      <c r="I85" s="679">
        <f t="shared" si="28"/>
        <v>19.333333333333332</v>
      </c>
      <c r="J85" s="679">
        <f t="shared" si="29"/>
        <v>18</v>
      </c>
      <c r="K85" s="673">
        <v>20</v>
      </c>
      <c r="L85" s="673">
        <v>18</v>
      </c>
      <c r="M85" s="673">
        <v>22</v>
      </c>
      <c r="N85" s="673">
        <v>23</v>
      </c>
      <c r="O85" s="673">
        <v>23</v>
      </c>
      <c r="P85" s="673">
        <v>22</v>
      </c>
      <c r="Q85" s="673">
        <v>23</v>
      </c>
      <c r="R85" s="673">
        <v>25</v>
      </c>
      <c r="S85" s="673">
        <v>22</v>
      </c>
      <c r="T85" s="673">
        <v>21</v>
      </c>
      <c r="U85" s="673">
        <v>18</v>
      </c>
      <c r="V85" s="665">
        <v>17</v>
      </c>
      <c r="W85" s="665">
        <v>22</v>
      </c>
      <c r="X85" s="665">
        <v>22</v>
      </c>
      <c r="Y85" s="665">
        <v>16</v>
      </c>
      <c r="Z85" s="665">
        <v>13</v>
      </c>
      <c r="AA85" s="665">
        <v>21</v>
      </c>
      <c r="AB85" s="665">
        <v>22</v>
      </c>
      <c r="AC85" s="665">
        <v>15</v>
      </c>
      <c r="AD85" s="665">
        <v>23</v>
      </c>
      <c r="AE85" s="665">
        <v>21</v>
      </c>
      <c r="AF85" s="665">
        <v>21</v>
      </c>
      <c r="AG85" s="665">
        <v>10</v>
      </c>
      <c r="AH85" s="665"/>
    </row>
    <row r="86" spans="1:34">
      <c r="A86" s="658" t="s">
        <v>334</v>
      </c>
      <c r="B86" s="658" t="s">
        <v>489</v>
      </c>
      <c r="C86" s="681" t="s">
        <v>480</v>
      </c>
      <c r="D86" s="681" t="s">
        <v>479</v>
      </c>
      <c r="E86" s="691">
        <f t="shared" si="24"/>
        <v>0.20516509960554713</v>
      </c>
      <c r="F86" s="680">
        <f t="shared" si="25"/>
        <v>27.566666666666666</v>
      </c>
      <c r="G86" s="680">
        <f t="shared" si="26"/>
        <v>33.333333333333336</v>
      </c>
      <c r="H86" s="679">
        <f t="shared" si="27"/>
        <v>32.166666666666664</v>
      </c>
      <c r="I86" s="679">
        <f t="shared" si="28"/>
        <v>30</v>
      </c>
      <c r="J86" s="679">
        <f t="shared" si="29"/>
        <v>22</v>
      </c>
      <c r="K86" s="673">
        <v>34</v>
      </c>
      <c r="L86" s="673">
        <v>26</v>
      </c>
      <c r="M86" s="673">
        <v>33</v>
      </c>
      <c r="N86" s="673">
        <v>37</v>
      </c>
      <c r="O86" s="673">
        <v>36</v>
      </c>
      <c r="P86" s="673">
        <v>34</v>
      </c>
      <c r="Q86" s="673">
        <v>39</v>
      </c>
      <c r="R86" s="673">
        <v>35</v>
      </c>
      <c r="S86" s="673">
        <v>30</v>
      </c>
      <c r="T86" s="673">
        <v>27</v>
      </c>
      <c r="U86" s="673">
        <v>32</v>
      </c>
      <c r="V86" s="665">
        <v>30</v>
      </c>
      <c r="W86" s="665">
        <v>32</v>
      </c>
      <c r="X86" s="665">
        <v>28</v>
      </c>
      <c r="Y86" s="665">
        <v>28</v>
      </c>
      <c r="Z86" s="665">
        <v>25</v>
      </c>
      <c r="AA86" s="665">
        <v>34</v>
      </c>
      <c r="AB86" s="665">
        <v>33</v>
      </c>
      <c r="AC86" s="665">
        <v>31</v>
      </c>
      <c r="AD86" s="665">
        <v>29</v>
      </c>
      <c r="AE86" s="665">
        <v>26</v>
      </c>
      <c r="AF86" s="665">
        <v>12</v>
      </c>
      <c r="AG86" s="665">
        <v>12</v>
      </c>
      <c r="AH86" s="665"/>
    </row>
  </sheetData>
  <mergeCells count="36">
    <mergeCell ref="C12:D12"/>
    <mergeCell ref="C6:D7"/>
    <mergeCell ref="E6:E7"/>
    <mergeCell ref="F6:F7"/>
    <mergeCell ref="G6:H6"/>
    <mergeCell ref="W6:AH6"/>
    <mergeCell ref="C8:D8"/>
    <mergeCell ref="C9:D9"/>
    <mergeCell ref="C10:D10"/>
    <mergeCell ref="C11:D11"/>
    <mergeCell ref="I6:J6"/>
    <mergeCell ref="K6:V6"/>
    <mergeCell ref="C21:D21"/>
    <mergeCell ref="C15:D16"/>
    <mergeCell ref="E15:E16"/>
    <mergeCell ref="F15:F16"/>
    <mergeCell ref="G15:H15"/>
    <mergeCell ref="W15:AH15"/>
    <mergeCell ref="C17:D17"/>
    <mergeCell ref="C18:D18"/>
    <mergeCell ref="C19:D19"/>
    <mergeCell ref="C20:D20"/>
    <mergeCell ref="I15:J15"/>
    <mergeCell ref="K15:V15"/>
    <mergeCell ref="K28:V28"/>
    <mergeCell ref="W28:AH28"/>
    <mergeCell ref="C30:D30"/>
    <mergeCell ref="C22:D22"/>
    <mergeCell ref="C23:D23"/>
    <mergeCell ref="C24:D24"/>
    <mergeCell ref="C25:D25"/>
    <mergeCell ref="C28:D29"/>
    <mergeCell ref="E28:E29"/>
    <mergeCell ref="F28:F29"/>
    <mergeCell ref="G28:H28"/>
    <mergeCell ref="I28:J28"/>
  </mergeCells>
  <phoneticPr fontId="1" type="noConversion"/>
  <conditionalFormatting sqref="W31:AH86 I28 K28:AH28 K15:AH16 K6:AH7 G28 G29:AH29 F30:AH30 F31:J86 F6 F1:AH5 F87:AH1048576 C1:D1 E17:AH27 F8:AH14 C4:D1048576 D2:D3">
    <cfRule type="cellIs" dxfId="9" priority="11" operator="equal">
      <formula>0</formula>
    </cfRule>
  </conditionalFormatting>
  <conditionalFormatting sqref="K31:V86">
    <cfRule type="cellIs" dxfId="8" priority="10" operator="equal">
      <formula>0</formula>
    </cfRule>
  </conditionalFormatting>
  <conditionalFormatting sqref="G16:J16 G15 I15">
    <cfRule type="cellIs" dxfId="7" priority="9" operator="equal">
      <formula>0</formula>
    </cfRule>
  </conditionalFormatting>
  <conditionalFormatting sqref="G7:J7 G6 I6">
    <cfRule type="cellIs" dxfId="6" priority="8" operator="equal">
      <formula>0</formula>
    </cfRule>
  </conditionalFormatting>
  <conditionalFormatting sqref="F15">
    <cfRule type="cellIs" dxfId="5" priority="7" operator="equal">
      <formula>0</formula>
    </cfRule>
  </conditionalFormatting>
  <conditionalFormatting sqref="F28">
    <cfRule type="cellIs" dxfId="4" priority="6" operator="equal">
      <formula>0</formula>
    </cfRule>
  </conditionalFormatting>
  <conditionalFormatting sqref="E8:E14 E1:E6 E30:E1048576">
    <cfRule type="cellIs" dxfId="3" priority="5" operator="equal">
      <formula>0</formula>
    </cfRule>
  </conditionalFormatting>
  <conditionalFormatting sqref="E15">
    <cfRule type="cellIs" dxfId="2" priority="4" operator="equal">
      <formula>0</formula>
    </cfRule>
  </conditionalFormatting>
  <conditionalFormatting sqref="E28">
    <cfRule type="cellIs" dxfId="1" priority="3" operator="equal">
      <formula>0</formula>
    </cfRule>
  </conditionalFormatting>
  <conditionalFormatting sqref="C2:C3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  <pageSetUpPr fitToPage="1"/>
  </sheetPr>
  <dimension ref="B1:X111"/>
  <sheetViews>
    <sheetView showGridLines="0" view="pageBreakPreview" zoomScale="70" zoomScaleNormal="70" zoomScaleSheetLayoutView="70" workbookViewId="0">
      <selection activeCell="I55" sqref="I55"/>
    </sheetView>
  </sheetViews>
  <sheetFormatPr defaultColWidth="8.75" defaultRowHeight="17.5"/>
  <cols>
    <col min="1" max="1" width="2.33203125" style="209" customWidth="1"/>
    <col min="2" max="2" width="29.5" style="210" customWidth="1"/>
    <col min="3" max="3" width="11.5" style="209" customWidth="1"/>
    <col min="4" max="4" width="15" style="209" customWidth="1"/>
    <col min="5" max="5" width="12.25" style="209" hidden="1" customWidth="1"/>
    <col min="6" max="6" width="9.33203125" style="209" customWidth="1"/>
    <col min="7" max="8" width="13.75" style="209" customWidth="1"/>
    <col min="9" max="10" width="14.33203125" style="209" customWidth="1"/>
    <col min="11" max="12" width="14.33203125" style="209" hidden="1" customWidth="1"/>
    <col min="13" max="23" width="14.33203125" style="209" customWidth="1"/>
    <col min="24" max="24" width="2.08203125" style="209" customWidth="1"/>
    <col min="25" max="16384" width="8.75" style="209"/>
  </cols>
  <sheetData>
    <row r="1" spans="2:24" ht="11.5" customHeight="1"/>
    <row r="2" spans="2:24" ht="55.15" customHeight="1">
      <c r="B2" s="1005" t="s">
        <v>276</v>
      </c>
      <c r="C2" s="1005"/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05"/>
      <c r="V2" s="1005"/>
      <c r="W2" s="1005"/>
    </row>
    <row r="3" spans="2:24" ht="9.75" customHeight="1" thickBot="1"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</row>
    <row r="4" spans="2:24" ht="25.9" customHeight="1">
      <c r="B4" s="940" t="s">
        <v>277</v>
      </c>
      <c r="C4" s="1019" t="s">
        <v>278</v>
      </c>
      <c r="D4" s="943" t="s">
        <v>275</v>
      </c>
      <c r="E4" s="1024" t="s">
        <v>18</v>
      </c>
      <c r="F4" s="934" t="s">
        <v>229</v>
      </c>
      <c r="G4" s="946" t="s">
        <v>34</v>
      </c>
      <c r="H4" s="934" t="s">
        <v>70</v>
      </c>
      <c r="I4" s="937" t="s">
        <v>35</v>
      </c>
      <c r="J4" s="244" t="s">
        <v>31</v>
      </c>
      <c r="K4" s="244"/>
      <c r="L4" s="244"/>
      <c r="M4" s="244"/>
      <c r="N4" s="244"/>
      <c r="O4" s="244"/>
      <c r="P4" s="244"/>
      <c r="Q4" s="244"/>
      <c r="R4" s="244"/>
      <c r="S4" s="244"/>
      <c r="T4" s="244"/>
      <c r="U4" s="244"/>
      <c r="V4" s="244"/>
      <c r="W4" s="244"/>
      <c r="X4" s="2"/>
    </row>
    <row r="5" spans="2:24" ht="25.9" customHeight="1">
      <c r="B5" s="941"/>
      <c r="C5" s="1020"/>
      <c r="D5" s="944"/>
      <c r="E5" s="1025"/>
      <c r="F5" s="935"/>
      <c r="G5" s="947"/>
      <c r="H5" s="935"/>
      <c r="I5" s="938"/>
      <c r="J5" s="1006" t="s">
        <v>19</v>
      </c>
      <c r="K5" s="1007"/>
      <c r="L5" s="1007"/>
      <c r="M5" s="245" t="s">
        <v>20</v>
      </c>
      <c r="N5" s="245" t="s">
        <v>21</v>
      </c>
      <c r="O5" s="245" t="s">
        <v>22</v>
      </c>
      <c r="P5" s="245" t="s">
        <v>23</v>
      </c>
      <c r="Q5" s="245" t="s">
        <v>24</v>
      </c>
      <c r="R5" s="245" t="s">
        <v>25</v>
      </c>
      <c r="S5" s="245" t="s">
        <v>26</v>
      </c>
      <c r="T5" s="245" t="s">
        <v>27</v>
      </c>
      <c r="U5" s="245" t="s">
        <v>28</v>
      </c>
      <c r="V5" s="245" t="s">
        <v>29</v>
      </c>
      <c r="W5" s="245" t="s">
        <v>30</v>
      </c>
      <c r="X5" s="2"/>
    </row>
    <row r="6" spans="2:24" ht="25.9" customHeight="1">
      <c r="B6" s="942"/>
      <c r="C6" s="1021"/>
      <c r="D6" s="945"/>
      <c r="E6" s="1026"/>
      <c r="F6" s="936"/>
      <c r="G6" s="948"/>
      <c r="H6" s="936"/>
      <c r="I6" s="939"/>
      <c r="J6" s="246" t="s">
        <v>283</v>
      </c>
      <c r="K6" s="247" t="s">
        <v>284</v>
      </c>
      <c r="L6" s="247" t="s">
        <v>285</v>
      </c>
      <c r="M6" s="248" t="s">
        <v>282</v>
      </c>
      <c r="N6" s="248" t="s">
        <v>282</v>
      </c>
      <c r="O6" s="248" t="s">
        <v>282</v>
      </c>
      <c r="P6" s="248" t="s">
        <v>282</v>
      </c>
      <c r="Q6" s="248" t="s">
        <v>282</v>
      </c>
      <c r="R6" s="248" t="s">
        <v>282</v>
      </c>
      <c r="S6" s="248" t="s">
        <v>282</v>
      </c>
      <c r="T6" s="248" t="s">
        <v>282</v>
      </c>
      <c r="U6" s="248" t="s">
        <v>282</v>
      </c>
      <c r="V6" s="248" t="s">
        <v>282</v>
      </c>
      <c r="W6" s="248" t="s">
        <v>282</v>
      </c>
      <c r="X6" s="2"/>
    </row>
    <row r="7" spans="2:24" s="206" customFormat="1" ht="24" customHeight="1">
      <c r="B7" s="929" t="s">
        <v>296</v>
      </c>
      <c r="C7" s="1013"/>
      <c r="D7" s="259" t="s">
        <v>293</v>
      </c>
      <c r="E7" s="260"/>
      <c r="F7" s="261" t="s">
        <v>294</v>
      </c>
      <c r="G7" s="262">
        <v>707817</v>
      </c>
      <c r="H7" s="263">
        <f t="shared" ref="H7:H13" si="0">(I7-G7)/G7</f>
        <v>0.13023564000299512</v>
      </c>
      <c r="I7" s="264">
        <f>SUM(I8:I13)</f>
        <v>800000</v>
      </c>
      <c r="J7" s="265">
        <v>69253</v>
      </c>
      <c r="K7" s="266"/>
      <c r="L7" s="266"/>
      <c r="M7" s="266">
        <v>61617</v>
      </c>
      <c r="N7" s="266">
        <v>66941</v>
      </c>
      <c r="O7" s="266">
        <v>61718</v>
      </c>
      <c r="P7" s="266">
        <v>67781</v>
      </c>
      <c r="Q7" s="266">
        <v>64467.5</v>
      </c>
      <c r="R7" s="266">
        <v>60236</v>
      </c>
      <c r="S7" s="266">
        <v>67955</v>
      </c>
      <c r="T7" s="266">
        <v>60613</v>
      </c>
      <c r="U7" s="266">
        <v>68672</v>
      </c>
      <c r="V7" s="266">
        <v>66996.5</v>
      </c>
      <c r="W7" s="267">
        <v>64450</v>
      </c>
    </row>
    <row r="8" spans="2:24" s="206" customFormat="1" ht="24" customHeight="1">
      <c r="B8" s="930"/>
      <c r="C8" s="1014"/>
      <c r="D8" s="268" t="s">
        <v>112</v>
      </c>
      <c r="E8" s="269"/>
      <c r="F8" s="270" t="s">
        <v>294</v>
      </c>
      <c r="G8" s="271">
        <v>239227.5</v>
      </c>
      <c r="H8" s="272">
        <f t="shared" si="0"/>
        <v>0.12779676249595051</v>
      </c>
      <c r="I8" s="273">
        <v>269800</v>
      </c>
      <c r="J8" s="274">
        <v>23177</v>
      </c>
      <c r="K8" s="275"/>
      <c r="L8" s="275"/>
      <c r="M8" s="275">
        <v>19003</v>
      </c>
      <c r="N8" s="275">
        <v>23575</v>
      </c>
      <c r="O8" s="275">
        <v>22702</v>
      </c>
      <c r="P8" s="275">
        <v>22702</v>
      </c>
      <c r="Q8" s="275">
        <v>22702</v>
      </c>
      <c r="R8" s="275">
        <v>22496</v>
      </c>
      <c r="S8" s="275">
        <v>21622</v>
      </c>
      <c r="T8" s="275">
        <v>23177</v>
      </c>
      <c r="U8" s="275">
        <v>23447</v>
      </c>
      <c r="V8" s="275">
        <v>22702</v>
      </c>
      <c r="W8" s="276">
        <v>22495</v>
      </c>
    </row>
    <row r="9" spans="2:24" s="206" customFormat="1" ht="24" customHeight="1">
      <c r="B9" s="930"/>
      <c r="C9" s="1014"/>
      <c r="D9" s="268" t="s">
        <v>295</v>
      </c>
      <c r="E9" s="269"/>
      <c r="F9" s="270" t="s">
        <v>294</v>
      </c>
      <c r="G9" s="271">
        <v>16806</v>
      </c>
      <c r="H9" s="272">
        <f t="shared" si="0"/>
        <v>0.14839938117339047</v>
      </c>
      <c r="I9" s="273">
        <v>19300</v>
      </c>
      <c r="J9" s="274"/>
      <c r="K9" s="275"/>
      <c r="L9" s="275"/>
      <c r="M9" s="275"/>
      <c r="N9" s="275"/>
      <c r="O9" s="275"/>
      <c r="P9" s="275"/>
      <c r="Q9" s="275"/>
      <c r="R9" s="275"/>
      <c r="S9" s="275"/>
      <c r="T9" s="275"/>
      <c r="U9" s="275"/>
      <c r="V9" s="275"/>
      <c r="W9" s="276"/>
    </row>
    <row r="10" spans="2:24" s="206" customFormat="1" ht="24" customHeight="1">
      <c r="B10" s="930"/>
      <c r="C10" s="1014"/>
      <c r="D10" s="268" t="s">
        <v>120</v>
      </c>
      <c r="E10" s="269"/>
      <c r="F10" s="270" t="s">
        <v>294</v>
      </c>
      <c r="G10" s="271">
        <v>334315.5</v>
      </c>
      <c r="H10" s="272">
        <f t="shared" si="0"/>
        <v>0.12229316319464698</v>
      </c>
      <c r="I10" s="273">
        <v>375200</v>
      </c>
      <c r="J10" s="274">
        <v>33662</v>
      </c>
      <c r="K10" s="275"/>
      <c r="L10" s="275"/>
      <c r="M10" s="275">
        <v>32857</v>
      </c>
      <c r="N10" s="275">
        <v>32594</v>
      </c>
      <c r="O10" s="275">
        <v>28717</v>
      </c>
      <c r="P10" s="275">
        <v>34677</v>
      </c>
      <c r="Q10" s="275">
        <v>31276</v>
      </c>
      <c r="R10" s="275">
        <v>26850</v>
      </c>
      <c r="S10" s="275">
        <v>35051</v>
      </c>
      <c r="T10" s="275">
        <v>26785</v>
      </c>
      <c r="U10" s="275">
        <v>29609</v>
      </c>
      <c r="V10" s="275">
        <v>31561</v>
      </c>
      <c r="W10" s="276">
        <v>31561</v>
      </c>
    </row>
    <row r="11" spans="2:24" s="206" customFormat="1" ht="24" customHeight="1">
      <c r="B11" s="930"/>
      <c r="C11" s="1014"/>
      <c r="D11" s="277" t="s">
        <v>121</v>
      </c>
      <c r="E11" s="278"/>
      <c r="F11" s="270" t="s">
        <v>294</v>
      </c>
      <c r="G11" s="271">
        <v>68439.5</v>
      </c>
      <c r="H11" s="272">
        <f t="shared" si="0"/>
        <v>0.10024181941714945</v>
      </c>
      <c r="I11" s="273">
        <v>75300</v>
      </c>
      <c r="J11" s="274">
        <v>6207</v>
      </c>
      <c r="K11" s="275"/>
      <c r="L11" s="275"/>
      <c r="M11" s="275">
        <v>5199</v>
      </c>
      <c r="N11" s="275">
        <v>5382</v>
      </c>
      <c r="O11" s="275">
        <v>5559</v>
      </c>
      <c r="P11" s="275">
        <v>5664</v>
      </c>
      <c r="Q11" s="275">
        <v>5974.5</v>
      </c>
      <c r="R11" s="275">
        <v>5559</v>
      </c>
      <c r="S11" s="275">
        <v>6594</v>
      </c>
      <c r="T11" s="275">
        <v>6024</v>
      </c>
      <c r="U11" s="275">
        <v>9462</v>
      </c>
      <c r="V11" s="275">
        <v>7651.5</v>
      </c>
      <c r="W11" s="276">
        <v>6024</v>
      </c>
    </row>
    <row r="12" spans="2:24" s="206" customFormat="1" ht="24" customHeight="1">
      <c r="B12" s="930"/>
      <c r="C12" s="1014"/>
      <c r="D12" s="277" t="s">
        <v>117</v>
      </c>
      <c r="E12" s="278"/>
      <c r="F12" s="270" t="s">
        <v>294</v>
      </c>
      <c r="G12" s="271">
        <v>30633</v>
      </c>
      <c r="H12" s="272">
        <f t="shared" si="0"/>
        <v>0.22417001273136813</v>
      </c>
      <c r="I12" s="273">
        <v>37500</v>
      </c>
      <c r="J12" s="274">
        <v>4347</v>
      </c>
      <c r="K12" s="275"/>
      <c r="L12" s="275"/>
      <c r="M12" s="275">
        <v>2778</v>
      </c>
      <c r="N12" s="275">
        <v>3610</v>
      </c>
      <c r="O12" s="275">
        <v>2880</v>
      </c>
      <c r="P12" s="275">
        <v>2878</v>
      </c>
      <c r="Q12" s="275">
        <v>2585</v>
      </c>
      <c r="R12" s="275">
        <v>3471</v>
      </c>
      <c r="S12" s="275">
        <v>2828</v>
      </c>
      <c r="T12" s="275">
        <v>2607</v>
      </c>
      <c r="U12" s="275">
        <v>3754</v>
      </c>
      <c r="V12" s="275">
        <v>3082</v>
      </c>
      <c r="W12" s="276">
        <v>2680</v>
      </c>
    </row>
    <row r="13" spans="2:24" s="206" customFormat="1" ht="24" customHeight="1">
      <c r="B13" s="931"/>
      <c r="C13" s="1015"/>
      <c r="D13" s="279" t="s">
        <v>118</v>
      </c>
      <c r="E13" s="280"/>
      <c r="F13" s="281" t="s">
        <v>294</v>
      </c>
      <c r="G13" s="282">
        <v>18395.5</v>
      </c>
      <c r="H13" s="283">
        <f t="shared" si="0"/>
        <v>0.24486966921257916</v>
      </c>
      <c r="I13" s="284">
        <v>22900</v>
      </c>
      <c r="J13" s="285">
        <v>1860</v>
      </c>
      <c r="K13" s="286"/>
      <c r="L13" s="286"/>
      <c r="M13" s="286">
        <v>1780</v>
      </c>
      <c r="N13" s="286">
        <v>1780</v>
      </c>
      <c r="O13" s="286">
        <v>1860</v>
      </c>
      <c r="P13" s="286">
        <v>1860</v>
      </c>
      <c r="Q13" s="286">
        <v>1930</v>
      </c>
      <c r="R13" s="286">
        <v>1860</v>
      </c>
      <c r="S13" s="286">
        <v>1860</v>
      </c>
      <c r="T13" s="286">
        <v>2020</v>
      </c>
      <c r="U13" s="286">
        <v>2400</v>
      </c>
      <c r="V13" s="286">
        <v>2000</v>
      </c>
      <c r="W13" s="287">
        <v>1690</v>
      </c>
    </row>
    <row r="14" spans="2:24" s="206" customFormat="1" ht="24" customHeight="1">
      <c r="B14" s="929" t="s">
        <v>290</v>
      </c>
      <c r="C14" s="1013"/>
      <c r="D14" s="259" t="s">
        <v>154</v>
      </c>
      <c r="E14" s="260"/>
      <c r="F14" s="261" t="s">
        <v>211</v>
      </c>
      <c r="G14" s="262">
        <v>652050</v>
      </c>
      <c r="H14" s="263">
        <f t="shared" ref="H14:H47" si="1">(I14-G14)/G14</f>
        <v>0.14255041791273676</v>
      </c>
      <c r="I14" s="264">
        <f>SUM(I15:I20)</f>
        <v>745000</v>
      </c>
      <c r="J14" s="265">
        <f>SUM(J15:J20)</f>
        <v>64729</v>
      </c>
      <c r="K14" s="266"/>
      <c r="L14" s="266"/>
      <c r="M14" s="266">
        <f t="shared" ref="M14:W14" si="2">SUM(M15:M20)</f>
        <v>57768</v>
      </c>
      <c r="N14" s="266">
        <f t="shared" si="2"/>
        <v>62602</v>
      </c>
      <c r="O14" s="266">
        <f t="shared" si="2"/>
        <v>57527</v>
      </c>
      <c r="P14" s="266">
        <f t="shared" si="2"/>
        <v>63516</v>
      </c>
      <c r="Q14" s="266">
        <f t="shared" si="2"/>
        <v>60217.5</v>
      </c>
      <c r="R14" s="266">
        <f t="shared" si="2"/>
        <v>55989</v>
      </c>
      <c r="S14" s="266">
        <f t="shared" si="2"/>
        <v>63734</v>
      </c>
      <c r="T14" s="266">
        <f t="shared" si="2"/>
        <v>56300</v>
      </c>
      <c r="U14" s="266">
        <f t="shared" si="2"/>
        <v>63707</v>
      </c>
      <c r="V14" s="266">
        <f t="shared" si="2"/>
        <v>62528.5</v>
      </c>
      <c r="W14" s="267">
        <f t="shared" si="2"/>
        <v>60382</v>
      </c>
    </row>
    <row r="15" spans="2:24" s="206" customFormat="1" ht="24" customHeight="1">
      <c r="B15" s="930"/>
      <c r="C15" s="1014"/>
      <c r="D15" s="268" t="s">
        <v>155</v>
      </c>
      <c r="E15" s="269"/>
      <c r="F15" s="270" t="s">
        <v>211</v>
      </c>
      <c r="G15" s="271">
        <v>214930</v>
      </c>
      <c r="H15" s="272">
        <f t="shared" si="1"/>
        <v>0.15339878099846463</v>
      </c>
      <c r="I15" s="273">
        <v>247900</v>
      </c>
      <c r="J15" s="274">
        <v>21296</v>
      </c>
      <c r="K15" s="275"/>
      <c r="L15" s="275"/>
      <c r="M15" s="275">
        <v>17461</v>
      </c>
      <c r="N15" s="275">
        <v>21661</v>
      </c>
      <c r="O15" s="275">
        <v>20859</v>
      </c>
      <c r="P15" s="275">
        <v>20859</v>
      </c>
      <c r="Q15" s="275">
        <v>20859</v>
      </c>
      <c r="R15" s="275">
        <v>20670</v>
      </c>
      <c r="S15" s="275">
        <v>19867</v>
      </c>
      <c r="T15" s="275">
        <v>21296</v>
      </c>
      <c r="U15" s="275">
        <v>21544</v>
      </c>
      <c r="V15" s="275">
        <v>20858</v>
      </c>
      <c r="W15" s="276">
        <v>20670</v>
      </c>
    </row>
    <row r="16" spans="2:24" s="206" customFormat="1" ht="24" customHeight="1">
      <c r="B16" s="930"/>
      <c r="C16" s="1014"/>
      <c r="D16" s="268" t="s">
        <v>156</v>
      </c>
      <c r="E16" s="269"/>
      <c r="F16" s="270" t="s">
        <v>211</v>
      </c>
      <c r="G16" s="271">
        <v>13960</v>
      </c>
      <c r="H16" s="272">
        <f t="shared" si="1"/>
        <v>0.14613180515759314</v>
      </c>
      <c r="I16" s="273">
        <v>16000</v>
      </c>
      <c r="J16" s="274"/>
      <c r="K16" s="275"/>
      <c r="L16" s="275"/>
      <c r="M16" s="275"/>
      <c r="N16" s="275"/>
      <c r="O16" s="275"/>
      <c r="P16" s="275"/>
      <c r="Q16" s="275"/>
      <c r="R16" s="275"/>
      <c r="S16" s="275"/>
      <c r="T16" s="275"/>
      <c r="U16" s="275"/>
      <c r="V16" s="275"/>
      <c r="W16" s="276"/>
    </row>
    <row r="17" spans="2:23" s="206" customFormat="1" ht="24" customHeight="1">
      <c r="B17" s="930"/>
      <c r="C17" s="1014"/>
      <c r="D17" s="268" t="s">
        <v>157</v>
      </c>
      <c r="E17" s="269"/>
      <c r="F17" s="270" t="s">
        <v>211</v>
      </c>
      <c r="G17" s="271">
        <v>328900</v>
      </c>
      <c r="H17" s="272">
        <f t="shared" si="1"/>
        <v>0.12648221343873517</v>
      </c>
      <c r="I17" s="273">
        <v>370500</v>
      </c>
      <c r="J17" s="274">
        <v>33240</v>
      </c>
      <c r="K17" s="275"/>
      <c r="L17" s="275"/>
      <c r="M17" s="275">
        <v>32445</v>
      </c>
      <c r="N17" s="275">
        <v>32186</v>
      </c>
      <c r="O17" s="275">
        <v>28357</v>
      </c>
      <c r="P17" s="275">
        <v>34243</v>
      </c>
      <c r="Q17" s="275">
        <v>30884</v>
      </c>
      <c r="R17" s="275">
        <v>26514</v>
      </c>
      <c r="S17" s="275">
        <v>34612</v>
      </c>
      <c r="T17" s="275">
        <v>26449</v>
      </c>
      <c r="U17" s="275">
        <v>29238</v>
      </c>
      <c r="V17" s="275">
        <v>31166</v>
      </c>
      <c r="W17" s="276">
        <v>31166</v>
      </c>
    </row>
    <row r="18" spans="2:23" s="206" customFormat="1" ht="24" customHeight="1">
      <c r="B18" s="930"/>
      <c r="C18" s="1014"/>
      <c r="D18" s="277" t="s">
        <v>115</v>
      </c>
      <c r="E18" s="278"/>
      <c r="F18" s="270" t="s">
        <v>211</v>
      </c>
      <c r="G18" s="271">
        <v>64560</v>
      </c>
      <c r="H18" s="272">
        <f t="shared" si="1"/>
        <v>0.13847583643122677</v>
      </c>
      <c r="I18" s="273">
        <v>73500</v>
      </c>
      <c r="J18" s="274">
        <v>6063</v>
      </c>
      <c r="K18" s="275"/>
      <c r="L18" s="275"/>
      <c r="M18" s="275">
        <v>5091</v>
      </c>
      <c r="N18" s="275">
        <v>5274</v>
      </c>
      <c r="O18" s="275">
        <v>5433</v>
      </c>
      <c r="P18" s="275">
        <v>5538</v>
      </c>
      <c r="Q18" s="275">
        <v>5839.5</v>
      </c>
      <c r="R18" s="275">
        <v>5433</v>
      </c>
      <c r="S18" s="275">
        <v>6432</v>
      </c>
      <c r="T18" s="275">
        <v>5880</v>
      </c>
      <c r="U18" s="275">
        <v>9192</v>
      </c>
      <c r="V18" s="275">
        <v>7444.5</v>
      </c>
      <c r="W18" s="276">
        <v>5880</v>
      </c>
    </row>
    <row r="19" spans="2:23" s="206" customFormat="1" ht="24" customHeight="1">
      <c r="B19" s="930"/>
      <c r="C19" s="1014"/>
      <c r="D19" s="277" t="s">
        <v>159</v>
      </c>
      <c r="E19" s="278"/>
      <c r="F19" s="270" t="s">
        <v>211</v>
      </c>
      <c r="G19" s="271">
        <v>25170</v>
      </c>
      <c r="H19" s="272">
        <f t="shared" si="1"/>
        <v>0.27135478744537145</v>
      </c>
      <c r="I19" s="273">
        <v>32000</v>
      </c>
      <c r="J19" s="274">
        <v>3710</v>
      </c>
      <c r="K19" s="275"/>
      <c r="L19" s="275"/>
      <c r="M19" s="275">
        <v>2371</v>
      </c>
      <c r="N19" s="275">
        <v>3081</v>
      </c>
      <c r="O19" s="275">
        <v>2458</v>
      </c>
      <c r="P19" s="275">
        <v>2456</v>
      </c>
      <c r="Q19" s="275">
        <v>2205</v>
      </c>
      <c r="R19" s="275">
        <v>2962</v>
      </c>
      <c r="S19" s="275">
        <v>2413</v>
      </c>
      <c r="T19" s="275">
        <v>2225</v>
      </c>
      <c r="U19" s="275">
        <v>3203</v>
      </c>
      <c r="V19" s="275">
        <v>2630</v>
      </c>
      <c r="W19" s="276">
        <v>2286</v>
      </c>
    </row>
    <row r="20" spans="2:23" s="206" customFormat="1" ht="24" customHeight="1">
      <c r="B20" s="931"/>
      <c r="C20" s="1015"/>
      <c r="D20" s="279" t="s">
        <v>160</v>
      </c>
      <c r="E20" s="280"/>
      <c r="F20" s="281" t="s">
        <v>211</v>
      </c>
      <c r="G20" s="282">
        <v>4530</v>
      </c>
      <c r="H20" s="283">
        <f t="shared" si="1"/>
        <v>0.12582781456953643</v>
      </c>
      <c r="I20" s="284">
        <v>5100</v>
      </c>
      <c r="J20" s="285">
        <v>420</v>
      </c>
      <c r="K20" s="286"/>
      <c r="L20" s="286"/>
      <c r="M20" s="286">
        <v>400</v>
      </c>
      <c r="N20" s="286">
        <v>400</v>
      </c>
      <c r="O20" s="286">
        <v>420</v>
      </c>
      <c r="P20" s="286">
        <v>420</v>
      </c>
      <c r="Q20" s="286">
        <v>430</v>
      </c>
      <c r="R20" s="286">
        <v>410</v>
      </c>
      <c r="S20" s="286">
        <v>410</v>
      </c>
      <c r="T20" s="286">
        <v>450</v>
      </c>
      <c r="U20" s="286">
        <v>530</v>
      </c>
      <c r="V20" s="286">
        <v>430</v>
      </c>
      <c r="W20" s="287">
        <v>380</v>
      </c>
    </row>
    <row r="21" spans="2:23" s="206" customFormat="1" ht="24" customHeight="1">
      <c r="B21" s="929" t="s">
        <v>291</v>
      </c>
      <c r="C21" s="1013"/>
      <c r="D21" s="259" t="s">
        <v>161</v>
      </c>
      <c r="E21" s="260"/>
      <c r="F21" s="261" t="s">
        <v>211</v>
      </c>
      <c r="G21" s="262">
        <v>331850</v>
      </c>
      <c r="H21" s="263">
        <f t="shared" si="1"/>
        <v>0.68750941690522827</v>
      </c>
      <c r="I21" s="264">
        <f>SUM(I22:I27)</f>
        <v>560000</v>
      </c>
      <c r="J21" s="265">
        <f>SUM(J22:J27)</f>
        <v>42057</v>
      </c>
      <c r="K21" s="266"/>
      <c r="L21" s="266"/>
      <c r="M21" s="266">
        <f t="shared" ref="M21:W21" si="3">SUM(M22:M27)</f>
        <v>38765</v>
      </c>
      <c r="N21" s="266">
        <f t="shared" si="3"/>
        <v>44345</v>
      </c>
      <c r="O21" s="266">
        <f t="shared" si="3"/>
        <v>42572</v>
      </c>
      <c r="P21" s="266">
        <f t="shared" si="3"/>
        <v>48273</v>
      </c>
      <c r="Q21" s="266">
        <f t="shared" si="3"/>
        <v>45350</v>
      </c>
      <c r="R21" s="266">
        <f t="shared" si="3"/>
        <v>43881</v>
      </c>
      <c r="S21" s="266">
        <f t="shared" si="3"/>
        <v>50421</v>
      </c>
      <c r="T21" s="266">
        <f t="shared" si="3"/>
        <v>44559</v>
      </c>
      <c r="U21" s="266">
        <f t="shared" si="3"/>
        <v>52119</v>
      </c>
      <c r="V21" s="266">
        <f t="shared" si="3"/>
        <v>51085</v>
      </c>
      <c r="W21" s="267">
        <f t="shared" si="3"/>
        <v>49573</v>
      </c>
    </row>
    <row r="22" spans="2:23" s="206" customFormat="1" ht="24" customHeight="1">
      <c r="B22" s="930"/>
      <c r="C22" s="1014"/>
      <c r="D22" s="268" t="s">
        <v>155</v>
      </c>
      <c r="E22" s="269"/>
      <c r="F22" s="270" t="s">
        <v>211</v>
      </c>
      <c r="G22" s="271">
        <v>132010</v>
      </c>
      <c r="H22" s="272">
        <f t="shared" si="1"/>
        <v>0.62866449511400646</v>
      </c>
      <c r="I22" s="273">
        <v>215000</v>
      </c>
      <c r="J22" s="274">
        <v>18470</v>
      </c>
      <c r="K22" s="275"/>
      <c r="L22" s="275"/>
      <c r="M22" s="275">
        <v>15143</v>
      </c>
      <c r="N22" s="275">
        <v>18786</v>
      </c>
      <c r="O22" s="275">
        <v>18091</v>
      </c>
      <c r="P22" s="275">
        <v>18091</v>
      </c>
      <c r="Q22" s="275">
        <v>18091</v>
      </c>
      <c r="R22" s="275">
        <v>17926</v>
      </c>
      <c r="S22" s="275">
        <v>17231</v>
      </c>
      <c r="T22" s="275">
        <v>18470</v>
      </c>
      <c r="U22" s="275">
        <v>18685</v>
      </c>
      <c r="V22" s="275">
        <v>18091</v>
      </c>
      <c r="W22" s="276">
        <v>17925</v>
      </c>
    </row>
    <row r="23" spans="2:23" s="206" customFormat="1" ht="24" customHeight="1">
      <c r="B23" s="930"/>
      <c r="C23" s="1014"/>
      <c r="D23" s="268" t="s">
        <v>156</v>
      </c>
      <c r="E23" s="269"/>
      <c r="F23" s="270" t="s">
        <v>211</v>
      </c>
      <c r="G23" s="271">
        <v>3010</v>
      </c>
      <c r="H23" s="272">
        <f t="shared" si="1"/>
        <v>1.3255813953488371</v>
      </c>
      <c r="I23" s="273">
        <v>7000</v>
      </c>
      <c r="J23" s="274"/>
      <c r="K23" s="275"/>
      <c r="L23" s="275"/>
      <c r="M23" s="275"/>
      <c r="N23" s="275"/>
      <c r="O23" s="275"/>
      <c r="P23" s="275"/>
      <c r="Q23" s="275"/>
      <c r="R23" s="275"/>
      <c r="S23" s="275"/>
      <c r="T23" s="275"/>
      <c r="U23" s="275"/>
      <c r="V23" s="275"/>
      <c r="W23" s="276"/>
    </row>
    <row r="24" spans="2:23" s="206" customFormat="1" ht="24" customHeight="1">
      <c r="B24" s="930"/>
      <c r="C24" s="1014"/>
      <c r="D24" s="268" t="s">
        <v>157</v>
      </c>
      <c r="E24" s="269"/>
      <c r="F24" s="270" t="s">
        <v>211</v>
      </c>
      <c r="G24" s="271">
        <v>149830</v>
      </c>
      <c r="H24" s="272">
        <f t="shared" si="1"/>
        <v>0.73530000667423079</v>
      </c>
      <c r="I24" s="273">
        <v>260000</v>
      </c>
      <c r="J24" s="274">
        <v>16831</v>
      </c>
      <c r="K24" s="275"/>
      <c r="L24" s="275"/>
      <c r="M24" s="275">
        <v>18071</v>
      </c>
      <c r="N24" s="275">
        <v>19556</v>
      </c>
      <c r="O24" s="275">
        <v>18666</v>
      </c>
      <c r="P24" s="275">
        <v>24274</v>
      </c>
      <c r="Q24" s="275">
        <v>21893</v>
      </c>
      <c r="R24" s="275">
        <v>20138</v>
      </c>
      <c r="S24" s="275">
        <v>26288</v>
      </c>
      <c r="T24" s="275">
        <v>20089</v>
      </c>
      <c r="U24" s="275">
        <v>23687</v>
      </c>
      <c r="V24" s="275">
        <v>25249</v>
      </c>
      <c r="W24" s="276">
        <v>25258</v>
      </c>
    </row>
    <row r="25" spans="2:23" s="206" customFormat="1" ht="24" customHeight="1">
      <c r="B25" s="930"/>
      <c r="C25" s="1014"/>
      <c r="D25" s="277" t="s">
        <v>158</v>
      </c>
      <c r="E25" s="278"/>
      <c r="F25" s="270" t="s">
        <v>211</v>
      </c>
      <c r="G25" s="271">
        <v>31210</v>
      </c>
      <c r="H25" s="272">
        <f t="shared" si="1"/>
        <v>0.66613264979173337</v>
      </c>
      <c r="I25" s="273">
        <v>52000</v>
      </c>
      <c r="J25" s="274">
        <v>3805.0000000000005</v>
      </c>
      <c r="K25" s="275"/>
      <c r="L25" s="275"/>
      <c r="M25" s="275">
        <v>3615</v>
      </c>
      <c r="N25" s="275">
        <v>3550</v>
      </c>
      <c r="O25" s="275">
        <v>3805.0000000000005</v>
      </c>
      <c r="P25" s="275">
        <v>3870.0000000000005</v>
      </c>
      <c r="Q25" s="275">
        <v>3550</v>
      </c>
      <c r="R25" s="275">
        <v>3450</v>
      </c>
      <c r="S25" s="275">
        <v>4935</v>
      </c>
      <c r="T25" s="275">
        <v>4160</v>
      </c>
      <c r="U25" s="275">
        <v>7165</v>
      </c>
      <c r="V25" s="275">
        <v>5580</v>
      </c>
      <c r="W25" s="276">
        <v>4515</v>
      </c>
    </row>
    <row r="26" spans="2:23" s="206" customFormat="1" ht="24" customHeight="1">
      <c r="B26" s="930"/>
      <c r="C26" s="1014"/>
      <c r="D26" s="277" t="s">
        <v>159</v>
      </c>
      <c r="E26" s="278"/>
      <c r="F26" s="270" t="s">
        <v>211</v>
      </c>
      <c r="G26" s="271">
        <v>14260</v>
      </c>
      <c r="H26" s="272">
        <f t="shared" si="1"/>
        <v>0.63394109396914444</v>
      </c>
      <c r="I26" s="273">
        <v>23300</v>
      </c>
      <c r="J26" s="274">
        <v>2701</v>
      </c>
      <c r="K26" s="275"/>
      <c r="L26" s="275"/>
      <c r="M26" s="275">
        <v>1726</v>
      </c>
      <c r="N26" s="275">
        <v>2243</v>
      </c>
      <c r="O26" s="275">
        <v>1790</v>
      </c>
      <c r="P26" s="275">
        <v>1788</v>
      </c>
      <c r="Q26" s="275">
        <v>1606</v>
      </c>
      <c r="R26" s="275">
        <v>2157</v>
      </c>
      <c r="S26" s="275">
        <v>1757</v>
      </c>
      <c r="T26" s="275">
        <v>1620</v>
      </c>
      <c r="U26" s="275">
        <v>2332</v>
      </c>
      <c r="V26" s="275">
        <v>1915</v>
      </c>
      <c r="W26" s="276">
        <v>1665</v>
      </c>
    </row>
    <row r="27" spans="2:23" s="206" customFormat="1" ht="24" customHeight="1">
      <c r="B27" s="931"/>
      <c r="C27" s="1015"/>
      <c r="D27" s="279" t="s">
        <v>160</v>
      </c>
      <c r="E27" s="280"/>
      <c r="F27" s="281" t="s">
        <v>211</v>
      </c>
      <c r="G27" s="282">
        <v>1530</v>
      </c>
      <c r="H27" s="283">
        <f t="shared" si="1"/>
        <v>0.76470588235294112</v>
      </c>
      <c r="I27" s="284">
        <v>2700</v>
      </c>
      <c r="J27" s="285">
        <v>250</v>
      </c>
      <c r="K27" s="286"/>
      <c r="L27" s="286"/>
      <c r="M27" s="286">
        <v>210</v>
      </c>
      <c r="N27" s="286">
        <v>210</v>
      </c>
      <c r="O27" s="286">
        <v>220</v>
      </c>
      <c r="P27" s="286">
        <v>250</v>
      </c>
      <c r="Q27" s="286">
        <v>210</v>
      </c>
      <c r="R27" s="286">
        <v>210</v>
      </c>
      <c r="S27" s="286">
        <v>210</v>
      </c>
      <c r="T27" s="286">
        <v>220</v>
      </c>
      <c r="U27" s="286">
        <v>250</v>
      </c>
      <c r="V27" s="286">
        <v>250</v>
      </c>
      <c r="W27" s="287">
        <v>210</v>
      </c>
    </row>
    <row r="28" spans="2:23" s="206" customFormat="1" ht="24" customHeight="1">
      <c r="B28" s="929" t="s">
        <v>292</v>
      </c>
      <c r="C28" s="1013"/>
      <c r="D28" s="259" t="s">
        <v>162</v>
      </c>
      <c r="E28" s="260"/>
      <c r="F28" s="261" t="s">
        <v>211</v>
      </c>
      <c r="G28" s="262">
        <v>224050</v>
      </c>
      <c r="H28" s="263">
        <f t="shared" si="1"/>
        <v>0.1470653871903593</v>
      </c>
      <c r="I28" s="264">
        <f>SUM(I29:I34)</f>
        <v>257000</v>
      </c>
      <c r="J28" s="265">
        <f>SUM(J29:J34)</f>
        <v>22038</v>
      </c>
      <c r="K28" s="266"/>
      <c r="L28" s="266"/>
      <c r="M28" s="266">
        <f t="shared" ref="M28:W28" si="4">SUM(M29:M34)</f>
        <v>20784</v>
      </c>
      <c r="N28" s="266">
        <f t="shared" si="4"/>
        <v>21911</v>
      </c>
      <c r="O28" s="266">
        <f t="shared" si="4"/>
        <v>19740</v>
      </c>
      <c r="P28" s="266">
        <f t="shared" si="4"/>
        <v>22166</v>
      </c>
      <c r="Q28" s="266">
        <f t="shared" si="4"/>
        <v>21201</v>
      </c>
      <c r="R28" s="266">
        <f t="shared" si="4"/>
        <v>19341</v>
      </c>
      <c r="S28" s="266">
        <f t="shared" si="4"/>
        <v>23143</v>
      </c>
      <c r="T28" s="266">
        <f t="shared" si="4"/>
        <v>18913</v>
      </c>
      <c r="U28" s="266">
        <f t="shared" si="4"/>
        <v>20961</v>
      </c>
      <c r="V28" s="266">
        <f t="shared" si="4"/>
        <v>21864</v>
      </c>
      <c r="W28" s="267">
        <f t="shared" si="4"/>
        <v>21038</v>
      </c>
    </row>
    <row r="29" spans="2:23" s="206" customFormat="1" ht="24" customHeight="1">
      <c r="B29" s="930"/>
      <c r="C29" s="1014"/>
      <c r="D29" s="268" t="s">
        <v>163</v>
      </c>
      <c r="E29" s="269"/>
      <c r="F29" s="270" t="s">
        <v>211</v>
      </c>
      <c r="G29" s="271">
        <v>47760</v>
      </c>
      <c r="H29" s="272">
        <f t="shared" si="1"/>
        <v>0.15996649916247907</v>
      </c>
      <c r="I29" s="273">
        <v>55400</v>
      </c>
      <c r="J29" s="274">
        <v>4759</v>
      </c>
      <c r="K29" s="275"/>
      <c r="L29" s="275"/>
      <c r="M29" s="275">
        <v>3902</v>
      </c>
      <c r="N29" s="275">
        <v>4841</v>
      </c>
      <c r="O29" s="275">
        <v>4661</v>
      </c>
      <c r="P29" s="275">
        <v>4661</v>
      </c>
      <c r="Q29" s="275">
        <v>4661</v>
      </c>
      <c r="R29" s="275">
        <v>4619</v>
      </c>
      <c r="S29" s="275">
        <v>4440</v>
      </c>
      <c r="T29" s="275">
        <v>4759</v>
      </c>
      <c r="U29" s="275">
        <v>4815</v>
      </c>
      <c r="V29" s="275">
        <v>4661</v>
      </c>
      <c r="W29" s="276">
        <v>4621</v>
      </c>
    </row>
    <row r="30" spans="2:23" s="206" customFormat="1" ht="24" customHeight="1">
      <c r="B30" s="930"/>
      <c r="C30" s="1014"/>
      <c r="D30" s="268" t="s">
        <v>156</v>
      </c>
      <c r="E30" s="269"/>
      <c r="F30" s="270" t="s">
        <v>211</v>
      </c>
      <c r="G30" s="271">
        <v>3420</v>
      </c>
      <c r="H30" s="272">
        <f t="shared" si="1"/>
        <v>0.14035087719298245</v>
      </c>
      <c r="I30" s="273">
        <v>3900</v>
      </c>
      <c r="J30" s="274"/>
      <c r="K30" s="275"/>
      <c r="L30" s="275"/>
      <c r="M30" s="275"/>
      <c r="N30" s="275"/>
      <c r="O30" s="275"/>
      <c r="P30" s="275"/>
      <c r="Q30" s="275"/>
      <c r="R30" s="275"/>
      <c r="S30" s="275"/>
      <c r="T30" s="275"/>
      <c r="U30" s="275"/>
      <c r="V30" s="275"/>
      <c r="W30" s="276"/>
    </row>
    <row r="31" spans="2:23" s="206" customFormat="1" ht="24" customHeight="1">
      <c r="B31" s="930"/>
      <c r="C31" s="1014"/>
      <c r="D31" s="268" t="s">
        <v>157</v>
      </c>
      <c r="E31" s="269"/>
      <c r="F31" s="270" t="s">
        <v>211</v>
      </c>
      <c r="G31" s="271">
        <v>151940</v>
      </c>
      <c r="H31" s="272">
        <f t="shared" si="1"/>
        <v>0.12478609977622745</v>
      </c>
      <c r="I31" s="273">
        <v>170900</v>
      </c>
      <c r="J31" s="274">
        <v>15148</v>
      </c>
      <c r="K31" s="275"/>
      <c r="L31" s="275"/>
      <c r="M31" s="275">
        <v>14786</v>
      </c>
      <c r="N31" s="275">
        <v>14667</v>
      </c>
      <c r="O31" s="275">
        <v>12923</v>
      </c>
      <c r="P31" s="275">
        <v>15605</v>
      </c>
      <c r="Q31" s="275">
        <v>14387</v>
      </c>
      <c r="R31" s="275">
        <v>12351</v>
      </c>
      <c r="S31" s="275">
        <v>16123</v>
      </c>
      <c r="T31" s="275">
        <v>12321</v>
      </c>
      <c r="U31" s="275">
        <v>13620</v>
      </c>
      <c r="V31" s="275">
        <v>14518</v>
      </c>
      <c r="W31" s="276">
        <v>14451</v>
      </c>
    </row>
    <row r="32" spans="2:23" s="206" customFormat="1" ht="24" customHeight="1">
      <c r="B32" s="930"/>
      <c r="C32" s="1014"/>
      <c r="D32" s="277" t="s">
        <v>158</v>
      </c>
      <c r="E32" s="278"/>
      <c r="F32" s="270" t="s">
        <v>211</v>
      </c>
      <c r="G32" s="271">
        <v>14220</v>
      </c>
      <c r="H32" s="272">
        <f t="shared" si="1"/>
        <v>0.27285513361462727</v>
      </c>
      <c r="I32" s="273">
        <v>18100</v>
      </c>
      <c r="J32" s="274">
        <v>1155</v>
      </c>
      <c r="K32" s="275"/>
      <c r="L32" s="275"/>
      <c r="M32" s="275">
        <v>1455</v>
      </c>
      <c r="N32" s="275">
        <v>1600</v>
      </c>
      <c r="O32" s="275">
        <v>1485</v>
      </c>
      <c r="P32" s="275">
        <v>1220</v>
      </c>
      <c r="Q32" s="275">
        <v>1530</v>
      </c>
      <c r="R32" s="275">
        <v>1585</v>
      </c>
      <c r="S32" s="275">
        <v>1920</v>
      </c>
      <c r="T32" s="275">
        <v>1195</v>
      </c>
      <c r="U32" s="275">
        <v>1655</v>
      </c>
      <c r="V32" s="275">
        <v>1965</v>
      </c>
      <c r="W32" s="276">
        <v>1335</v>
      </c>
    </row>
    <row r="33" spans="2:24" s="206" customFormat="1" ht="23.5" customHeight="1">
      <c r="B33" s="930"/>
      <c r="C33" s="1014"/>
      <c r="D33" s="277" t="s">
        <v>159</v>
      </c>
      <c r="E33" s="278"/>
      <c r="F33" s="270" t="s">
        <v>211</v>
      </c>
      <c r="G33" s="271">
        <v>5480</v>
      </c>
      <c r="H33" s="272">
        <f t="shared" si="1"/>
        <v>0.33211678832116787</v>
      </c>
      <c r="I33" s="273">
        <v>7300</v>
      </c>
      <c r="J33" s="274">
        <v>846</v>
      </c>
      <c r="K33" s="275"/>
      <c r="L33" s="275"/>
      <c r="M33" s="275">
        <v>541</v>
      </c>
      <c r="N33" s="275">
        <v>703</v>
      </c>
      <c r="O33" s="275">
        <v>561</v>
      </c>
      <c r="P33" s="275">
        <v>560</v>
      </c>
      <c r="Q33" s="275">
        <v>503</v>
      </c>
      <c r="R33" s="275">
        <v>676</v>
      </c>
      <c r="S33" s="275">
        <v>550</v>
      </c>
      <c r="T33" s="275">
        <v>508</v>
      </c>
      <c r="U33" s="275">
        <v>731</v>
      </c>
      <c r="V33" s="275">
        <v>600</v>
      </c>
      <c r="W33" s="276">
        <v>521</v>
      </c>
    </row>
    <row r="34" spans="2:24" s="206" customFormat="1" ht="24" customHeight="1">
      <c r="B34" s="931"/>
      <c r="C34" s="1015"/>
      <c r="D34" s="279" t="s">
        <v>160</v>
      </c>
      <c r="E34" s="280"/>
      <c r="F34" s="281" t="s">
        <v>211</v>
      </c>
      <c r="G34" s="282">
        <v>1230</v>
      </c>
      <c r="H34" s="283">
        <f t="shared" si="1"/>
        <v>0.13821138211382114</v>
      </c>
      <c r="I34" s="284">
        <v>1400</v>
      </c>
      <c r="J34" s="285">
        <v>130</v>
      </c>
      <c r="K34" s="286"/>
      <c r="L34" s="286"/>
      <c r="M34" s="286">
        <v>100</v>
      </c>
      <c r="N34" s="286">
        <v>100</v>
      </c>
      <c r="O34" s="286">
        <v>110</v>
      </c>
      <c r="P34" s="286">
        <v>120</v>
      </c>
      <c r="Q34" s="286">
        <v>120</v>
      </c>
      <c r="R34" s="286">
        <v>110</v>
      </c>
      <c r="S34" s="286">
        <v>110</v>
      </c>
      <c r="T34" s="286">
        <v>130</v>
      </c>
      <c r="U34" s="286">
        <v>140</v>
      </c>
      <c r="V34" s="286">
        <v>120</v>
      </c>
      <c r="W34" s="287">
        <v>110</v>
      </c>
    </row>
    <row r="35" spans="2:24" s="206" customFormat="1" ht="24" customHeight="1">
      <c r="B35" s="929" t="s">
        <v>164</v>
      </c>
      <c r="C35" s="1013"/>
      <c r="D35" s="259" t="s">
        <v>154</v>
      </c>
      <c r="E35" s="260"/>
      <c r="F35" s="261" t="s">
        <v>211</v>
      </c>
      <c r="G35" s="262">
        <v>107030</v>
      </c>
      <c r="H35" s="263">
        <f t="shared" si="1"/>
        <v>0.14921050172848735</v>
      </c>
      <c r="I35" s="264">
        <f t="shared" ref="I35:W35" si="5">SUM(I36:I39)</f>
        <v>123000</v>
      </c>
      <c r="J35" s="265">
        <f t="shared" si="5"/>
        <v>10060</v>
      </c>
      <c r="K35" s="266"/>
      <c r="L35" s="266"/>
      <c r="M35" s="266">
        <f t="shared" si="5"/>
        <v>8050</v>
      </c>
      <c r="N35" s="266">
        <f t="shared" si="5"/>
        <v>9780</v>
      </c>
      <c r="O35" s="266">
        <f t="shared" si="5"/>
        <v>9180</v>
      </c>
      <c r="P35" s="266">
        <f t="shared" si="5"/>
        <v>8980</v>
      </c>
      <c r="Q35" s="266">
        <f t="shared" si="5"/>
        <v>8580</v>
      </c>
      <c r="R35" s="266">
        <f t="shared" si="5"/>
        <v>8750</v>
      </c>
      <c r="S35" s="266">
        <f t="shared" si="5"/>
        <v>8580</v>
      </c>
      <c r="T35" s="266">
        <f t="shared" si="5"/>
        <v>8130</v>
      </c>
      <c r="U35" s="266">
        <f t="shared" si="5"/>
        <v>9300</v>
      </c>
      <c r="V35" s="266">
        <f t="shared" si="5"/>
        <v>9330</v>
      </c>
      <c r="W35" s="267">
        <f t="shared" si="5"/>
        <v>9080</v>
      </c>
    </row>
    <row r="36" spans="2:24" s="206" customFormat="1" ht="24" customHeight="1">
      <c r="B36" s="930"/>
      <c r="C36" s="1014"/>
      <c r="D36" s="268" t="s">
        <v>165</v>
      </c>
      <c r="E36" s="269"/>
      <c r="F36" s="270" t="s">
        <v>211</v>
      </c>
      <c r="G36" s="271">
        <v>45600</v>
      </c>
      <c r="H36" s="272">
        <f t="shared" si="1"/>
        <v>9.2105263157894732E-2</v>
      </c>
      <c r="I36" s="273">
        <v>49800</v>
      </c>
      <c r="J36" s="274">
        <v>4560</v>
      </c>
      <c r="K36" s="275"/>
      <c r="L36" s="275"/>
      <c r="M36" s="275">
        <v>3250</v>
      </c>
      <c r="N36" s="275">
        <v>4580</v>
      </c>
      <c r="O36" s="275">
        <v>4180</v>
      </c>
      <c r="P36" s="275">
        <v>3980</v>
      </c>
      <c r="Q36" s="275">
        <v>4080</v>
      </c>
      <c r="R36" s="275">
        <v>4250</v>
      </c>
      <c r="S36" s="275">
        <v>4080</v>
      </c>
      <c r="T36" s="275">
        <v>4130</v>
      </c>
      <c r="U36" s="275">
        <v>4300</v>
      </c>
      <c r="V36" s="275">
        <v>4330</v>
      </c>
      <c r="W36" s="276">
        <v>4080</v>
      </c>
    </row>
    <row r="37" spans="2:24" s="206" customFormat="1" ht="24" customHeight="1">
      <c r="B37" s="930"/>
      <c r="C37" s="1014"/>
      <c r="D37" s="268" t="s">
        <v>166</v>
      </c>
      <c r="E37" s="269"/>
      <c r="F37" s="270" t="s">
        <v>211</v>
      </c>
      <c r="G37" s="271">
        <v>13200</v>
      </c>
      <c r="H37" s="272">
        <f t="shared" si="1"/>
        <v>0.15151515151515152</v>
      </c>
      <c r="I37" s="273">
        <v>15200</v>
      </c>
      <c r="J37" s="274"/>
      <c r="K37" s="275"/>
      <c r="L37" s="275"/>
      <c r="M37" s="275"/>
      <c r="N37" s="275"/>
      <c r="O37" s="275"/>
      <c r="P37" s="275"/>
      <c r="Q37" s="275"/>
      <c r="R37" s="275"/>
      <c r="S37" s="275"/>
      <c r="T37" s="275"/>
      <c r="U37" s="275"/>
      <c r="V37" s="275"/>
      <c r="W37" s="276"/>
    </row>
    <row r="38" spans="2:24" s="206" customFormat="1" ht="24" customHeight="1">
      <c r="B38" s="930"/>
      <c r="C38" s="1014"/>
      <c r="D38" s="268" t="s">
        <v>114</v>
      </c>
      <c r="E38" s="269"/>
      <c r="F38" s="270" t="s">
        <v>211</v>
      </c>
      <c r="G38" s="271">
        <v>36720</v>
      </c>
      <c r="H38" s="272">
        <f t="shared" si="1"/>
        <v>0.25272331154684097</v>
      </c>
      <c r="I38" s="273">
        <v>46000</v>
      </c>
      <c r="J38" s="274">
        <v>4500</v>
      </c>
      <c r="K38" s="275"/>
      <c r="L38" s="275"/>
      <c r="M38" s="275">
        <v>3800</v>
      </c>
      <c r="N38" s="275">
        <v>4200</v>
      </c>
      <c r="O38" s="275">
        <v>4000</v>
      </c>
      <c r="P38" s="275">
        <v>4000</v>
      </c>
      <c r="Q38" s="275">
        <v>3500</v>
      </c>
      <c r="R38" s="275">
        <v>3500</v>
      </c>
      <c r="S38" s="275">
        <v>3500</v>
      </c>
      <c r="T38" s="275">
        <v>3000</v>
      </c>
      <c r="U38" s="275">
        <v>4000</v>
      </c>
      <c r="V38" s="275">
        <v>4000</v>
      </c>
      <c r="W38" s="276">
        <v>4000</v>
      </c>
    </row>
    <row r="39" spans="2:24" s="206" customFormat="1" ht="24" customHeight="1">
      <c r="B39" s="931"/>
      <c r="C39" s="1015"/>
      <c r="D39" s="279" t="s">
        <v>158</v>
      </c>
      <c r="E39" s="280"/>
      <c r="F39" s="281" t="s">
        <v>211</v>
      </c>
      <c r="G39" s="282">
        <v>11510</v>
      </c>
      <c r="H39" s="283">
        <f t="shared" si="1"/>
        <v>4.2571676802780192E-2</v>
      </c>
      <c r="I39" s="284">
        <v>12000</v>
      </c>
      <c r="J39" s="285">
        <v>1000</v>
      </c>
      <c r="K39" s="286"/>
      <c r="L39" s="286"/>
      <c r="M39" s="286">
        <v>1000</v>
      </c>
      <c r="N39" s="286">
        <v>1000</v>
      </c>
      <c r="O39" s="286">
        <v>1000</v>
      </c>
      <c r="P39" s="286">
        <v>1000</v>
      </c>
      <c r="Q39" s="286">
        <v>1000</v>
      </c>
      <c r="R39" s="286">
        <v>1000</v>
      </c>
      <c r="S39" s="286">
        <v>1000</v>
      </c>
      <c r="T39" s="286">
        <v>1000</v>
      </c>
      <c r="U39" s="286">
        <v>1000</v>
      </c>
      <c r="V39" s="286">
        <v>1000</v>
      </c>
      <c r="W39" s="287">
        <v>1000</v>
      </c>
    </row>
    <row r="40" spans="2:24" s="206" customFormat="1" ht="24" customHeight="1">
      <c r="B40" s="929" t="s">
        <v>167</v>
      </c>
      <c r="C40" s="1013"/>
      <c r="D40" s="259" t="s">
        <v>154</v>
      </c>
      <c r="E40" s="260"/>
      <c r="F40" s="261" t="s">
        <v>211</v>
      </c>
      <c r="G40" s="262">
        <v>44450</v>
      </c>
      <c r="H40" s="263">
        <f t="shared" si="1"/>
        <v>0.14735658042744657</v>
      </c>
      <c r="I40" s="264">
        <f t="shared" ref="I40:W40" si="6">SUM(I41:I44)</f>
        <v>51000</v>
      </c>
      <c r="J40" s="265">
        <f t="shared" si="6"/>
        <v>4510</v>
      </c>
      <c r="K40" s="266"/>
      <c r="L40" s="266"/>
      <c r="M40" s="266">
        <f t="shared" si="6"/>
        <v>3740</v>
      </c>
      <c r="N40" s="266">
        <f t="shared" si="6"/>
        <v>4570</v>
      </c>
      <c r="O40" s="266">
        <f t="shared" si="6"/>
        <v>4280</v>
      </c>
      <c r="P40" s="266">
        <f t="shared" si="6"/>
        <v>4190</v>
      </c>
      <c r="Q40" s="266">
        <f t="shared" si="6"/>
        <v>3940</v>
      </c>
      <c r="R40" s="266">
        <f t="shared" si="6"/>
        <v>4010</v>
      </c>
      <c r="S40" s="266">
        <f t="shared" si="6"/>
        <v>3940</v>
      </c>
      <c r="T40" s="266">
        <f t="shared" si="6"/>
        <v>3640</v>
      </c>
      <c r="U40" s="266">
        <f t="shared" si="6"/>
        <v>4310</v>
      </c>
      <c r="V40" s="266">
        <f t="shared" si="6"/>
        <v>4350</v>
      </c>
      <c r="W40" s="267">
        <f t="shared" si="6"/>
        <v>4240</v>
      </c>
    </row>
    <row r="41" spans="2:24" s="206" customFormat="1" ht="24" customHeight="1">
      <c r="B41" s="930"/>
      <c r="C41" s="1014"/>
      <c r="D41" s="268" t="s">
        <v>165</v>
      </c>
      <c r="E41" s="269"/>
      <c r="F41" s="270" t="s">
        <v>211</v>
      </c>
      <c r="G41" s="271">
        <v>20587</v>
      </c>
      <c r="H41" s="272">
        <f t="shared" si="1"/>
        <v>0.14149706125224656</v>
      </c>
      <c r="I41" s="273">
        <v>23500</v>
      </c>
      <c r="J41" s="274">
        <v>2200</v>
      </c>
      <c r="K41" s="275"/>
      <c r="L41" s="275"/>
      <c r="M41" s="275">
        <v>1530</v>
      </c>
      <c r="N41" s="275">
        <v>2160</v>
      </c>
      <c r="O41" s="275">
        <v>1970</v>
      </c>
      <c r="P41" s="275">
        <v>1880</v>
      </c>
      <c r="Q41" s="275">
        <v>1930</v>
      </c>
      <c r="R41" s="275">
        <v>2000</v>
      </c>
      <c r="S41" s="275">
        <v>1930</v>
      </c>
      <c r="T41" s="275">
        <v>1930</v>
      </c>
      <c r="U41" s="275">
        <v>2000</v>
      </c>
      <c r="V41" s="275">
        <v>2040</v>
      </c>
      <c r="W41" s="276">
        <v>1930</v>
      </c>
    </row>
    <row r="42" spans="2:24" s="206" customFormat="1" ht="24" customHeight="1">
      <c r="B42" s="930"/>
      <c r="C42" s="1014"/>
      <c r="D42" s="268" t="s">
        <v>156</v>
      </c>
      <c r="E42" s="269"/>
      <c r="F42" s="270" t="s">
        <v>211</v>
      </c>
      <c r="G42" s="271">
        <v>1154</v>
      </c>
      <c r="H42" s="272">
        <f t="shared" si="1"/>
        <v>0.10918544194107452</v>
      </c>
      <c r="I42" s="273">
        <v>1280</v>
      </c>
      <c r="J42" s="274"/>
      <c r="K42" s="275"/>
      <c r="L42" s="275"/>
      <c r="M42" s="275"/>
      <c r="N42" s="275"/>
      <c r="O42" s="275"/>
      <c r="P42" s="275"/>
      <c r="Q42" s="275"/>
      <c r="R42" s="275"/>
      <c r="S42" s="275"/>
      <c r="T42" s="275"/>
      <c r="U42" s="275"/>
      <c r="V42" s="275"/>
      <c r="W42" s="276"/>
    </row>
    <row r="43" spans="2:24" s="206" customFormat="1" ht="24" customHeight="1">
      <c r="B43" s="930"/>
      <c r="C43" s="1014"/>
      <c r="D43" s="268" t="s">
        <v>157</v>
      </c>
      <c r="E43" s="269"/>
      <c r="F43" s="270" t="s">
        <v>211</v>
      </c>
      <c r="G43" s="271">
        <v>22606</v>
      </c>
      <c r="H43" s="272">
        <f t="shared" si="1"/>
        <v>0.1545607360877643</v>
      </c>
      <c r="I43" s="273">
        <v>26100</v>
      </c>
      <c r="J43" s="274">
        <v>2300</v>
      </c>
      <c r="K43" s="275"/>
      <c r="L43" s="275"/>
      <c r="M43" s="275">
        <v>2200</v>
      </c>
      <c r="N43" s="275">
        <v>2400</v>
      </c>
      <c r="O43" s="275">
        <v>2300</v>
      </c>
      <c r="P43" s="275">
        <v>2300</v>
      </c>
      <c r="Q43" s="275">
        <v>2000</v>
      </c>
      <c r="R43" s="275">
        <v>2000</v>
      </c>
      <c r="S43" s="275">
        <v>2000</v>
      </c>
      <c r="T43" s="275">
        <v>1700</v>
      </c>
      <c r="U43" s="275">
        <v>2300</v>
      </c>
      <c r="V43" s="275">
        <v>2300</v>
      </c>
      <c r="W43" s="276">
        <v>2300</v>
      </c>
    </row>
    <row r="44" spans="2:24" s="206" customFormat="1" ht="24" customHeight="1">
      <c r="B44" s="931"/>
      <c r="C44" s="1015"/>
      <c r="D44" s="279" t="s">
        <v>168</v>
      </c>
      <c r="E44" s="280"/>
      <c r="F44" s="281" t="s">
        <v>211</v>
      </c>
      <c r="G44" s="282">
        <v>103</v>
      </c>
      <c r="H44" s="283">
        <f t="shared" si="1"/>
        <v>0.1650485436893204</v>
      </c>
      <c r="I44" s="284">
        <v>120</v>
      </c>
      <c r="J44" s="285">
        <v>10</v>
      </c>
      <c r="K44" s="286"/>
      <c r="L44" s="286"/>
      <c r="M44" s="286">
        <v>10</v>
      </c>
      <c r="N44" s="286">
        <v>10</v>
      </c>
      <c r="O44" s="286">
        <v>10</v>
      </c>
      <c r="P44" s="286">
        <v>10</v>
      </c>
      <c r="Q44" s="286">
        <v>10</v>
      </c>
      <c r="R44" s="286">
        <v>10</v>
      </c>
      <c r="S44" s="286">
        <v>10</v>
      </c>
      <c r="T44" s="286">
        <v>10</v>
      </c>
      <c r="U44" s="286">
        <v>10</v>
      </c>
      <c r="V44" s="286">
        <v>10</v>
      </c>
      <c r="W44" s="287">
        <v>10</v>
      </c>
    </row>
    <row r="45" spans="2:24" s="206" customFormat="1" ht="24" customHeight="1">
      <c r="B45" s="929" t="s">
        <v>179</v>
      </c>
      <c r="C45" s="1013"/>
      <c r="D45" s="259" t="s">
        <v>154</v>
      </c>
      <c r="E45" s="260"/>
      <c r="F45" s="261" t="s">
        <v>211</v>
      </c>
      <c r="G45" s="262">
        <f>SUM(G46:G47)</f>
        <v>53741.454545454544</v>
      </c>
      <c r="H45" s="263">
        <f t="shared" si="1"/>
        <v>8.4823633693982659E-2</v>
      </c>
      <c r="I45" s="264">
        <v>58300</v>
      </c>
      <c r="J45" s="265">
        <v>4500</v>
      </c>
      <c r="K45" s="266"/>
      <c r="L45" s="266"/>
      <c r="M45" s="266">
        <v>4600</v>
      </c>
      <c r="N45" s="266">
        <v>4700</v>
      </c>
      <c r="O45" s="266">
        <v>4700</v>
      </c>
      <c r="P45" s="266">
        <v>4800</v>
      </c>
      <c r="Q45" s="266">
        <v>4800</v>
      </c>
      <c r="R45" s="266">
        <v>4900</v>
      </c>
      <c r="S45" s="266">
        <v>4900</v>
      </c>
      <c r="T45" s="266">
        <v>5000</v>
      </c>
      <c r="U45" s="266">
        <v>5100</v>
      </c>
      <c r="V45" s="266">
        <v>5100</v>
      </c>
      <c r="W45" s="267">
        <v>5200</v>
      </c>
    </row>
    <row r="46" spans="2:24" s="206" customFormat="1" ht="24" customHeight="1">
      <c r="B46" s="930"/>
      <c r="C46" s="1014"/>
      <c r="D46" s="621" t="s">
        <v>112</v>
      </c>
      <c r="E46" s="622"/>
      <c r="F46" s="612" t="s">
        <v>294</v>
      </c>
      <c r="G46" s="613">
        <v>23057.454545454544</v>
      </c>
      <c r="H46" s="614">
        <f t="shared" si="1"/>
        <v>8.4811853393893577E-2</v>
      </c>
      <c r="I46" s="615">
        <v>25013</v>
      </c>
      <c r="J46" s="616">
        <v>1931</v>
      </c>
      <c r="K46" s="617"/>
      <c r="L46" s="617"/>
      <c r="M46" s="617">
        <v>1974</v>
      </c>
      <c r="N46" s="617">
        <v>2017</v>
      </c>
      <c r="O46" s="617">
        <v>2017</v>
      </c>
      <c r="P46" s="617">
        <v>2059</v>
      </c>
      <c r="Q46" s="617">
        <v>2059</v>
      </c>
      <c r="R46" s="617">
        <v>2102</v>
      </c>
      <c r="S46" s="617">
        <v>2102</v>
      </c>
      <c r="T46" s="617">
        <v>2145</v>
      </c>
      <c r="U46" s="617">
        <v>2188</v>
      </c>
      <c r="V46" s="617">
        <v>2188</v>
      </c>
      <c r="W46" s="618">
        <v>2231</v>
      </c>
    </row>
    <row r="47" spans="2:24" s="206" customFormat="1" ht="24" customHeight="1" thickBot="1">
      <c r="B47" s="932"/>
      <c r="C47" s="1035"/>
      <c r="D47" s="619" t="s">
        <v>297</v>
      </c>
      <c r="E47" s="620"/>
      <c r="F47" s="603" t="s">
        <v>211</v>
      </c>
      <c r="G47" s="604">
        <v>30684</v>
      </c>
      <c r="H47" s="605">
        <f t="shared" si="1"/>
        <v>8.4832485986181719E-2</v>
      </c>
      <c r="I47" s="606">
        <v>33287</v>
      </c>
      <c r="J47" s="607">
        <v>2569</v>
      </c>
      <c r="K47" s="608"/>
      <c r="L47" s="608"/>
      <c r="M47" s="608">
        <v>2626</v>
      </c>
      <c r="N47" s="608">
        <v>2683</v>
      </c>
      <c r="O47" s="608">
        <v>2683</v>
      </c>
      <c r="P47" s="608">
        <v>2741</v>
      </c>
      <c r="Q47" s="608">
        <v>2741</v>
      </c>
      <c r="R47" s="608">
        <v>2798</v>
      </c>
      <c r="S47" s="608">
        <v>2798</v>
      </c>
      <c r="T47" s="608">
        <v>2855</v>
      </c>
      <c r="U47" s="608">
        <v>2912</v>
      </c>
      <c r="V47" s="608">
        <v>2912</v>
      </c>
      <c r="W47" s="609">
        <v>2969</v>
      </c>
    </row>
    <row r="48" spans="2:24" ht="36" customHeight="1" thickTop="1">
      <c r="B48" s="594" t="s">
        <v>271</v>
      </c>
      <c r="C48" s="595" t="s">
        <v>173</v>
      </c>
      <c r="D48" s="1022" t="s">
        <v>236</v>
      </c>
      <c r="E48" s="306" t="s">
        <v>38</v>
      </c>
      <c r="F48" s="596" t="s">
        <v>210</v>
      </c>
      <c r="G48" s="597">
        <v>52</v>
      </c>
      <c r="H48" s="598">
        <v>0.05</v>
      </c>
      <c r="I48" s="599">
        <v>49</v>
      </c>
      <c r="J48" s="600">
        <v>45</v>
      </c>
      <c r="K48" s="601"/>
      <c r="L48" s="601"/>
      <c r="M48" s="601">
        <v>51</v>
      </c>
      <c r="N48" s="601">
        <v>52</v>
      </c>
      <c r="O48" s="601">
        <v>52</v>
      </c>
      <c r="P48" s="601">
        <v>52</v>
      </c>
      <c r="Q48" s="601">
        <v>52</v>
      </c>
      <c r="R48" s="601">
        <v>50</v>
      </c>
      <c r="S48" s="601">
        <v>50</v>
      </c>
      <c r="T48" s="601">
        <v>49</v>
      </c>
      <c r="U48" s="601">
        <v>40</v>
      </c>
      <c r="V48" s="601">
        <v>45</v>
      </c>
      <c r="W48" s="602">
        <v>45</v>
      </c>
      <c r="X48" s="206"/>
    </row>
    <row r="49" spans="2:24" ht="36" customHeight="1">
      <c r="B49" s="215" t="s">
        <v>40</v>
      </c>
      <c r="C49" s="565" t="s">
        <v>174</v>
      </c>
      <c r="D49" s="1022"/>
      <c r="E49" s="288" t="s">
        <v>38</v>
      </c>
      <c r="F49" s="289" t="s">
        <v>230</v>
      </c>
      <c r="G49" s="294">
        <v>5910</v>
      </c>
      <c r="H49" s="295">
        <v>0.1</v>
      </c>
      <c r="I49" s="296">
        <v>5300</v>
      </c>
      <c r="J49" s="291">
        <v>6000</v>
      </c>
      <c r="K49" s="292"/>
      <c r="L49" s="292"/>
      <c r="M49" s="292">
        <v>6000</v>
      </c>
      <c r="N49" s="292">
        <v>6000</v>
      </c>
      <c r="O49" s="292">
        <v>5500</v>
      </c>
      <c r="P49" s="292">
        <v>5500</v>
      </c>
      <c r="Q49" s="292">
        <v>5500</v>
      </c>
      <c r="R49" s="292">
        <v>5000</v>
      </c>
      <c r="S49" s="292">
        <v>5000</v>
      </c>
      <c r="T49" s="292">
        <v>5000</v>
      </c>
      <c r="U49" s="292">
        <v>4700</v>
      </c>
      <c r="V49" s="292">
        <v>4700</v>
      </c>
      <c r="W49" s="293">
        <v>4700</v>
      </c>
      <c r="X49" s="206"/>
    </row>
    <row r="50" spans="2:24" ht="36" customHeight="1">
      <c r="B50" s="215" t="s">
        <v>0</v>
      </c>
      <c r="C50" s="565" t="s">
        <v>175</v>
      </c>
      <c r="D50" s="1022"/>
      <c r="E50" s="288" t="s">
        <v>38</v>
      </c>
      <c r="F50" s="289" t="s">
        <v>210</v>
      </c>
      <c r="G50" s="297">
        <v>16.5</v>
      </c>
      <c r="H50" s="290" t="s">
        <v>227</v>
      </c>
      <c r="I50" s="298">
        <v>11.5</v>
      </c>
      <c r="J50" s="299">
        <v>16.5</v>
      </c>
      <c r="K50" s="288"/>
      <c r="L50" s="288"/>
      <c r="M50" s="288">
        <v>14</v>
      </c>
      <c r="N50" s="288">
        <v>12</v>
      </c>
      <c r="O50" s="288">
        <v>12</v>
      </c>
      <c r="P50" s="288">
        <v>11</v>
      </c>
      <c r="Q50" s="288">
        <v>11</v>
      </c>
      <c r="R50" s="288">
        <v>11</v>
      </c>
      <c r="S50" s="288">
        <v>11</v>
      </c>
      <c r="T50" s="288">
        <v>10</v>
      </c>
      <c r="U50" s="288">
        <v>10</v>
      </c>
      <c r="V50" s="288">
        <v>10</v>
      </c>
      <c r="W50" s="300">
        <v>10</v>
      </c>
      <c r="X50" s="206"/>
    </row>
    <row r="51" spans="2:24" ht="36" customHeight="1">
      <c r="B51" s="215" t="s">
        <v>1</v>
      </c>
      <c r="C51" s="565" t="s">
        <v>176</v>
      </c>
      <c r="D51" s="1022"/>
      <c r="E51" s="288" t="s">
        <v>37</v>
      </c>
      <c r="F51" s="289" t="s">
        <v>211</v>
      </c>
      <c r="G51" s="297">
        <v>0.35</v>
      </c>
      <c r="H51" s="295" t="s">
        <v>75</v>
      </c>
      <c r="I51" s="298" t="s">
        <v>207</v>
      </c>
      <c r="J51" s="299">
        <v>0.5</v>
      </c>
      <c r="K51" s="288"/>
      <c r="L51" s="288"/>
      <c r="M51" s="288">
        <v>0.5</v>
      </c>
      <c r="N51" s="288">
        <v>0.5</v>
      </c>
      <c r="O51" s="288">
        <v>33</v>
      </c>
      <c r="P51" s="288">
        <v>8</v>
      </c>
      <c r="Q51" s="288">
        <v>18</v>
      </c>
      <c r="R51" s="288">
        <v>7</v>
      </c>
      <c r="S51" s="288">
        <v>7</v>
      </c>
      <c r="T51" s="288">
        <v>16</v>
      </c>
      <c r="U51" s="288">
        <v>88.5</v>
      </c>
      <c r="V51" s="288">
        <v>7</v>
      </c>
      <c r="W51" s="300">
        <v>34</v>
      </c>
      <c r="X51" s="206"/>
    </row>
    <row r="52" spans="2:24" ht="36" customHeight="1">
      <c r="B52" s="216" t="s">
        <v>2</v>
      </c>
      <c r="C52" s="566" t="s">
        <v>177</v>
      </c>
      <c r="D52" s="1022"/>
      <c r="E52" s="301" t="s">
        <v>37</v>
      </c>
      <c r="F52" s="302" t="s">
        <v>211</v>
      </c>
      <c r="G52" s="297">
        <v>0</v>
      </c>
      <c r="H52" s="303" t="s">
        <v>75</v>
      </c>
      <c r="I52" s="298" t="s">
        <v>208</v>
      </c>
      <c r="J52" s="304"/>
      <c r="K52" s="301"/>
      <c r="L52" s="301"/>
      <c r="M52" s="301"/>
      <c r="N52" s="301">
        <v>0.4</v>
      </c>
      <c r="O52" s="301">
        <v>0.2</v>
      </c>
      <c r="P52" s="301">
        <v>0.2</v>
      </c>
      <c r="Q52" s="301">
        <v>0.2</v>
      </c>
      <c r="R52" s="301">
        <v>0.1</v>
      </c>
      <c r="S52" s="301">
        <v>0.1</v>
      </c>
      <c r="T52" s="301">
        <v>0.4</v>
      </c>
      <c r="U52" s="301">
        <v>0.4</v>
      </c>
      <c r="V52" s="301">
        <v>0.4</v>
      </c>
      <c r="W52" s="305">
        <v>0.1</v>
      </c>
      <c r="X52" s="206"/>
    </row>
    <row r="53" spans="2:24" ht="36" customHeight="1">
      <c r="B53" s="217" t="s">
        <v>3</v>
      </c>
      <c r="C53" s="567" t="s">
        <v>178</v>
      </c>
      <c r="D53" s="1022"/>
      <c r="E53" s="306" t="s">
        <v>48</v>
      </c>
      <c r="F53" s="307" t="s">
        <v>212</v>
      </c>
      <c r="G53" s="308" t="s">
        <v>228</v>
      </c>
      <c r="H53" s="309" t="s">
        <v>74</v>
      </c>
      <c r="I53" s="310">
        <v>0.98</v>
      </c>
      <c r="J53" s="311">
        <v>0.98</v>
      </c>
      <c r="K53" s="312"/>
      <c r="L53" s="312"/>
      <c r="M53" s="312">
        <v>0.98</v>
      </c>
      <c r="N53" s="312">
        <v>0.98</v>
      </c>
      <c r="O53" s="312">
        <v>0.98</v>
      </c>
      <c r="P53" s="312">
        <v>0.98</v>
      </c>
      <c r="Q53" s="312">
        <v>0.98</v>
      </c>
      <c r="R53" s="312">
        <v>0.98</v>
      </c>
      <c r="S53" s="312">
        <v>0.98</v>
      </c>
      <c r="T53" s="312">
        <v>0.98</v>
      </c>
      <c r="U53" s="312">
        <v>0.98</v>
      </c>
      <c r="V53" s="312">
        <v>0.98</v>
      </c>
      <c r="W53" s="313">
        <v>0.98</v>
      </c>
      <c r="X53" s="206"/>
    </row>
    <row r="54" spans="2:24" ht="36" customHeight="1">
      <c r="B54" s="215" t="s">
        <v>4</v>
      </c>
      <c r="C54" s="565" t="s">
        <v>179</v>
      </c>
      <c r="D54" s="1022"/>
      <c r="E54" s="288" t="s">
        <v>49</v>
      </c>
      <c r="F54" s="289" t="s">
        <v>231</v>
      </c>
      <c r="G54" s="314">
        <v>4478</v>
      </c>
      <c r="H54" s="295">
        <v>0.15</v>
      </c>
      <c r="I54" s="315">
        <v>4858</v>
      </c>
      <c r="J54" s="316">
        <v>4500</v>
      </c>
      <c r="K54" s="317"/>
      <c r="L54" s="317"/>
      <c r="M54" s="317">
        <v>4600</v>
      </c>
      <c r="N54" s="317">
        <v>4700</v>
      </c>
      <c r="O54" s="317">
        <v>4700</v>
      </c>
      <c r="P54" s="317">
        <v>4800</v>
      </c>
      <c r="Q54" s="317">
        <v>4800</v>
      </c>
      <c r="R54" s="317">
        <v>4900</v>
      </c>
      <c r="S54" s="317">
        <v>4900</v>
      </c>
      <c r="T54" s="317">
        <v>5000</v>
      </c>
      <c r="U54" s="317">
        <v>5100</v>
      </c>
      <c r="V54" s="317">
        <v>5100</v>
      </c>
      <c r="W54" s="318">
        <v>5200</v>
      </c>
      <c r="X54" s="206"/>
    </row>
    <row r="55" spans="2:24" ht="36" customHeight="1">
      <c r="B55" s="214" t="s">
        <v>81</v>
      </c>
      <c r="C55" s="568" t="s">
        <v>256</v>
      </c>
      <c r="D55" s="1022"/>
      <c r="E55" s="288" t="s">
        <v>48</v>
      </c>
      <c r="F55" s="289" t="s">
        <v>212</v>
      </c>
      <c r="G55" s="5" t="s">
        <v>36</v>
      </c>
      <c r="H55" s="250" t="s">
        <v>75</v>
      </c>
      <c r="I55" s="249" t="s">
        <v>279</v>
      </c>
      <c r="J55" s="251" t="s">
        <v>286</v>
      </c>
      <c r="K55" s="252"/>
      <c r="L55" s="252"/>
      <c r="M55" s="253"/>
      <c r="N55" s="254" t="s">
        <v>78</v>
      </c>
      <c r="O55" s="254"/>
      <c r="P55" s="254" t="s">
        <v>76</v>
      </c>
      <c r="Q55" s="254" t="s">
        <v>77</v>
      </c>
      <c r="R55" s="319"/>
      <c r="S55" s="319"/>
      <c r="T55" s="319"/>
      <c r="U55" s="319"/>
      <c r="V55" s="319"/>
      <c r="W55" s="300"/>
      <c r="X55" s="206"/>
    </row>
    <row r="56" spans="2:24" ht="36" customHeight="1">
      <c r="B56" s="214" t="s">
        <v>51</v>
      </c>
      <c r="C56" s="568" t="s">
        <v>255</v>
      </c>
      <c r="D56" s="1022"/>
      <c r="E56" s="288" t="s">
        <v>49</v>
      </c>
      <c r="F56" s="289" t="s">
        <v>212</v>
      </c>
      <c r="G56" s="5" t="s">
        <v>36</v>
      </c>
      <c r="H56" s="250" t="s">
        <v>75</v>
      </c>
      <c r="I56" s="249" t="s">
        <v>280</v>
      </c>
      <c r="J56" s="251" t="s">
        <v>286</v>
      </c>
      <c r="K56" s="252"/>
      <c r="L56" s="252"/>
      <c r="M56" s="253" t="s">
        <v>78</v>
      </c>
      <c r="N56" s="254"/>
      <c r="O56" s="254"/>
      <c r="P56" s="254" t="s">
        <v>76</v>
      </c>
      <c r="Q56" s="254" t="s">
        <v>77</v>
      </c>
      <c r="R56" s="288"/>
      <c r="S56" s="288"/>
      <c r="T56" s="288"/>
      <c r="U56" s="288"/>
      <c r="V56" s="288"/>
      <c r="W56" s="300"/>
      <c r="X56" s="206"/>
    </row>
    <row r="57" spans="2:24" ht="36" customHeight="1">
      <c r="B57" s="218" t="s">
        <v>5</v>
      </c>
      <c r="C57" s="593" t="s">
        <v>287</v>
      </c>
      <c r="D57" s="1022"/>
      <c r="E57" s="320" t="s">
        <v>50</v>
      </c>
      <c r="F57" s="321" t="s">
        <v>212</v>
      </c>
      <c r="G57" s="4" t="s">
        <v>235</v>
      </c>
      <c r="H57" s="255">
        <v>1.5</v>
      </c>
      <c r="I57" s="256" t="s">
        <v>281</v>
      </c>
      <c r="J57" s="257" t="s">
        <v>79</v>
      </c>
      <c r="K57" s="205"/>
      <c r="L57" s="205"/>
      <c r="M57" s="258">
        <v>0.12</v>
      </c>
      <c r="N57" s="205" t="s">
        <v>82</v>
      </c>
      <c r="O57" s="205"/>
      <c r="P57" s="205"/>
      <c r="Q57" s="205" t="s">
        <v>80</v>
      </c>
      <c r="R57" s="320"/>
      <c r="S57" s="320"/>
      <c r="T57" s="320"/>
      <c r="U57" s="320"/>
      <c r="V57" s="320"/>
      <c r="W57" s="322"/>
      <c r="X57" s="206"/>
    </row>
    <row r="58" spans="2:24" ht="36" customHeight="1">
      <c r="B58" s="219" t="s">
        <v>6</v>
      </c>
      <c r="C58" s="569" t="s">
        <v>180</v>
      </c>
      <c r="D58" s="1011" t="s">
        <v>33</v>
      </c>
      <c r="E58" s="323" t="s">
        <v>53</v>
      </c>
      <c r="F58" s="324" t="s">
        <v>210</v>
      </c>
      <c r="G58" s="325">
        <v>19000</v>
      </c>
      <c r="H58" s="326">
        <f>(I58-G58)/G58</f>
        <v>4.6052631578947366E-2</v>
      </c>
      <c r="I58" s="327">
        <v>19875</v>
      </c>
      <c r="J58" s="328">
        <v>19000</v>
      </c>
      <c r="K58" s="329"/>
      <c r="L58" s="329"/>
      <c r="M58" s="329">
        <v>19000</v>
      </c>
      <c r="N58" s="329">
        <v>19000</v>
      </c>
      <c r="O58" s="329">
        <v>19500</v>
      </c>
      <c r="P58" s="329">
        <v>19500</v>
      </c>
      <c r="Q58" s="329">
        <v>19500</v>
      </c>
      <c r="R58" s="329">
        <v>20000</v>
      </c>
      <c r="S58" s="329">
        <v>20000</v>
      </c>
      <c r="T58" s="329">
        <v>20000</v>
      </c>
      <c r="U58" s="329">
        <v>21000</v>
      </c>
      <c r="V58" s="329">
        <v>21000</v>
      </c>
      <c r="W58" s="330">
        <v>21000</v>
      </c>
      <c r="X58" s="206"/>
    </row>
    <row r="59" spans="2:24" ht="36" customHeight="1">
      <c r="B59" s="220" t="s">
        <v>7</v>
      </c>
      <c r="C59" s="570" t="s">
        <v>181</v>
      </c>
      <c r="D59" s="1023"/>
      <c r="E59" s="331" t="s">
        <v>54</v>
      </c>
      <c r="F59" s="332" t="s">
        <v>210</v>
      </c>
      <c r="G59" s="333">
        <v>3800</v>
      </c>
      <c r="H59" s="334">
        <f t="shared" ref="H59:H72" si="7">(I59-G59)/G59</f>
        <v>0.11710526315789474</v>
      </c>
      <c r="I59" s="335">
        <v>4245</v>
      </c>
      <c r="J59" s="336">
        <v>3900</v>
      </c>
      <c r="K59" s="337"/>
      <c r="L59" s="337"/>
      <c r="M59" s="337">
        <v>3900</v>
      </c>
      <c r="N59" s="337">
        <v>3900</v>
      </c>
      <c r="O59" s="337">
        <v>4200</v>
      </c>
      <c r="P59" s="337">
        <v>4200</v>
      </c>
      <c r="Q59" s="337">
        <v>4200</v>
      </c>
      <c r="R59" s="337">
        <v>4200</v>
      </c>
      <c r="S59" s="337">
        <v>4200</v>
      </c>
      <c r="T59" s="337">
        <v>4560</v>
      </c>
      <c r="U59" s="337">
        <v>4560</v>
      </c>
      <c r="V59" s="337">
        <v>4560</v>
      </c>
      <c r="W59" s="338">
        <v>4560</v>
      </c>
      <c r="X59" s="206"/>
    </row>
    <row r="60" spans="2:24" ht="36" customHeight="1">
      <c r="B60" s="221" t="s">
        <v>272</v>
      </c>
      <c r="C60" s="570" t="s">
        <v>182</v>
      </c>
      <c r="D60" s="1023"/>
      <c r="E60" s="331" t="s">
        <v>55</v>
      </c>
      <c r="F60" s="332" t="s">
        <v>212</v>
      </c>
      <c r="G60" s="339">
        <v>-6</v>
      </c>
      <c r="H60" s="334">
        <v>1</v>
      </c>
      <c r="I60" s="335" t="s">
        <v>56</v>
      </c>
      <c r="J60" s="340">
        <v>-5</v>
      </c>
      <c r="K60" s="341"/>
      <c r="L60" s="341"/>
      <c r="M60" s="341">
        <v>-4</v>
      </c>
      <c r="N60" s="341">
        <v>-4</v>
      </c>
      <c r="O60" s="341">
        <v>-3</v>
      </c>
      <c r="P60" s="341">
        <v>-2</v>
      </c>
      <c r="Q60" s="341">
        <v>-2</v>
      </c>
      <c r="R60" s="341">
        <v>-1</v>
      </c>
      <c r="S60" s="341">
        <v>-1</v>
      </c>
      <c r="T60" s="342">
        <v>0</v>
      </c>
      <c r="U60" s="342">
        <v>1</v>
      </c>
      <c r="V60" s="342">
        <v>1</v>
      </c>
      <c r="W60" s="343">
        <v>2</v>
      </c>
      <c r="X60" s="206"/>
    </row>
    <row r="61" spans="2:24" ht="36" customHeight="1">
      <c r="B61" s="1032" t="s">
        <v>172</v>
      </c>
      <c r="C61" s="570" t="s">
        <v>183</v>
      </c>
      <c r="D61" s="1023"/>
      <c r="E61" s="331" t="s">
        <v>57</v>
      </c>
      <c r="F61" s="332" t="s">
        <v>210</v>
      </c>
      <c r="G61" s="344">
        <v>0.22</v>
      </c>
      <c r="H61" s="345">
        <f t="shared" si="7"/>
        <v>0.63636363636363624</v>
      </c>
      <c r="I61" s="346">
        <v>0.36</v>
      </c>
      <c r="J61" s="347">
        <v>0.3</v>
      </c>
      <c r="K61" s="348"/>
      <c r="L61" s="348"/>
      <c r="M61" s="348">
        <v>0.3</v>
      </c>
      <c r="N61" s="348">
        <v>0.3</v>
      </c>
      <c r="O61" s="348">
        <v>0.33</v>
      </c>
      <c r="P61" s="348">
        <v>0.33</v>
      </c>
      <c r="Q61" s="348">
        <v>0.33</v>
      </c>
      <c r="R61" s="348">
        <v>0.4</v>
      </c>
      <c r="S61" s="348">
        <v>0.4</v>
      </c>
      <c r="T61" s="348">
        <v>0.4</v>
      </c>
      <c r="U61" s="348">
        <v>0.4</v>
      </c>
      <c r="V61" s="348">
        <v>0.4</v>
      </c>
      <c r="W61" s="349">
        <v>0.4</v>
      </c>
      <c r="X61" s="206"/>
    </row>
    <row r="62" spans="2:24" ht="36" customHeight="1">
      <c r="B62" s="1033"/>
      <c r="C62" s="570" t="s">
        <v>184</v>
      </c>
      <c r="D62" s="1023"/>
      <c r="E62" s="331" t="s">
        <v>57</v>
      </c>
      <c r="F62" s="332" t="s">
        <v>210</v>
      </c>
      <c r="G62" s="344">
        <v>0.92</v>
      </c>
      <c r="H62" s="345">
        <f t="shared" si="7"/>
        <v>5.4347826086956444E-2</v>
      </c>
      <c r="I62" s="346">
        <v>0.97</v>
      </c>
      <c r="J62" s="350">
        <v>0.95</v>
      </c>
      <c r="K62" s="351"/>
      <c r="L62" s="351"/>
      <c r="M62" s="352">
        <v>0.95</v>
      </c>
      <c r="N62" s="352">
        <v>0.95</v>
      </c>
      <c r="O62" s="352">
        <v>0.95</v>
      </c>
      <c r="P62" s="352">
        <v>0.95</v>
      </c>
      <c r="Q62" s="352">
        <v>0.95</v>
      </c>
      <c r="R62" s="352">
        <v>0.99</v>
      </c>
      <c r="S62" s="352">
        <v>0.99</v>
      </c>
      <c r="T62" s="352">
        <v>0.99</v>
      </c>
      <c r="U62" s="352">
        <v>0.99</v>
      </c>
      <c r="V62" s="352">
        <v>0.99</v>
      </c>
      <c r="W62" s="353">
        <v>0.99</v>
      </c>
      <c r="X62" s="206"/>
    </row>
    <row r="63" spans="2:24" ht="36" customHeight="1">
      <c r="B63" s="1033"/>
      <c r="C63" s="570" t="s">
        <v>185</v>
      </c>
      <c r="D63" s="1023"/>
      <c r="E63" s="331" t="s">
        <v>53</v>
      </c>
      <c r="F63" s="332" t="s">
        <v>210</v>
      </c>
      <c r="G63" s="354">
        <v>4000</v>
      </c>
      <c r="H63" s="345">
        <f t="shared" si="7"/>
        <v>0.3125</v>
      </c>
      <c r="I63" s="355">
        <v>5250</v>
      </c>
      <c r="J63" s="356">
        <v>5250</v>
      </c>
      <c r="K63" s="357"/>
      <c r="L63" s="357"/>
      <c r="M63" s="357">
        <v>5250</v>
      </c>
      <c r="N63" s="357">
        <v>5250</v>
      </c>
      <c r="O63" s="357">
        <v>5250</v>
      </c>
      <c r="P63" s="357">
        <v>5250</v>
      </c>
      <c r="Q63" s="357">
        <v>5250</v>
      </c>
      <c r="R63" s="357">
        <v>5250</v>
      </c>
      <c r="S63" s="357">
        <v>5250</v>
      </c>
      <c r="T63" s="357">
        <v>5250</v>
      </c>
      <c r="U63" s="357">
        <v>5250</v>
      </c>
      <c r="V63" s="357">
        <v>5250</v>
      </c>
      <c r="W63" s="358">
        <v>5250</v>
      </c>
      <c r="X63" s="206"/>
    </row>
    <row r="64" spans="2:24" ht="36" customHeight="1">
      <c r="B64" s="1033"/>
      <c r="C64" s="571" t="s">
        <v>245</v>
      </c>
      <c r="D64" s="1023"/>
      <c r="E64" s="331" t="s">
        <v>59</v>
      </c>
      <c r="F64" s="332" t="s">
        <v>210</v>
      </c>
      <c r="G64" s="344">
        <v>0.63</v>
      </c>
      <c r="H64" s="345">
        <f t="shared" si="7"/>
        <v>0.11111111111111104</v>
      </c>
      <c r="I64" s="346">
        <v>0.7</v>
      </c>
      <c r="J64" s="359">
        <v>0.7</v>
      </c>
      <c r="K64" s="360"/>
      <c r="L64" s="360"/>
      <c r="M64" s="360">
        <v>0.7</v>
      </c>
      <c r="N64" s="360">
        <v>0.7</v>
      </c>
      <c r="O64" s="360">
        <v>0.7</v>
      </c>
      <c r="P64" s="360">
        <v>0.7</v>
      </c>
      <c r="Q64" s="360">
        <v>0.7</v>
      </c>
      <c r="R64" s="360">
        <v>0.7</v>
      </c>
      <c r="S64" s="360">
        <v>0.7</v>
      </c>
      <c r="T64" s="360">
        <v>0.7</v>
      </c>
      <c r="U64" s="360">
        <v>0.7</v>
      </c>
      <c r="V64" s="360">
        <v>0.7</v>
      </c>
      <c r="W64" s="361">
        <v>0.7</v>
      </c>
      <c r="X64" s="206"/>
    </row>
    <row r="65" spans="2:24" ht="36" customHeight="1">
      <c r="B65" s="1034"/>
      <c r="C65" s="571" t="s">
        <v>288</v>
      </c>
      <c r="D65" s="1023"/>
      <c r="E65" s="331" t="s">
        <v>55</v>
      </c>
      <c r="F65" s="332" t="s">
        <v>210</v>
      </c>
      <c r="G65" s="362">
        <v>15.5</v>
      </c>
      <c r="H65" s="334">
        <f t="shared" si="7"/>
        <v>8.0645161290322578E-2</v>
      </c>
      <c r="I65" s="363">
        <v>16.75</v>
      </c>
      <c r="J65" s="364">
        <v>16</v>
      </c>
      <c r="K65" s="342"/>
      <c r="L65" s="342"/>
      <c r="M65" s="342">
        <v>16</v>
      </c>
      <c r="N65" s="342">
        <v>16</v>
      </c>
      <c r="O65" s="342">
        <v>16</v>
      </c>
      <c r="P65" s="342">
        <v>16</v>
      </c>
      <c r="Q65" s="342">
        <v>16</v>
      </c>
      <c r="R65" s="342">
        <v>17</v>
      </c>
      <c r="S65" s="342">
        <v>17</v>
      </c>
      <c r="T65" s="342">
        <v>17</v>
      </c>
      <c r="U65" s="342">
        <v>18</v>
      </c>
      <c r="V65" s="342">
        <v>18</v>
      </c>
      <c r="W65" s="343">
        <v>18</v>
      </c>
      <c r="X65" s="206"/>
    </row>
    <row r="66" spans="2:24" ht="36" customHeight="1">
      <c r="B66" s="222" t="s">
        <v>270</v>
      </c>
      <c r="C66" s="572" t="s">
        <v>186</v>
      </c>
      <c r="D66" s="1023"/>
      <c r="E66" s="365" t="s">
        <v>58</v>
      </c>
      <c r="F66" s="366" t="s">
        <v>232</v>
      </c>
      <c r="G66" s="367" t="s">
        <v>39</v>
      </c>
      <c r="H66" s="368"/>
      <c r="I66" s="369">
        <v>20</v>
      </c>
      <c r="J66" s="370" t="s">
        <v>39</v>
      </c>
      <c r="K66" s="371"/>
      <c r="L66" s="371"/>
      <c r="M66" s="371" t="s">
        <v>39</v>
      </c>
      <c r="N66" s="371" t="s">
        <v>39</v>
      </c>
      <c r="O66" s="371">
        <v>0.5</v>
      </c>
      <c r="P66" s="371">
        <v>0.9</v>
      </c>
      <c r="Q66" s="371">
        <v>1.4</v>
      </c>
      <c r="R66" s="371">
        <v>1.8</v>
      </c>
      <c r="S66" s="371">
        <v>2.2000000000000002</v>
      </c>
      <c r="T66" s="371">
        <v>2.7</v>
      </c>
      <c r="U66" s="371">
        <v>3.1</v>
      </c>
      <c r="V66" s="371">
        <v>3.6</v>
      </c>
      <c r="W66" s="372">
        <v>4</v>
      </c>
      <c r="X66" s="206"/>
    </row>
    <row r="67" spans="2:24" ht="36" customHeight="1">
      <c r="B67" s="223" t="s">
        <v>269</v>
      </c>
      <c r="C67" s="573" t="s">
        <v>189</v>
      </c>
      <c r="D67" s="1016" t="s">
        <v>88</v>
      </c>
      <c r="E67" s="373" t="s">
        <v>89</v>
      </c>
      <c r="F67" s="261" t="s">
        <v>210</v>
      </c>
      <c r="G67" s="262">
        <v>2050</v>
      </c>
      <c r="H67" s="263">
        <f t="shared" si="7"/>
        <v>0.65853658536585369</v>
      </c>
      <c r="I67" s="374">
        <v>3400</v>
      </c>
      <c r="J67" s="375">
        <v>3000</v>
      </c>
      <c r="K67" s="376"/>
      <c r="L67" s="376"/>
      <c r="M67" s="376">
        <v>3000</v>
      </c>
      <c r="N67" s="376">
        <v>3000</v>
      </c>
      <c r="O67" s="376">
        <v>3300</v>
      </c>
      <c r="P67" s="376">
        <v>3300</v>
      </c>
      <c r="Q67" s="376">
        <v>3300</v>
      </c>
      <c r="R67" s="376">
        <v>3500</v>
      </c>
      <c r="S67" s="376">
        <v>3500</v>
      </c>
      <c r="T67" s="376">
        <v>3500</v>
      </c>
      <c r="U67" s="376">
        <v>3800</v>
      </c>
      <c r="V67" s="376">
        <v>3800</v>
      </c>
      <c r="W67" s="377">
        <v>3800</v>
      </c>
      <c r="X67" s="207"/>
    </row>
    <row r="68" spans="2:24" ht="36" customHeight="1">
      <c r="B68" s="224" t="s">
        <v>268</v>
      </c>
      <c r="C68" s="574" t="s">
        <v>189</v>
      </c>
      <c r="D68" s="1017"/>
      <c r="E68" s="278" t="s">
        <v>90</v>
      </c>
      <c r="F68" s="270" t="s">
        <v>230</v>
      </c>
      <c r="G68" s="271">
        <v>520</v>
      </c>
      <c r="H68" s="272">
        <f t="shared" si="7"/>
        <v>1.6923076923076923</v>
      </c>
      <c r="I68" s="378">
        <v>1400</v>
      </c>
      <c r="J68" s="379">
        <v>1000</v>
      </c>
      <c r="K68" s="380"/>
      <c r="L68" s="380"/>
      <c r="M68" s="380">
        <v>1000</v>
      </c>
      <c r="N68" s="380">
        <v>1000</v>
      </c>
      <c r="O68" s="380">
        <v>1300</v>
      </c>
      <c r="P68" s="380">
        <v>1300</v>
      </c>
      <c r="Q68" s="380">
        <v>1300</v>
      </c>
      <c r="R68" s="380">
        <v>1500</v>
      </c>
      <c r="S68" s="380">
        <v>1500</v>
      </c>
      <c r="T68" s="380">
        <v>1500</v>
      </c>
      <c r="U68" s="380">
        <v>1800</v>
      </c>
      <c r="V68" s="380">
        <v>1800</v>
      </c>
      <c r="W68" s="6">
        <v>1800</v>
      </c>
      <c r="X68" s="207"/>
    </row>
    <row r="69" spans="2:24" ht="36" customHeight="1">
      <c r="B69" s="225" t="s">
        <v>91</v>
      </c>
      <c r="C69" s="575" t="s">
        <v>254</v>
      </c>
      <c r="D69" s="1017"/>
      <c r="E69" s="278" t="s">
        <v>92</v>
      </c>
      <c r="F69" s="270" t="s">
        <v>210</v>
      </c>
      <c r="G69" s="271">
        <v>5234</v>
      </c>
      <c r="H69" s="272">
        <f t="shared" si="7"/>
        <v>0.12418800152846771</v>
      </c>
      <c r="I69" s="378">
        <v>5884</v>
      </c>
      <c r="J69" s="379">
        <v>5500</v>
      </c>
      <c r="K69" s="380"/>
      <c r="L69" s="380"/>
      <c r="M69" s="380">
        <v>5500</v>
      </c>
      <c r="N69" s="380">
        <v>5500</v>
      </c>
      <c r="O69" s="380">
        <v>5800</v>
      </c>
      <c r="P69" s="380">
        <v>5800</v>
      </c>
      <c r="Q69" s="380">
        <v>5800</v>
      </c>
      <c r="R69" s="380">
        <v>6000</v>
      </c>
      <c r="S69" s="380">
        <v>6000</v>
      </c>
      <c r="T69" s="380">
        <v>6000</v>
      </c>
      <c r="U69" s="380">
        <v>6234</v>
      </c>
      <c r="V69" s="380">
        <v>6234</v>
      </c>
      <c r="W69" s="6">
        <v>6234</v>
      </c>
      <c r="X69" s="208"/>
    </row>
    <row r="70" spans="2:24" ht="36" customHeight="1">
      <c r="B70" s="225" t="s">
        <v>93</v>
      </c>
      <c r="C70" s="574" t="s">
        <v>189</v>
      </c>
      <c r="D70" s="1017"/>
      <c r="E70" s="278" t="s">
        <v>45</v>
      </c>
      <c r="F70" s="270" t="s">
        <v>230</v>
      </c>
      <c r="G70" s="271">
        <v>2100</v>
      </c>
      <c r="H70" s="272">
        <f t="shared" si="7"/>
        <v>0.58333333333333337</v>
      </c>
      <c r="I70" s="378">
        <v>3325</v>
      </c>
      <c r="J70" s="379">
        <v>2500</v>
      </c>
      <c r="K70" s="380"/>
      <c r="L70" s="380"/>
      <c r="M70" s="380">
        <v>2500</v>
      </c>
      <c r="N70" s="380">
        <v>2500</v>
      </c>
      <c r="O70" s="380">
        <v>3000</v>
      </c>
      <c r="P70" s="380">
        <v>3000</v>
      </c>
      <c r="Q70" s="380">
        <v>3000</v>
      </c>
      <c r="R70" s="380">
        <v>3600</v>
      </c>
      <c r="S70" s="380">
        <v>3600</v>
      </c>
      <c r="T70" s="380">
        <v>3600</v>
      </c>
      <c r="U70" s="380">
        <v>4200</v>
      </c>
      <c r="V70" s="380">
        <v>4200</v>
      </c>
      <c r="W70" s="6">
        <v>4200</v>
      </c>
      <c r="X70" s="207"/>
    </row>
    <row r="71" spans="2:24" ht="36" customHeight="1">
      <c r="B71" s="224" t="s">
        <v>95</v>
      </c>
      <c r="C71" s="575" t="s">
        <v>187</v>
      </c>
      <c r="D71" s="1017"/>
      <c r="E71" s="381" t="s">
        <v>94</v>
      </c>
      <c r="F71" s="382" t="s">
        <v>209</v>
      </c>
      <c r="G71" s="383">
        <v>7.1999999999999995E-2</v>
      </c>
      <c r="H71" s="272">
        <f t="shared" si="7"/>
        <v>0.8055555555555558</v>
      </c>
      <c r="I71" s="384">
        <v>0.13</v>
      </c>
      <c r="J71" s="385">
        <v>0.08</v>
      </c>
      <c r="K71" s="386"/>
      <c r="L71" s="386"/>
      <c r="M71" s="386">
        <v>0.09</v>
      </c>
      <c r="N71" s="386">
        <v>0.1</v>
      </c>
      <c r="O71" s="386">
        <v>0.11</v>
      </c>
      <c r="P71" s="386">
        <v>0.12</v>
      </c>
      <c r="Q71" s="386">
        <v>0.13</v>
      </c>
      <c r="R71" s="386">
        <v>0.14000000000000001</v>
      </c>
      <c r="S71" s="386">
        <v>0.15</v>
      </c>
      <c r="T71" s="386">
        <v>0.15</v>
      </c>
      <c r="U71" s="386">
        <v>0.15</v>
      </c>
      <c r="V71" s="386">
        <v>0.15</v>
      </c>
      <c r="W71" s="7">
        <v>0.15</v>
      </c>
      <c r="X71" s="207"/>
    </row>
    <row r="72" spans="2:24" ht="36" customHeight="1">
      <c r="B72" s="226" t="s">
        <v>8</v>
      </c>
      <c r="C72" s="576" t="s">
        <v>188</v>
      </c>
      <c r="D72" s="1018"/>
      <c r="E72" s="280" t="s">
        <v>46</v>
      </c>
      <c r="F72" s="281" t="s">
        <v>209</v>
      </c>
      <c r="G72" s="387">
        <v>667</v>
      </c>
      <c r="H72" s="283">
        <f t="shared" si="7"/>
        <v>0.21889055472263869</v>
      </c>
      <c r="I72" s="388">
        <v>813</v>
      </c>
      <c r="J72" s="279">
        <v>700</v>
      </c>
      <c r="K72" s="280"/>
      <c r="L72" s="280"/>
      <c r="M72" s="280">
        <v>700</v>
      </c>
      <c r="N72" s="280">
        <v>750</v>
      </c>
      <c r="O72" s="280">
        <v>750</v>
      </c>
      <c r="P72" s="280">
        <v>800</v>
      </c>
      <c r="Q72" s="280">
        <v>800</v>
      </c>
      <c r="R72" s="280">
        <v>850</v>
      </c>
      <c r="S72" s="280">
        <v>850</v>
      </c>
      <c r="T72" s="280">
        <v>850</v>
      </c>
      <c r="U72" s="280">
        <v>900</v>
      </c>
      <c r="V72" s="280">
        <v>900</v>
      </c>
      <c r="W72" s="389">
        <v>900</v>
      </c>
      <c r="X72" s="207"/>
    </row>
    <row r="73" spans="2:24" ht="36" customHeight="1">
      <c r="B73" s="227"/>
      <c r="C73" s="577"/>
      <c r="D73" s="1011" t="s">
        <v>289</v>
      </c>
      <c r="E73" s="390"/>
      <c r="F73" s="391"/>
      <c r="G73" s="392"/>
      <c r="H73" s="393"/>
      <c r="I73" s="394"/>
      <c r="J73" s="395"/>
      <c r="K73" s="390"/>
      <c r="L73" s="390"/>
      <c r="M73" s="390"/>
      <c r="N73" s="390"/>
      <c r="O73" s="390"/>
      <c r="P73" s="390"/>
      <c r="Q73" s="390"/>
      <c r="R73" s="390"/>
      <c r="S73" s="390"/>
      <c r="T73" s="390"/>
      <c r="U73" s="390"/>
      <c r="V73" s="390"/>
      <c r="W73" s="396"/>
      <c r="X73" s="207"/>
    </row>
    <row r="74" spans="2:24" ht="36" customHeight="1">
      <c r="B74" s="228" t="s">
        <v>240</v>
      </c>
      <c r="C74" s="578"/>
      <c r="D74" s="1009"/>
      <c r="E74" s="397"/>
      <c r="F74" s="398"/>
      <c r="G74" s="399"/>
      <c r="H74" s="400"/>
      <c r="I74" s="401"/>
      <c r="J74" s="402"/>
      <c r="K74" s="397"/>
      <c r="L74" s="397"/>
      <c r="M74" s="397"/>
      <c r="N74" s="397"/>
      <c r="O74" s="397"/>
      <c r="P74" s="397"/>
      <c r="Q74" s="397"/>
      <c r="R74" s="397"/>
      <c r="S74" s="397"/>
      <c r="T74" s="397"/>
      <c r="U74" s="397"/>
      <c r="V74" s="397"/>
      <c r="W74" s="403"/>
      <c r="X74" s="207"/>
    </row>
    <row r="75" spans="2:24" ht="36" customHeight="1">
      <c r="B75" s="228"/>
      <c r="C75" s="578"/>
      <c r="D75" s="1009"/>
      <c r="E75" s="397"/>
      <c r="F75" s="398"/>
      <c r="G75" s="399"/>
      <c r="H75" s="400"/>
      <c r="I75" s="401"/>
      <c r="J75" s="402"/>
      <c r="K75" s="397"/>
      <c r="L75" s="397"/>
      <c r="M75" s="397"/>
      <c r="N75" s="397"/>
      <c r="O75" s="397"/>
      <c r="P75" s="397"/>
      <c r="Q75" s="397"/>
      <c r="R75" s="397"/>
      <c r="S75" s="397"/>
      <c r="T75" s="397"/>
      <c r="U75" s="397"/>
      <c r="V75" s="397"/>
      <c r="W75" s="403"/>
      <c r="X75" s="207"/>
    </row>
    <row r="76" spans="2:24" ht="36" customHeight="1">
      <c r="B76" s="229"/>
      <c r="C76" s="579"/>
      <c r="D76" s="1012"/>
      <c r="E76" s="404"/>
      <c r="F76" s="405"/>
      <c r="G76" s="406"/>
      <c r="H76" s="407"/>
      <c r="I76" s="408"/>
      <c r="J76" s="409"/>
      <c r="K76" s="404"/>
      <c r="L76" s="404"/>
      <c r="M76" s="404"/>
      <c r="N76" s="404"/>
      <c r="O76" s="404"/>
      <c r="P76" s="404"/>
      <c r="Q76" s="404"/>
      <c r="R76" s="404"/>
      <c r="S76" s="404"/>
      <c r="T76" s="404"/>
      <c r="U76" s="404"/>
      <c r="V76" s="404"/>
      <c r="W76" s="410"/>
      <c r="X76" s="207"/>
    </row>
    <row r="77" spans="2:24" ht="36" customHeight="1">
      <c r="B77" s="230" t="s">
        <v>9</v>
      </c>
      <c r="C77" s="580"/>
      <c r="D77" s="1017" t="s">
        <v>83</v>
      </c>
      <c r="E77" s="411" t="s">
        <v>84</v>
      </c>
      <c r="F77" s="412" t="s">
        <v>209</v>
      </c>
      <c r="G77" s="413">
        <v>4.2999999999999997E-2</v>
      </c>
      <c r="H77" s="414">
        <v>0.2</v>
      </c>
      <c r="I77" s="415">
        <v>3.4000000000000002E-2</v>
      </c>
      <c r="J77" s="416">
        <v>3.7999999999999999E-2</v>
      </c>
      <c r="K77" s="417"/>
      <c r="L77" s="417"/>
      <c r="M77" s="417">
        <v>3.7999999999999999E-2</v>
      </c>
      <c r="N77" s="417">
        <v>3.7999999999999999E-2</v>
      </c>
      <c r="O77" s="417">
        <v>3.4000000000000002E-2</v>
      </c>
      <c r="P77" s="417">
        <v>3.4000000000000002E-2</v>
      </c>
      <c r="Q77" s="417">
        <v>3.4000000000000002E-2</v>
      </c>
      <c r="R77" s="417">
        <v>3.4000000000000002E-2</v>
      </c>
      <c r="S77" s="417">
        <v>3.4000000000000002E-2</v>
      </c>
      <c r="T77" s="417">
        <v>3.4000000000000002E-2</v>
      </c>
      <c r="U77" s="417">
        <v>3.2000000000000001E-2</v>
      </c>
      <c r="V77" s="417">
        <v>3.2000000000000001E-2</v>
      </c>
      <c r="W77" s="418">
        <v>3.1E-2</v>
      </c>
      <c r="X77" s="206"/>
    </row>
    <row r="78" spans="2:24" ht="36" customHeight="1">
      <c r="B78" s="231" t="s">
        <v>267</v>
      </c>
      <c r="C78" s="581" t="s">
        <v>213</v>
      </c>
      <c r="D78" s="1017"/>
      <c r="E78" s="419" t="s">
        <v>84</v>
      </c>
      <c r="F78" s="420"/>
      <c r="G78" s="421" t="s">
        <v>39</v>
      </c>
      <c r="H78" s="422">
        <v>0.2</v>
      </c>
      <c r="I78" s="423" t="s">
        <v>214</v>
      </c>
      <c r="J78" s="424" t="s">
        <v>85</v>
      </c>
      <c r="K78" s="419"/>
      <c r="L78" s="419"/>
      <c r="M78" s="419" t="s">
        <v>85</v>
      </c>
      <c r="N78" s="419" t="s">
        <v>85</v>
      </c>
      <c r="O78" s="419" t="s">
        <v>86</v>
      </c>
      <c r="P78" s="419" t="s">
        <v>86</v>
      </c>
      <c r="Q78" s="419" t="s">
        <v>86</v>
      </c>
      <c r="R78" s="419" t="s">
        <v>86</v>
      </c>
      <c r="S78" s="419" t="s">
        <v>86</v>
      </c>
      <c r="T78" s="419" t="s">
        <v>86</v>
      </c>
      <c r="U78" s="419" t="s">
        <v>87</v>
      </c>
      <c r="V78" s="419" t="s">
        <v>87</v>
      </c>
      <c r="W78" s="425" t="s">
        <v>87</v>
      </c>
      <c r="X78" s="206"/>
    </row>
    <row r="79" spans="2:24" ht="36" customHeight="1">
      <c r="B79" s="1029" t="s">
        <v>10</v>
      </c>
      <c r="C79" s="582" t="s">
        <v>201</v>
      </c>
      <c r="D79" s="1017"/>
      <c r="E79" s="426" t="s">
        <v>216</v>
      </c>
      <c r="F79" s="427" t="s">
        <v>210</v>
      </c>
      <c r="G79" s="428">
        <v>2.8999999999999998E-3</v>
      </c>
      <c r="H79" s="429">
        <f>-(I79-G79)/G79</f>
        <v>0.2068965517241379</v>
      </c>
      <c r="I79" s="430">
        <v>2.3E-3</v>
      </c>
      <c r="J79" s="431">
        <v>2.5999999999999999E-3</v>
      </c>
      <c r="K79" s="432"/>
      <c r="L79" s="432"/>
      <c r="M79" s="432">
        <v>2.5999999999999999E-3</v>
      </c>
      <c r="N79" s="432">
        <v>2.5999999999999999E-3</v>
      </c>
      <c r="O79" s="432">
        <v>2.3E-3</v>
      </c>
      <c r="P79" s="432">
        <v>2.3E-3</v>
      </c>
      <c r="Q79" s="432">
        <v>2.3E-3</v>
      </c>
      <c r="R79" s="432">
        <v>2.3E-3</v>
      </c>
      <c r="S79" s="432">
        <v>2.3E-3</v>
      </c>
      <c r="T79" s="432">
        <v>2.3E-3</v>
      </c>
      <c r="U79" s="432">
        <v>2E-3</v>
      </c>
      <c r="V79" s="432">
        <v>2E-3</v>
      </c>
      <c r="W79" s="433">
        <v>2E-3</v>
      </c>
      <c r="X79" s="206"/>
    </row>
    <row r="80" spans="2:24" ht="36" customHeight="1">
      <c r="B80" s="1031"/>
      <c r="C80" s="582" t="s">
        <v>202</v>
      </c>
      <c r="D80" s="1017"/>
      <c r="E80" s="426" t="s">
        <v>215</v>
      </c>
      <c r="F80" s="427" t="s">
        <v>210</v>
      </c>
      <c r="G80" s="428">
        <v>1.1999999999999999E-3</v>
      </c>
      <c r="H80" s="429">
        <f t="shared" ref="H80:H84" si="8">-(I80-G80)/G80</f>
        <v>0.1999999999999999</v>
      </c>
      <c r="I80" s="434">
        <v>9.6000000000000002E-4</v>
      </c>
      <c r="J80" s="435">
        <v>1E-3</v>
      </c>
      <c r="K80" s="436"/>
      <c r="L80" s="436"/>
      <c r="M80" s="436">
        <v>1E-3</v>
      </c>
      <c r="N80" s="436">
        <v>1E-3</v>
      </c>
      <c r="O80" s="436">
        <v>1E-3</v>
      </c>
      <c r="P80" s="436">
        <v>1E-3</v>
      </c>
      <c r="Q80" s="436">
        <v>1E-3</v>
      </c>
      <c r="R80" s="436">
        <v>1E-3</v>
      </c>
      <c r="S80" s="436">
        <v>1E-3</v>
      </c>
      <c r="T80" s="436">
        <v>1E-3</v>
      </c>
      <c r="U80" s="436">
        <v>8.4000000000000003E-4</v>
      </c>
      <c r="V80" s="436">
        <v>8.4000000000000003E-4</v>
      </c>
      <c r="W80" s="437">
        <v>8.4000000000000003E-4</v>
      </c>
      <c r="X80" s="206"/>
    </row>
    <row r="81" spans="2:24" ht="36" customHeight="1">
      <c r="B81" s="1031"/>
      <c r="C81" s="582" t="s">
        <v>203</v>
      </c>
      <c r="D81" s="1017"/>
      <c r="E81" s="426" t="s">
        <v>215</v>
      </c>
      <c r="F81" s="427" t="s">
        <v>210</v>
      </c>
      <c r="G81" s="428">
        <v>4.7999999999999996E-3</v>
      </c>
      <c r="H81" s="429">
        <f t="shared" si="8"/>
        <v>0.18749999999999997</v>
      </c>
      <c r="I81" s="430">
        <v>3.8999999999999998E-3</v>
      </c>
      <c r="J81" s="431">
        <v>4.3E-3</v>
      </c>
      <c r="K81" s="432"/>
      <c r="L81" s="432"/>
      <c r="M81" s="432">
        <v>4.3E-3</v>
      </c>
      <c r="N81" s="432">
        <v>4.3E-3</v>
      </c>
      <c r="O81" s="432">
        <v>3.8999999999999998E-3</v>
      </c>
      <c r="P81" s="432">
        <v>3.8999999999999998E-3</v>
      </c>
      <c r="Q81" s="432">
        <v>3.8999999999999998E-3</v>
      </c>
      <c r="R81" s="432">
        <v>3.8999999999999998E-3</v>
      </c>
      <c r="S81" s="432">
        <v>3.8999999999999998E-3</v>
      </c>
      <c r="T81" s="432">
        <v>3.8999999999999998E-3</v>
      </c>
      <c r="U81" s="432">
        <v>3.3E-3</v>
      </c>
      <c r="V81" s="432">
        <v>3.3E-3</v>
      </c>
      <c r="W81" s="433">
        <v>3.3E-3</v>
      </c>
      <c r="X81" s="206"/>
    </row>
    <row r="82" spans="2:24" ht="36" customHeight="1">
      <c r="B82" s="1030"/>
      <c r="C82" s="582" t="s">
        <v>204</v>
      </c>
      <c r="D82" s="1017"/>
      <c r="E82" s="426" t="s">
        <v>215</v>
      </c>
      <c r="F82" s="427" t="s">
        <v>210</v>
      </c>
      <c r="G82" s="428">
        <v>8.5000000000000006E-3</v>
      </c>
      <c r="H82" s="429">
        <f t="shared" si="8"/>
        <v>0.20941176470588238</v>
      </c>
      <c r="I82" s="434">
        <v>6.7200000000000003E-3</v>
      </c>
      <c r="J82" s="435">
        <v>7.6E-3</v>
      </c>
      <c r="K82" s="436"/>
      <c r="L82" s="436"/>
      <c r="M82" s="436">
        <v>7.6E-3</v>
      </c>
      <c r="N82" s="436">
        <v>6.7999999999999996E-3</v>
      </c>
      <c r="O82" s="436">
        <v>6.7999999999999996E-3</v>
      </c>
      <c r="P82" s="436">
        <v>6.7999999999999996E-3</v>
      </c>
      <c r="Q82" s="436">
        <v>6.7999999999999996E-3</v>
      </c>
      <c r="R82" s="436">
        <v>6.7999999999999996E-3</v>
      </c>
      <c r="S82" s="436">
        <v>6.7999999999999996E-3</v>
      </c>
      <c r="T82" s="436">
        <v>6.7999999999999996E-3</v>
      </c>
      <c r="U82" s="436">
        <v>5.9500000000000004E-3</v>
      </c>
      <c r="V82" s="436">
        <v>5.9500000000000004E-3</v>
      </c>
      <c r="W82" s="437">
        <v>5.9500000000000004E-3</v>
      </c>
      <c r="X82" s="206"/>
    </row>
    <row r="83" spans="2:24" ht="36" customHeight="1">
      <c r="B83" s="1029" t="s">
        <v>220</v>
      </c>
      <c r="C83" s="582" t="s">
        <v>206</v>
      </c>
      <c r="D83" s="1017"/>
      <c r="E83" s="426" t="s">
        <v>218</v>
      </c>
      <c r="F83" s="427" t="s">
        <v>210</v>
      </c>
      <c r="G83" s="438">
        <v>3454</v>
      </c>
      <c r="H83" s="429">
        <f t="shared" si="8"/>
        <v>0.14997104806022005</v>
      </c>
      <c r="I83" s="439">
        <v>2936</v>
      </c>
      <c r="J83" s="440">
        <v>2936</v>
      </c>
      <c r="K83" s="441"/>
      <c r="L83" s="441"/>
      <c r="M83" s="441">
        <v>2936</v>
      </c>
      <c r="N83" s="441">
        <v>2936</v>
      </c>
      <c r="O83" s="441">
        <v>2936</v>
      </c>
      <c r="P83" s="441">
        <v>2936</v>
      </c>
      <c r="Q83" s="441">
        <v>2936</v>
      </c>
      <c r="R83" s="441">
        <v>2936</v>
      </c>
      <c r="S83" s="441">
        <v>2936</v>
      </c>
      <c r="T83" s="441">
        <v>2936</v>
      </c>
      <c r="U83" s="441">
        <v>2936</v>
      </c>
      <c r="V83" s="441">
        <v>2936</v>
      </c>
      <c r="W83" s="442">
        <v>2936</v>
      </c>
      <c r="X83" s="206"/>
    </row>
    <row r="84" spans="2:24" ht="36" customHeight="1">
      <c r="B84" s="1030"/>
      <c r="C84" s="582" t="s">
        <v>205</v>
      </c>
      <c r="D84" s="1017"/>
      <c r="E84" s="426" t="s">
        <v>217</v>
      </c>
      <c r="F84" s="427" t="s">
        <v>210</v>
      </c>
      <c r="G84" s="443">
        <v>126</v>
      </c>
      <c r="H84" s="429">
        <f t="shared" si="8"/>
        <v>0.10317460317460317</v>
      </c>
      <c r="I84" s="444">
        <v>113</v>
      </c>
      <c r="J84" s="445">
        <v>113</v>
      </c>
      <c r="K84" s="426"/>
      <c r="L84" s="426"/>
      <c r="M84" s="426">
        <v>113</v>
      </c>
      <c r="N84" s="426">
        <v>113</v>
      </c>
      <c r="O84" s="426">
        <v>113</v>
      </c>
      <c r="P84" s="426">
        <v>113</v>
      </c>
      <c r="Q84" s="426">
        <v>113</v>
      </c>
      <c r="R84" s="426">
        <v>113</v>
      </c>
      <c r="S84" s="426">
        <v>113</v>
      </c>
      <c r="T84" s="426">
        <v>113</v>
      </c>
      <c r="U84" s="426">
        <v>113</v>
      </c>
      <c r="V84" s="426">
        <v>113</v>
      </c>
      <c r="W84" s="446">
        <v>113</v>
      </c>
      <c r="X84" s="206"/>
    </row>
    <row r="85" spans="2:24" ht="36" customHeight="1">
      <c r="B85" s="232" t="s">
        <v>11</v>
      </c>
      <c r="C85" s="582" t="s">
        <v>246</v>
      </c>
      <c r="D85" s="1017"/>
      <c r="E85" s="426" t="s">
        <v>219</v>
      </c>
      <c r="F85" s="427" t="s">
        <v>211</v>
      </c>
      <c r="G85" s="447">
        <v>36</v>
      </c>
      <c r="H85" s="448">
        <v>0.22</v>
      </c>
      <c r="I85" s="449">
        <v>28</v>
      </c>
      <c r="J85" s="445">
        <v>4</v>
      </c>
      <c r="K85" s="426"/>
      <c r="L85" s="426"/>
      <c r="M85" s="426">
        <v>4</v>
      </c>
      <c r="N85" s="426">
        <v>2</v>
      </c>
      <c r="O85" s="426">
        <v>2</v>
      </c>
      <c r="P85" s="426">
        <v>2</v>
      </c>
      <c r="Q85" s="426">
        <v>2</v>
      </c>
      <c r="R85" s="426">
        <v>2</v>
      </c>
      <c r="S85" s="426">
        <v>2</v>
      </c>
      <c r="T85" s="426">
        <v>2</v>
      </c>
      <c r="U85" s="426">
        <v>2</v>
      </c>
      <c r="V85" s="426">
        <v>2</v>
      </c>
      <c r="W85" s="446">
        <v>2</v>
      </c>
      <c r="X85" s="206"/>
    </row>
    <row r="86" spans="2:24" ht="36" customHeight="1">
      <c r="B86" s="233" t="s">
        <v>12</v>
      </c>
      <c r="C86" s="211" t="s">
        <v>244</v>
      </c>
      <c r="D86" s="1008" t="s">
        <v>237</v>
      </c>
      <c r="E86" s="450" t="s">
        <v>242</v>
      </c>
      <c r="F86" s="451" t="s">
        <v>233</v>
      </c>
      <c r="G86" s="452">
        <v>0.14199999999999999</v>
      </c>
      <c r="H86" s="453">
        <v>4.6338028169014081</v>
      </c>
      <c r="I86" s="454" t="s">
        <v>225</v>
      </c>
      <c r="J86" s="455">
        <v>0.2</v>
      </c>
      <c r="K86" s="456"/>
      <c r="L86" s="456"/>
      <c r="M86" s="456">
        <v>0.2</v>
      </c>
      <c r="N86" s="456">
        <v>0.3</v>
      </c>
      <c r="O86" s="456">
        <v>0.4</v>
      </c>
      <c r="P86" s="456">
        <v>0.4</v>
      </c>
      <c r="Q86" s="456">
        <v>0.5</v>
      </c>
      <c r="R86" s="456">
        <v>0.6</v>
      </c>
      <c r="S86" s="456">
        <v>0.6</v>
      </c>
      <c r="T86" s="456">
        <v>0.7</v>
      </c>
      <c r="U86" s="456">
        <v>0.8</v>
      </c>
      <c r="V86" s="456">
        <v>0.8</v>
      </c>
      <c r="W86" s="457">
        <v>0.8</v>
      </c>
      <c r="X86" s="206"/>
    </row>
    <row r="87" spans="2:24" ht="36" customHeight="1">
      <c r="B87" s="234" t="s">
        <v>241</v>
      </c>
      <c r="C87" s="584" t="s">
        <v>247</v>
      </c>
      <c r="D87" s="1009"/>
      <c r="E87" s="458" t="s">
        <v>42</v>
      </c>
      <c r="F87" s="459" t="s">
        <v>212</v>
      </c>
      <c r="G87" s="460">
        <v>0.14000000000000001</v>
      </c>
      <c r="H87" s="461">
        <v>2.1428571428571428</v>
      </c>
      <c r="I87" s="462" t="s">
        <v>226</v>
      </c>
      <c r="J87" s="463" t="s">
        <v>39</v>
      </c>
      <c r="K87" s="464"/>
      <c r="L87" s="464"/>
      <c r="M87" s="465" t="s">
        <v>39</v>
      </c>
      <c r="N87" s="464">
        <v>0.15</v>
      </c>
      <c r="O87" s="465" t="s">
        <v>39</v>
      </c>
      <c r="P87" s="465" t="s">
        <v>39</v>
      </c>
      <c r="Q87" s="464">
        <v>0.2</v>
      </c>
      <c r="R87" s="465" t="s">
        <v>39</v>
      </c>
      <c r="S87" s="465" t="s">
        <v>39</v>
      </c>
      <c r="T87" s="464">
        <v>0.25</v>
      </c>
      <c r="U87" s="465" t="s">
        <v>39</v>
      </c>
      <c r="V87" s="465" t="s">
        <v>39</v>
      </c>
      <c r="W87" s="466">
        <v>0.3</v>
      </c>
      <c r="X87" s="206"/>
    </row>
    <row r="88" spans="2:24" ht="36" customHeight="1">
      <c r="B88" s="235" t="s">
        <v>13</v>
      </c>
      <c r="C88" s="585" t="s">
        <v>248</v>
      </c>
      <c r="D88" s="1009"/>
      <c r="E88" s="465" t="s">
        <v>43</v>
      </c>
      <c r="F88" s="467" t="s">
        <v>212</v>
      </c>
      <c r="G88" s="460" t="s">
        <v>39</v>
      </c>
      <c r="H88" s="461" t="s">
        <v>39</v>
      </c>
      <c r="I88" s="468">
        <v>0.8</v>
      </c>
      <c r="J88" s="463">
        <v>0.5</v>
      </c>
      <c r="K88" s="464"/>
      <c r="L88" s="464"/>
      <c r="M88" s="464">
        <v>0.5</v>
      </c>
      <c r="N88" s="464">
        <v>0.5</v>
      </c>
      <c r="O88" s="464">
        <v>0.6</v>
      </c>
      <c r="P88" s="464">
        <v>0.6</v>
      </c>
      <c r="Q88" s="464">
        <v>0.6</v>
      </c>
      <c r="R88" s="464">
        <v>0.7</v>
      </c>
      <c r="S88" s="464">
        <v>0.7</v>
      </c>
      <c r="T88" s="464">
        <v>0.7</v>
      </c>
      <c r="U88" s="464">
        <v>0.8</v>
      </c>
      <c r="V88" s="464">
        <v>0.8</v>
      </c>
      <c r="W88" s="466">
        <v>0.8</v>
      </c>
      <c r="X88" s="206"/>
    </row>
    <row r="89" spans="2:24" ht="36" customHeight="1">
      <c r="B89" s="235" t="s">
        <v>14</v>
      </c>
      <c r="C89" s="585" t="s">
        <v>249</v>
      </c>
      <c r="D89" s="1009"/>
      <c r="E89" s="465" t="s">
        <v>44</v>
      </c>
      <c r="F89" s="467" t="s">
        <v>210</v>
      </c>
      <c r="G89" s="469" t="s">
        <v>39</v>
      </c>
      <c r="H89" s="461" t="s">
        <v>39</v>
      </c>
      <c r="I89" s="468">
        <v>0.6</v>
      </c>
      <c r="J89" s="470" t="s">
        <v>39</v>
      </c>
      <c r="K89" s="465"/>
      <c r="L89" s="465"/>
      <c r="M89" s="464">
        <v>0.65</v>
      </c>
      <c r="N89" s="464">
        <v>0.6</v>
      </c>
      <c r="O89" s="464">
        <v>0.5</v>
      </c>
      <c r="P89" s="464">
        <v>0.5</v>
      </c>
      <c r="Q89" s="464">
        <v>0.5</v>
      </c>
      <c r="R89" s="464">
        <v>0.6</v>
      </c>
      <c r="S89" s="464">
        <v>0.65</v>
      </c>
      <c r="T89" s="464">
        <v>0.65</v>
      </c>
      <c r="U89" s="464">
        <v>0.65</v>
      </c>
      <c r="V89" s="464">
        <v>0.65</v>
      </c>
      <c r="W89" s="466">
        <v>0.6</v>
      </c>
      <c r="X89" s="206"/>
    </row>
    <row r="90" spans="2:24" ht="36" customHeight="1">
      <c r="B90" s="236" t="s">
        <v>15</v>
      </c>
      <c r="C90" s="586" t="s">
        <v>250</v>
      </c>
      <c r="D90" s="1012"/>
      <c r="E90" s="471" t="s">
        <v>171</v>
      </c>
      <c r="F90" s="472" t="s">
        <v>212</v>
      </c>
      <c r="G90" s="473">
        <v>0.33</v>
      </c>
      <c r="H90" s="474">
        <v>0.39393939393939392</v>
      </c>
      <c r="I90" s="475">
        <v>0.2</v>
      </c>
      <c r="J90" s="476">
        <v>0.33</v>
      </c>
      <c r="K90" s="477"/>
      <c r="L90" s="477"/>
      <c r="M90" s="477">
        <v>0.32</v>
      </c>
      <c r="N90" s="477">
        <v>0.31</v>
      </c>
      <c r="O90" s="477">
        <v>0.3</v>
      </c>
      <c r="P90" s="477">
        <v>0.28999999999999998</v>
      </c>
      <c r="Q90" s="477">
        <v>0.28000000000000003</v>
      </c>
      <c r="R90" s="477">
        <v>0.27</v>
      </c>
      <c r="S90" s="477">
        <v>0.26</v>
      </c>
      <c r="T90" s="477">
        <v>0.25</v>
      </c>
      <c r="U90" s="477">
        <v>0.24</v>
      </c>
      <c r="V90" s="477">
        <v>0.22</v>
      </c>
      <c r="W90" s="478">
        <v>0.2</v>
      </c>
      <c r="X90" s="206"/>
    </row>
    <row r="91" spans="2:24" ht="36" customHeight="1">
      <c r="B91" s="237" t="s">
        <v>266</v>
      </c>
      <c r="C91" s="587" t="s">
        <v>251</v>
      </c>
      <c r="D91" s="1017" t="s">
        <v>32</v>
      </c>
      <c r="E91" s="479" t="s">
        <v>64</v>
      </c>
      <c r="F91" s="480" t="s">
        <v>210</v>
      </c>
      <c r="G91" s="481">
        <v>3213</v>
      </c>
      <c r="H91" s="482">
        <f t="shared" ref="H91:H101" si="9">(I91-G91)/G91</f>
        <v>0.18269530034235917</v>
      </c>
      <c r="I91" s="483">
        <v>3800</v>
      </c>
      <c r="J91" s="484">
        <v>3840</v>
      </c>
      <c r="K91" s="485"/>
      <c r="L91" s="485"/>
      <c r="M91" s="485">
        <v>3193</v>
      </c>
      <c r="N91" s="485">
        <v>3332</v>
      </c>
      <c r="O91" s="485">
        <v>3319</v>
      </c>
      <c r="P91" s="485">
        <v>3533</v>
      </c>
      <c r="Q91" s="485">
        <v>3685</v>
      </c>
      <c r="R91" s="485">
        <v>3953</v>
      </c>
      <c r="S91" s="485">
        <v>4160</v>
      </c>
      <c r="T91" s="485">
        <v>3917</v>
      </c>
      <c r="U91" s="485">
        <v>4062</v>
      </c>
      <c r="V91" s="485">
        <v>4560</v>
      </c>
      <c r="W91" s="486">
        <v>4046</v>
      </c>
      <c r="X91" s="206"/>
    </row>
    <row r="92" spans="2:24" ht="36" customHeight="1">
      <c r="B92" s="238" t="s">
        <v>169</v>
      </c>
      <c r="C92" s="589" t="s">
        <v>190</v>
      </c>
      <c r="D92" s="1017"/>
      <c r="E92" s="487" t="s">
        <v>60</v>
      </c>
      <c r="F92" s="488" t="s">
        <v>210</v>
      </c>
      <c r="G92" s="489">
        <v>309</v>
      </c>
      <c r="H92" s="490">
        <f t="shared" si="9"/>
        <v>0.13268608414239483</v>
      </c>
      <c r="I92" s="491">
        <v>350</v>
      </c>
      <c r="J92" s="492">
        <v>300</v>
      </c>
      <c r="K92" s="487"/>
      <c r="L92" s="487"/>
      <c r="M92" s="487">
        <v>300</v>
      </c>
      <c r="N92" s="487">
        <v>300</v>
      </c>
      <c r="O92" s="487">
        <v>300</v>
      </c>
      <c r="P92" s="487">
        <v>400</v>
      </c>
      <c r="Q92" s="487">
        <v>300</v>
      </c>
      <c r="R92" s="487">
        <v>350</v>
      </c>
      <c r="S92" s="487">
        <v>350</v>
      </c>
      <c r="T92" s="487">
        <v>350</v>
      </c>
      <c r="U92" s="487">
        <v>400</v>
      </c>
      <c r="V92" s="487">
        <v>500</v>
      </c>
      <c r="W92" s="493">
        <v>350</v>
      </c>
      <c r="X92" s="206"/>
    </row>
    <row r="93" spans="2:24" ht="36" customHeight="1">
      <c r="B93" s="238" t="s">
        <v>258</v>
      </c>
      <c r="C93" s="587" t="s">
        <v>252</v>
      </c>
      <c r="D93" s="1017"/>
      <c r="E93" s="487" t="s">
        <v>60</v>
      </c>
      <c r="F93" s="480" t="s">
        <v>231</v>
      </c>
      <c r="G93" s="494">
        <v>2156</v>
      </c>
      <c r="H93" s="490">
        <f t="shared" si="9"/>
        <v>0.39146567717996289</v>
      </c>
      <c r="I93" s="495">
        <v>3000</v>
      </c>
      <c r="J93" s="496">
        <v>2800</v>
      </c>
      <c r="K93" s="497"/>
      <c r="L93" s="497"/>
      <c r="M93" s="497">
        <v>3000</v>
      </c>
      <c r="N93" s="497">
        <v>3000</v>
      </c>
      <c r="O93" s="497">
        <v>3200</v>
      </c>
      <c r="P93" s="497">
        <v>3000</v>
      </c>
      <c r="Q93" s="497">
        <v>2800</v>
      </c>
      <c r="R93" s="497">
        <v>3000</v>
      </c>
      <c r="S93" s="497">
        <v>3000</v>
      </c>
      <c r="T93" s="497">
        <v>3000</v>
      </c>
      <c r="U93" s="497">
        <v>3200</v>
      </c>
      <c r="V93" s="497">
        <v>3300</v>
      </c>
      <c r="W93" s="498">
        <v>2700</v>
      </c>
      <c r="X93" s="206"/>
    </row>
    <row r="94" spans="2:24" ht="36" customHeight="1">
      <c r="B94" s="238" t="s">
        <v>257</v>
      </c>
      <c r="C94" s="589" t="s">
        <v>191</v>
      </c>
      <c r="D94" s="1017"/>
      <c r="E94" s="499" t="s">
        <v>68</v>
      </c>
      <c r="F94" s="500" t="s">
        <v>212</v>
      </c>
      <c r="G94" s="501">
        <v>18</v>
      </c>
      <c r="H94" s="502">
        <f t="shared" si="9"/>
        <v>0.1111111111111111</v>
      </c>
      <c r="I94" s="503">
        <v>20</v>
      </c>
      <c r="J94" s="504">
        <v>18</v>
      </c>
      <c r="K94" s="499"/>
      <c r="L94" s="499"/>
      <c r="M94" s="499">
        <v>18</v>
      </c>
      <c r="N94" s="499">
        <v>18</v>
      </c>
      <c r="O94" s="499">
        <v>18</v>
      </c>
      <c r="P94" s="499">
        <v>18</v>
      </c>
      <c r="Q94" s="499">
        <v>18</v>
      </c>
      <c r="R94" s="499">
        <v>20</v>
      </c>
      <c r="S94" s="499">
        <v>20</v>
      </c>
      <c r="T94" s="499">
        <v>20</v>
      </c>
      <c r="U94" s="499">
        <v>20</v>
      </c>
      <c r="V94" s="499">
        <v>20</v>
      </c>
      <c r="W94" s="505">
        <v>20</v>
      </c>
      <c r="X94" s="206"/>
    </row>
    <row r="95" spans="2:24" ht="36" customHeight="1">
      <c r="B95" s="239" t="s">
        <v>170</v>
      </c>
      <c r="C95" s="588" t="s">
        <v>192</v>
      </c>
      <c r="D95" s="1017"/>
      <c r="E95" s="487" t="s">
        <v>65</v>
      </c>
      <c r="F95" s="488" t="s">
        <v>210</v>
      </c>
      <c r="G95" s="489">
        <v>165</v>
      </c>
      <c r="H95" s="490">
        <f t="shared" si="9"/>
        <v>0.10909090909090909</v>
      </c>
      <c r="I95" s="491">
        <v>183</v>
      </c>
      <c r="J95" s="492">
        <v>170</v>
      </c>
      <c r="K95" s="487"/>
      <c r="L95" s="487"/>
      <c r="M95" s="487">
        <v>175</v>
      </c>
      <c r="N95" s="487">
        <v>180</v>
      </c>
      <c r="O95" s="487">
        <v>180</v>
      </c>
      <c r="P95" s="487">
        <v>190</v>
      </c>
      <c r="Q95" s="487">
        <v>180</v>
      </c>
      <c r="R95" s="487">
        <v>180</v>
      </c>
      <c r="S95" s="487">
        <v>200</v>
      </c>
      <c r="T95" s="487">
        <v>180</v>
      </c>
      <c r="U95" s="487">
        <v>180</v>
      </c>
      <c r="V95" s="487">
        <v>200</v>
      </c>
      <c r="W95" s="493">
        <v>180</v>
      </c>
      <c r="X95" s="206"/>
    </row>
    <row r="96" spans="2:24" ht="36" customHeight="1">
      <c r="B96" s="233" t="s">
        <v>96</v>
      </c>
      <c r="C96" s="583" t="s">
        <v>193</v>
      </c>
      <c r="D96" s="1008" t="s">
        <v>238</v>
      </c>
      <c r="E96" s="450" t="s">
        <v>69</v>
      </c>
      <c r="F96" s="451" t="s">
        <v>211</v>
      </c>
      <c r="G96" s="506">
        <v>230</v>
      </c>
      <c r="H96" s="453">
        <f t="shared" si="9"/>
        <v>1.6086956521739131</v>
      </c>
      <c r="I96" s="507">
        <v>600</v>
      </c>
      <c r="J96" s="508">
        <v>20</v>
      </c>
      <c r="K96" s="509"/>
      <c r="L96" s="509"/>
      <c r="M96" s="509">
        <v>20</v>
      </c>
      <c r="N96" s="509">
        <v>30</v>
      </c>
      <c r="O96" s="509">
        <v>50</v>
      </c>
      <c r="P96" s="509">
        <v>60</v>
      </c>
      <c r="Q96" s="509">
        <v>60</v>
      </c>
      <c r="R96" s="509">
        <v>60</v>
      </c>
      <c r="S96" s="509">
        <v>60</v>
      </c>
      <c r="T96" s="509">
        <v>60</v>
      </c>
      <c r="U96" s="509">
        <v>60</v>
      </c>
      <c r="V96" s="509">
        <v>60</v>
      </c>
      <c r="W96" s="510">
        <v>60</v>
      </c>
      <c r="X96" s="206"/>
    </row>
    <row r="97" spans="2:24" ht="36" customHeight="1">
      <c r="B97" s="235" t="s">
        <v>265</v>
      </c>
      <c r="C97" s="585" t="s">
        <v>194</v>
      </c>
      <c r="D97" s="1009"/>
      <c r="E97" s="465" t="s">
        <v>66</v>
      </c>
      <c r="F97" s="467" t="s">
        <v>211</v>
      </c>
      <c r="G97" s="511">
        <v>5000</v>
      </c>
      <c r="H97" s="461">
        <f t="shared" si="9"/>
        <v>0.6</v>
      </c>
      <c r="I97" s="512">
        <v>8000</v>
      </c>
      <c r="J97" s="513">
        <v>500</v>
      </c>
      <c r="K97" s="514"/>
      <c r="L97" s="514"/>
      <c r="M97" s="514">
        <v>500</v>
      </c>
      <c r="N97" s="514">
        <v>600</v>
      </c>
      <c r="O97" s="514">
        <v>700</v>
      </c>
      <c r="P97" s="514">
        <v>600</v>
      </c>
      <c r="Q97" s="514">
        <v>600</v>
      </c>
      <c r="R97" s="514">
        <v>700</v>
      </c>
      <c r="S97" s="514">
        <v>700</v>
      </c>
      <c r="T97" s="514">
        <v>700</v>
      </c>
      <c r="U97" s="514">
        <v>1000</v>
      </c>
      <c r="V97" s="514">
        <v>700</v>
      </c>
      <c r="W97" s="515">
        <v>700</v>
      </c>
      <c r="X97" s="206"/>
    </row>
    <row r="98" spans="2:24" ht="36" customHeight="1">
      <c r="B98" s="235" t="s">
        <v>41</v>
      </c>
      <c r="C98" s="585" t="s">
        <v>194</v>
      </c>
      <c r="D98" s="1009"/>
      <c r="E98" s="465" t="s">
        <v>61</v>
      </c>
      <c r="F98" s="467" t="s">
        <v>234</v>
      </c>
      <c r="G98" s="511">
        <v>2000</v>
      </c>
      <c r="H98" s="461">
        <f t="shared" si="9"/>
        <v>1.5</v>
      </c>
      <c r="I98" s="512">
        <v>5000</v>
      </c>
      <c r="J98" s="513">
        <v>400</v>
      </c>
      <c r="K98" s="514"/>
      <c r="L98" s="514"/>
      <c r="M98" s="514">
        <v>400</v>
      </c>
      <c r="N98" s="514">
        <v>400</v>
      </c>
      <c r="O98" s="514">
        <v>400</v>
      </c>
      <c r="P98" s="514">
        <v>400</v>
      </c>
      <c r="Q98" s="514">
        <v>400</v>
      </c>
      <c r="R98" s="514">
        <v>400</v>
      </c>
      <c r="S98" s="514">
        <v>500</v>
      </c>
      <c r="T98" s="514">
        <v>400</v>
      </c>
      <c r="U98" s="514">
        <v>500</v>
      </c>
      <c r="V98" s="514">
        <v>400</v>
      </c>
      <c r="W98" s="515">
        <v>400</v>
      </c>
      <c r="X98" s="206"/>
    </row>
    <row r="99" spans="2:24" ht="36" customHeight="1">
      <c r="B99" s="235" t="s">
        <v>243</v>
      </c>
      <c r="C99" s="585" t="s">
        <v>195</v>
      </c>
      <c r="D99" s="1009"/>
      <c r="E99" s="465" t="s">
        <v>223</v>
      </c>
      <c r="F99" s="467" t="s">
        <v>211</v>
      </c>
      <c r="G99" s="469" t="s">
        <v>36</v>
      </c>
      <c r="H99" s="461" t="s">
        <v>36</v>
      </c>
      <c r="I99" s="512">
        <v>1800</v>
      </c>
      <c r="J99" s="513">
        <v>50</v>
      </c>
      <c r="K99" s="514"/>
      <c r="L99" s="514"/>
      <c r="M99" s="514">
        <v>50</v>
      </c>
      <c r="N99" s="514">
        <v>50</v>
      </c>
      <c r="O99" s="514">
        <v>150</v>
      </c>
      <c r="P99" s="514">
        <v>150</v>
      </c>
      <c r="Q99" s="514">
        <v>150</v>
      </c>
      <c r="R99" s="514">
        <v>200</v>
      </c>
      <c r="S99" s="514">
        <v>200</v>
      </c>
      <c r="T99" s="514">
        <v>200</v>
      </c>
      <c r="U99" s="514">
        <v>200</v>
      </c>
      <c r="V99" s="514">
        <v>200</v>
      </c>
      <c r="W99" s="515">
        <v>200</v>
      </c>
      <c r="X99" s="206"/>
    </row>
    <row r="100" spans="2:24" ht="36" customHeight="1">
      <c r="B100" s="1027" t="s">
        <v>16</v>
      </c>
      <c r="C100" s="585" t="s">
        <v>196</v>
      </c>
      <c r="D100" s="1009"/>
      <c r="E100" s="465" t="s">
        <v>221</v>
      </c>
      <c r="F100" s="467" t="s">
        <v>210</v>
      </c>
      <c r="G100" s="460">
        <v>0.3</v>
      </c>
      <c r="H100" s="461">
        <f t="shared" si="9"/>
        <v>0.50000000000000011</v>
      </c>
      <c r="I100" s="516">
        <v>0.45</v>
      </c>
      <c r="J100" s="517">
        <v>0.45</v>
      </c>
      <c r="K100" s="518"/>
      <c r="L100" s="518"/>
      <c r="M100" s="518">
        <v>0.45</v>
      </c>
      <c r="N100" s="518">
        <v>0.45</v>
      </c>
      <c r="O100" s="518">
        <v>0.45</v>
      </c>
      <c r="P100" s="518">
        <v>0.45</v>
      </c>
      <c r="Q100" s="518">
        <v>0.45</v>
      </c>
      <c r="R100" s="518">
        <v>0.45</v>
      </c>
      <c r="S100" s="518">
        <v>0.45</v>
      </c>
      <c r="T100" s="518">
        <v>0.45</v>
      </c>
      <c r="U100" s="518">
        <v>0.45</v>
      </c>
      <c r="V100" s="518">
        <v>0.45</v>
      </c>
      <c r="W100" s="519">
        <v>0.45</v>
      </c>
      <c r="X100" s="206"/>
    </row>
    <row r="101" spans="2:24" ht="36" customHeight="1">
      <c r="B101" s="1028"/>
      <c r="C101" s="586" t="s">
        <v>197</v>
      </c>
      <c r="D101" s="1012"/>
      <c r="E101" s="471" t="s">
        <v>222</v>
      </c>
      <c r="F101" s="472" t="s">
        <v>210</v>
      </c>
      <c r="G101" s="520">
        <v>2.3E-2</v>
      </c>
      <c r="H101" s="474">
        <f t="shared" si="9"/>
        <v>1.8260869565217392</v>
      </c>
      <c r="I101" s="521">
        <v>6.5000000000000002E-2</v>
      </c>
      <c r="J101" s="522">
        <v>6.5000000000000002E-2</v>
      </c>
      <c r="K101" s="523"/>
      <c r="L101" s="523"/>
      <c r="M101" s="523">
        <v>6.5000000000000002E-2</v>
      </c>
      <c r="N101" s="523">
        <v>6.5000000000000002E-2</v>
      </c>
      <c r="O101" s="523">
        <v>6.5000000000000002E-2</v>
      </c>
      <c r="P101" s="523">
        <v>6.5000000000000002E-2</v>
      </c>
      <c r="Q101" s="523">
        <v>6.5000000000000002E-2</v>
      </c>
      <c r="R101" s="523">
        <v>6.5000000000000002E-2</v>
      </c>
      <c r="S101" s="523">
        <v>6.5000000000000002E-2</v>
      </c>
      <c r="T101" s="523">
        <v>6.5000000000000002E-2</v>
      </c>
      <c r="U101" s="523">
        <v>6.5000000000000002E-2</v>
      </c>
      <c r="V101" s="523">
        <v>6.5000000000000002E-2</v>
      </c>
      <c r="W101" s="524">
        <v>6.5000000000000002E-2</v>
      </c>
      <c r="X101" s="206"/>
    </row>
    <row r="102" spans="2:24" ht="36" customHeight="1">
      <c r="B102" s="240" t="s">
        <v>259</v>
      </c>
      <c r="C102" s="590"/>
      <c r="D102" s="1017" t="s">
        <v>239</v>
      </c>
      <c r="E102" s="525" t="s">
        <v>62</v>
      </c>
      <c r="F102" s="526" t="s">
        <v>211</v>
      </c>
      <c r="G102" s="527" t="s">
        <v>36</v>
      </c>
      <c r="H102" s="528" t="s">
        <v>36</v>
      </c>
      <c r="I102" s="529">
        <v>6000</v>
      </c>
      <c r="J102" s="530"/>
      <c r="K102" s="531"/>
      <c r="L102" s="531"/>
      <c r="M102" s="531"/>
      <c r="N102" s="531">
        <v>600</v>
      </c>
      <c r="O102" s="531">
        <v>600</v>
      </c>
      <c r="P102" s="531">
        <v>600</v>
      </c>
      <c r="Q102" s="531">
        <v>600</v>
      </c>
      <c r="R102" s="531">
        <v>600</v>
      </c>
      <c r="S102" s="531">
        <v>600</v>
      </c>
      <c r="T102" s="531">
        <v>600</v>
      </c>
      <c r="U102" s="531">
        <v>600</v>
      </c>
      <c r="V102" s="531">
        <v>600</v>
      </c>
      <c r="W102" s="532">
        <v>600</v>
      </c>
      <c r="X102" s="206"/>
    </row>
    <row r="103" spans="2:24" ht="36" customHeight="1">
      <c r="B103" s="225" t="s">
        <v>17</v>
      </c>
      <c r="C103" s="574"/>
      <c r="D103" s="1017"/>
      <c r="E103" s="278" t="s">
        <v>97</v>
      </c>
      <c r="F103" s="270" t="s">
        <v>211</v>
      </c>
      <c r="G103" s="271">
        <v>8600</v>
      </c>
      <c r="H103" s="272">
        <v>1.9</v>
      </c>
      <c r="I103" s="378">
        <v>16300</v>
      </c>
      <c r="J103" s="379">
        <v>1600</v>
      </c>
      <c r="K103" s="380"/>
      <c r="L103" s="380"/>
      <c r="M103" s="380">
        <v>1400</v>
      </c>
      <c r="N103" s="380">
        <v>1100</v>
      </c>
      <c r="O103" s="380">
        <v>1100</v>
      </c>
      <c r="P103" s="380">
        <v>1100</v>
      </c>
      <c r="Q103" s="380">
        <v>1100</v>
      </c>
      <c r="R103" s="380">
        <v>1100</v>
      </c>
      <c r="S103" s="380">
        <v>1600</v>
      </c>
      <c r="T103" s="380">
        <v>1600</v>
      </c>
      <c r="U103" s="380">
        <v>1400</v>
      </c>
      <c r="V103" s="380">
        <v>1600</v>
      </c>
      <c r="W103" s="6">
        <v>1600</v>
      </c>
      <c r="X103" s="206"/>
    </row>
    <row r="104" spans="2:24" ht="36" customHeight="1">
      <c r="B104" s="224" t="s">
        <v>260</v>
      </c>
      <c r="C104" s="591"/>
      <c r="D104" s="1017"/>
      <c r="E104" s="278" t="s">
        <v>97</v>
      </c>
      <c r="F104" s="533" t="s">
        <v>224</v>
      </c>
      <c r="G104" s="534">
        <v>12000</v>
      </c>
      <c r="H104" s="535">
        <v>1.5</v>
      </c>
      <c r="I104" s="536">
        <v>18000</v>
      </c>
      <c r="J104" s="379">
        <v>1300</v>
      </c>
      <c r="K104" s="380"/>
      <c r="L104" s="380"/>
      <c r="M104" s="380">
        <v>1300</v>
      </c>
      <c r="N104" s="380">
        <v>1300</v>
      </c>
      <c r="O104" s="380">
        <v>1500</v>
      </c>
      <c r="P104" s="380">
        <v>1500</v>
      </c>
      <c r="Q104" s="380">
        <v>1500</v>
      </c>
      <c r="R104" s="380">
        <v>1600</v>
      </c>
      <c r="S104" s="380">
        <v>1600</v>
      </c>
      <c r="T104" s="380">
        <v>1600</v>
      </c>
      <c r="U104" s="380">
        <v>1600</v>
      </c>
      <c r="V104" s="380">
        <v>1600</v>
      </c>
      <c r="W104" s="6">
        <v>1600</v>
      </c>
      <c r="X104" s="206"/>
    </row>
    <row r="105" spans="2:24" ht="36" customHeight="1">
      <c r="B105" s="224" t="s">
        <v>261</v>
      </c>
      <c r="C105" s="574"/>
      <c r="D105" s="1017"/>
      <c r="E105" s="278" t="s">
        <v>97</v>
      </c>
      <c r="F105" s="270" t="s">
        <v>211</v>
      </c>
      <c r="G105" s="537">
        <v>0</v>
      </c>
      <c r="H105" s="272" t="s">
        <v>36</v>
      </c>
      <c r="I105" s="538">
        <v>10</v>
      </c>
      <c r="J105" s="539"/>
      <c r="K105" s="540"/>
      <c r="L105" s="540"/>
      <c r="M105" s="540"/>
      <c r="N105" s="540">
        <v>1</v>
      </c>
      <c r="O105" s="540">
        <v>1</v>
      </c>
      <c r="P105" s="540">
        <v>1</v>
      </c>
      <c r="Q105" s="540">
        <v>1</v>
      </c>
      <c r="R105" s="540">
        <v>1</v>
      </c>
      <c r="S105" s="540">
        <v>1</v>
      </c>
      <c r="T105" s="540">
        <v>1</v>
      </c>
      <c r="U105" s="540">
        <v>1</v>
      </c>
      <c r="V105" s="540">
        <v>1</v>
      </c>
      <c r="W105" s="541">
        <v>1</v>
      </c>
      <c r="X105" s="206"/>
    </row>
    <row r="106" spans="2:24" ht="36" customHeight="1">
      <c r="B106" s="241" t="s">
        <v>273</v>
      </c>
      <c r="C106" s="576"/>
      <c r="D106" s="1018"/>
      <c r="E106" s="280" t="s">
        <v>98</v>
      </c>
      <c r="F106" s="281" t="s">
        <v>211</v>
      </c>
      <c r="G106" s="387">
        <v>0</v>
      </c>
      <c r="H106" s="283" t="s">
        <v>36</v>
      </c>
      <c r="I106" s="542">
        <v>9000</v>
      </c>
      <c r="J106" s="543"/>
      <c r="K106" s="544"/>
      <c r="L106" s="544"/>
      <c r="M106" s="544">
        <v>250</v>
      </c>
      <c r="N106" s="544">
        <v>500</v>
      </c>
      <c r="O106" s="544">
        <v>750</v>
      </c>
      <c r="P106" s="544">
        <v>750</v>
      </c>
      <c r="Q106" s="544">
        <v>750</v>
      </c>
      <c r="R106" s="544">
        <v>1000</v>
      </c>
      <c r="S106" s="544">
        <v>1000</v>
      </c>
      <c r="T106" s="544">
        <v>1000</v>
      </c>
      <c r="U106" s="544">
        <v>1000</v>
      </c>
      <c r="V106" s="544">
        <v>1000</v>
      </c>
      <c r="W106" s="545">
        <v>1000</v>
      </c>
      <c r="X106" s="206"/>
    </row>
    <row r="107" spans="2:24" ht="36" customHeight="1">
      <c r="B107" s="242" t="s">
        <v>264</v>
      </c>
      <c r="C107" s="569" t="s">
        <v>180</v>
      </c>
      <c r="D107" s="1008" t="s">
        <v>52</v>
      </c>
      <c r="E107" s="323" t="s">
        <v>73</v>
      </c>
      <c r="F107" s="324" t="s">
        <v>211</v>
      </c>
      <c r="G107" s="546">
        <v>21600</v>
      </c>
      <c r="H107" s="326">
        <v>0.25</v>
      </c>
      <c r="I107" s="547">
        <v>27000</v>
      </c>
      <c r="J107" s="548">
        <v>2200</v>
      </c>
      <c r="K107" s="549"/>
      <c r="L107" s="549"/>
      <c r="M107" s="549">
        <v>2100</v>
      </c>
      <c r="N107" s="549">
        <v>2100</v>
      </c>
      <c r="O107" s="549">
        <v>2200</v>
      </c>
      <c r="P107" s="549">
        <v>2200</v>
      </c>
      <c r="Q107" s="549">
        <v>2300</v>
      </c>
      <c r="R107" s="549">
        <v>2200</v>
      </c>
      <c r="S107" s="549">
        <v>2200</v>
      </c>
      <c r="T107" s="549">
        <v>2400</v>
      </c>
      <c r="U107" s="549">
        <v>2800</v>
      </c>
      <c r="V107" s="549">
        <v>2300</v>
      </c>
      <c r="W107" s="550">
        <v>2000</v>
      </c>
      <c r="X107" s="2"/>
    </row>
    <row r="108" spans="2:24" ht="36" customHeight="1">
      <c r="B108" s="221" t="s">
        <v>274</v>
      </c>
      <c r="C108" s="570" t="s">
        <v>198</v>
      </c>
      <c r="D108" s="1009"/>
      <c r="E108" s="331" t="s">
        <v>71</v>
      </c>
      <c r="F108" s="332" t="s">
        <v>232</v>
      </c>
      <c r="G108" s="551">
        <v>1530</v>
      </c>
      <c r="H108" s="334">
        <v>0.76470588235294112</v>
      </c>
      <c r="I108" s="552">
        <v>2700</v>
      </c>
      <c r="J108" s="553">
        <v>250</v>
      </c>
      <c r="K108" s="554"/>
      <c r="L108" s="554"/>
      <c r="M108" s="554">
        <v>210</v>
      </c>
      <c r="N108" s="554">
        <v>210</v>
      </c>
      <c r="O108" s="554">
        <v>220</v>
      </c>
      <c r="P108" s="554">
        <v>250</v>
      </c>
      <c r="Q108" s="554">
        <v>210</v>
      </c>
      <c r="R108" s="554">
        <v>210</v>
      </c>
      <c r="S108" s="554">
        <v>210</v>
      </c>
      <c r="T108" s="554">
        <v>220</v>
      </c>
      <c r="U108" s="554">
        <v>250</v>
      </c>
      <c r="V108" s="554">
        <v>250</v>
      </c>
      <c r="W108" s="555">
        <v>210</v>
      </c>
      <c r="X108" s="2"/>
    </row>
    <row r="109" spans="2:24" ht="36" customHeight="1">
      <c r="B109" s="221" t="s">
        <v>263</v>
      </c>
      <c r="C109" s="571" t="s">
        <v>253</v>
      </c>
      <c r="D109" s="1009"/>
      <c r="E109" s="331" t="s">
        <v>63</v>
      </c>
      <c r="F109" s="332" t="s">
        <v>211</v>
      </c>
      <c r="G109" s="551">
        <v>850</v>
      </c>
      <c r="H109" s="334">
        <v>1.3529411764705883</v>
      </c>
      <c r="I109" s="552">
        <v>2000</v>
      </c>
      <c r="J109" s="553">
        <v>150</v>
      </c>
      <c r="K109" s="554"/>
      <c r="L109" s="554"/>
      <c r="M109" s="554">
        <v>150</v>
      </c>
      <c r="N109" s="554">
        <v>150</v>
      </c>
      <c r="O109" s="554">
        <v>150</v>
      </c>
      <c r="P109" s="554">
        <v>150</v>
      </c>
      <c r="Q109" s="554">
        <v>200</v>
      </c>
      <c r="R109" s="554">
        <v>150</v>
      </c>
      <c r="S109" s="554">
        <v>150</v>
      </c>
      <c r="T109" s="554">
        <v>200</v>
      </c>
      <c r="U109" s="554">
        <v>200</v>
      </c>
      <c r="V109" s="554">
        <v>200</v>
      </c>
      <c r="W109" s="555">
        <v>150</v>
      </c>
      <c r="X109" s="2"/>
    </row>
    <row r="110" spans="2:24" ht="36" customHeight="1">
      <c r="B110" s="221" t="s">
        <v>262</v>
      </c>
      <c r="C110" s="570" t="s">
        <v>199</v>
      </c>
      <c r="D110" s="1009"/>
      <c r="E110" s="331" t="s">
        <v>72</v>
      </c>
      <c r="F110" s="332" t="s">
        <v>211</v>
      </c>
      <c r="G110" s="551">
        <v>71500</v>
      </c>
      <c r="H110" s="556">
        <v>0.30069930069930062</v>
      </c>
      <c r="I110" s="552">
        <v>93000</v>
      </c>
      <c r="J110" s="553">
        <v>7000</v>
      </c>
      <c r="K110" s="554"/>
      <c r="L110" s="554"/>
      <c r="M110" s="554">
        <v>7500</v>
      </c>
      <c r="N110" s="554">
        <v>8000</v>
      </c>
      <c r="O110" s="554">
        <v>8000</v>
      </c>
      <c r="P110" s="554">
        <v>8000</v>
      </c>
      <c r="Q110" s="554">
        <v>8000</v>
      </c>
      <c r="R110" s="554">
        <v>8000</v>
      </c>
      <c r="S110" s="554">
        <v>8000</v>
      </c>
      <c r="T110" s="554">
        <v>7500</v>
      </c>
      <c r="U110" s="554">
        <v>7500</v>
      </c>
      <c r="V110" s="554">
        <v>7500</v>
      </c>
      <c r="W110" s="555">
        <v>8000</v>
      </c>
      <c r="X110" s="2"/>
    </row>
    <row r="111" spans="2:24" ht="36" customHeight="1" thickBot="1">
      <c r="B111" s="243" t="s">
        <v>47</v>
      </c>
      <c r="C111" s="592" t="s">
        <v>200</v>
      </c>
      <c r="D111" s="1010"/>
      <c r="E111" s="557" t="s">
        <v>67</v>
      </c>
      <c r="F111" s="558" t="s">
        <v>211</v>
      </c>
      <c r="G111" s="559" t="s">
        <v>39</v>
      </c>
      <c r="H111" s="560" t="s">
        <v>36</v>
      </c>
      <c r="I111" s="561">
        <v>30</v>
      </c>
      <c r="J111" s="562">
        <v>2</v>
      </c>
      <c r="K111" s="563"/>
      <c r="L111" s="563"/>
      <c r="M111" s="563">
        <v>2</v>
      </c>
      <c r="N111" s="563">
        <v>2</v>
      </c>
      <c r="O111" s="563">
        <v>3</v>
      </c>
      <c r="P111" s="563">
        <v>3</v>
      </c>
      <c r="Q111" s="563">
        <v>3</v>
      </c>
      <c r="R111" s="563">
        <v>3</v>
      </c>
      <c r="S111" s="563">
        <v>3</v>
      </c>
      <c r="T111" s="563">
        <v>3</v>
      </c>
      <c r="U111" s="563">
        <v>2</v>
      </c>
      <c r="V111" s="563">
        <v>2</v>
      </c>
      <c r="W111" s="564">
        <v>2</v>
      </c>
      <c r="X111" s="2"/>
    </row>
  </sheetData>
  <mergeCells count="31">
    <mergeCell ref="B100:B101"/>
    <mergeCell ref="B83:B84"/>
    <mergeCell ref="B79:B82"/>
    <mergeCell ref="B61:B65"/>
    <mergeCell ref="G4:G6"/>
    <mergeCell ref="B4:B6"/>
    <mergeCell ref="B7:C13"/>
    <mergeCell ref="B45:C47"/>
    <mergeCell ref="I4:I6"/>
    <mergeCell ref="C4:C6"/>
    <mergeCell ref="F4:F6"/>
    <mergeCell ref="D48:D57"/>
    <mergeCell ref="D58:D66"/>
    <mergeCell ref="E4:E6"/>
    <mergeCell ref="H4:H6"/>
    <mergeCell ref="B2:W2"/>
    <mergeCell ref="J5:L5"/>
    <mergeCell ref="D107:D111"/>
    <mergeCell ref="D73:D76"/>
    <mergeCell ref="B14:C20"/>
    <mergeCell ref="B21:C27"/>
    <mergeCell ref="B28:C34"/>
    <mergeCell ref="B35:C39"/>
    <mergeCell ref="B40:C44"/>
    <mergeCell ref="D4:D6"/>
    <mergeCell ref="D67:D72"/>
    <mergeCell ref="D77:D85"/>
    <mergeCell ref="D86:D90"/>
    <mergeCell ref="D91:D95"/>
    <mergeCell ref="D96:D101"/>
    <mergeCell ref="D102:D106"/>
  </mergeCells>
  <phoneticPr fontId="1" type="noConversion"/>
  <printOptions horizontalCentered="1" verticalCentered="1"/>
  <pageMargins left="0" right="0" top="0" bottom="0" header="0" footer="0"/>
  <pageSetup paperSize="9" scale="2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29</vt:i4>
      </vt:variant>
      <vt:variant>
        <vt:lpstr>이름 지정된 범위</vt:lpstr>
      </vt:variant>
      <vt:variant>
        <vt:i4>2</vt:i4>
      </vt:variant>
    </vt:vector>
  </HeadingPairs>
  <TitlesOfParts>
    <vt:vector size="31" baseType="lpstr">
      <vt:lpstr>전사 목표건수</vt:lpstr>
      <vt:lpstr>21년 채널별 운영 목표</vt:lpstr>
      <vt:lpstr>Sheet1</vt:lpstr>
      <vt:lpstr>3월)개인별 목표</vt:lpstr>
      <vt:lpstr>1월 인력</vt:lpstr>
      <vt:lpstr>1월)목표 (2)</vt:lpstr>
      <vt:lpstr>1월 인력상세</vt:lpstr>
      <vt:lpstr>S26목표</vt:lpstr>
      <vt:lpstr>Sheet2</vt:lpstr>
      <vt:lpstr>5G</vt:lpstr>
      <vt:lpstr>무선목표</vt:lpstr>
      <vt:lpstr>유선_합계</vt:lpstr>
      <vt:lpstr>유선목표</vt:lpstr>
      <vt:lpstr>유선_약갱</vt:lpstr>
      <vt:lpstr>이익목표</vt:lpstr>
      <vt:lpstr>유선_합계(수식)</vt:lpstr>
      <vt:lpstr>일반후불(중고포함)</vt:lpstr>
      <vt:lpstr>운영후불(중고제외)</vt:lpstr>
      <vt:lpstr>운영5G</vt:lpstr>
      <vt:lpstr>운영무선신규</vt:lpstr>
      <vt:lpstr>유선순신규</vt:lpstr>
      <vt:lpstr>약정갱신</vt:lpstr>
      <vt:lpstr>동시판매</vt:lpstr>
      <vt:lpstr>실적점</vt:lpstr>
      <vt:lpstr>유효점</vt:lpstr>
      <vt:lpstr>신규점</vt:lpstr>
      <vt:lpstr>유선점</vt:lpstr>
      <vt:lpstr>MIT점</vt:lpstr>
      <vt:lpstr>21년 중점지표</vt:lpstr>
      <vt:lpstr>'1월)목표 (2)'!Print_Area</vt:lpstr>
      <vt:lpstr>'21년 중점지표'!Print_Area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KTMNS</dc:creator>
  <cp:lastModifiedBy>kt</cp:lastModifiedBy>
  <cp:lastPrinted>2021-01-29T06:55:44Z</cp:lastPrinted>
  <dcterms:created xsi:type="dcterms:W3CDTF">2020-11-27T00:24:44Z</dcterms:created>
  <dcterms:modified xsi:type="dcterms:W3CDTF">2026-03-31T06:45:26Z</dcterms:modified>
</cp:coreProperties>
</file>